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lpengcombr.sharepoint.com/sites/Projetos/Documentos Compartilhados/z/Orçamentos/TRELLO/Pasta Padrão/Levantamentos/"/>
    </mc:Choice>
  </mc:AlternateContent>
  <xr:revisionPtr revIDLastSave="6" documentId="13_ncr:1_{41BAE2B8-32F5-43B5-84BF-47402A3B84F3}" xr6:coauthVersionLast="47" xr6:coauthVersionMax="47" xr10:uidLastSave="{6A35B52C-55C4-4961-900B-9919393DCFCB}"/>
  <bookViews>
    <workbookView xWindow="15" yWindow="990" windowWidth="20550" windowHeight="14670" tabRatio="832" xr2:uid="{00000000-000D-0000-FFFF-FFFF00000000}"/>
  </bookViews>
  <sheets>
    <sheet name="Principal" sheetId="1" r:id="rId1"/>
    <sheet name="Levantamento dutos" sheetId="2" r:id="rId2"/>
    <sheet name="Resumo" sheetId="3" r:id="rId3"/>
    <sheet name="Calculos" sheetId="5" r:id="rId4"/>
    <sheet name="Tab_Precos" sheetId="6" r:id="rId5"/>
  </sheets>
  <definedNames>
    <definedName name="norma">Principal!$A$90:$B$93</definedName>
    <definedName name="_xlnm.Print_Area" localSheetId="1">'Levantamento dutos'!$A$1:$I$300</definedName>
    <definedName name="_xlnm.Print_Area" localSheetId="2">Resumo!$A$1:$J$71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5" l="1"/>
  <c r="AC4" i="5"/>
  <c r="AC5" i="5"/>
  <c r="AC6" i="5"/>
  <c r="AC7" i="5"/>
  <c r="I1" i="3"/>
  <c r="H1" i="2"/>
  <c r="H12" i="1"/>
  <c r="Z2" i="5" s="1"/>
  <c r="D3" i="2"/>
  <c r="D2" i="2"/>
  <c r="D4" i="2"/>
  <c r="D5" i="2"/>
  <c r="AA5" i="5"/>
  <c r="AB5" i="5"/>
  <c r="AD5" i="5"/>
  <c r="AA6" i="5"/>
  <c r="AB6" i="5"/>
  <c r="AD6" i="5"/>
  <c r="AA4" i="5"/>
  <c r="AB4" i="5"/>
  <c r="AD4" i="5"/>
  <c r="AA3" i="5"/>
  <c r="AB3" i="5"/>
  <c r="AD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13" i="5"/>
  <c r="G295" i="5"/>
  <c r="E7" i="5"/>
  <c r="AA7" i="5"/>
  <c r="AB7" i="5"/>
  <c r="AD7" i="5"/>
  <c r="G13" i="5"/>
  <c r="N13" i="5"/>
  <c r="I13" i="5"/>
  <c r="J13" i="5"/>
  <c r="K13" i="5"/>
  <c r="L13" i="5"/>
  <c r="M13" i="5"/>
  <c r="O13" i="5"/>
  <c r="P13" i="5"/>
  <c r="Q13" i="5"/>
  <c r="S13" i="5"/>
  <c r="U13" i="5"/>
  <c r="V13" i="5"/>
  <c r="W13" i="5"/>
  <c r="X13" i="5"/>
  <c r="Y13" i="5"/>
  <c r="AA13" i="5"/>
  <c r="AC13" i="5"/>
  <c r="AD13" i="5"/>
  <c r="AE13" i="5"/>
  <c r="G14" i="5"/>
  <c r="N14" i="5" s="1"/>
  <c r="T14" i="5"/>
  <c r="V14" i="5"/>
  <c r="I14" i="5"/>
  <c r="K14" i="5"/>
  <c r="L14" i="5"/>
  <c r="M14" i="5"/>
  <c r="O14" i="5"/>
  <c r="P14" i="5"/>
  <c r="Q14" i="5"/>
  <c r="S14" i="5"/>
  <c r="U14" i="5"/>
  <c r="W14" i="5"/>
  <c r="X14" i="5"/>
  <c r="Y14" i="5"/>
  <c r="Z14" i="5"/>
  <c r="AA14" i="5"/>
  <c r="AC14" i="5"/>
  <c r="AD14" i="5"/>
  <c r="AE14" i="5"/>
  <c r="G15" i="5"/>
  <c r="N15" i="5" s="1"/>
  <c r="H15" i="5"/>
  <c r="I15" i="5"/>
  <c r="K15" i="5"/>
  <c r="L15" i="5"/>
  <c r="M15" i="5"/>
  <c r="O15" i="5"/>
  <c r="P15" i="5"/>
  <c r="Q15" i="5"/>
  <c r="S15" i="5"/>
  <c r="T15" i="5"/>
  <c r="U15" i="5"/>
  <c r="W15" i="5"/>
  <c r="X15" i="5"/>
  <c r="Y15" i="5"/>
  <c r="Z15" i="5"/>
  <c r="AA15" i="5"/>
  <c r="AC15" i="5"/>
  <c r="AD15" i="5"/>
  <c r="AE15" i="5"/>
  <c r="G16" i="5"/>
  <c r="N16" i="5" s="1"/>
  <c r="H16" i="5"/>
  <c r="I16" i="5"/>
  <c r="K16" i="5"/>
  <c r="L16" i="5"/>
  <c r="M16" i="5"/>
  <c r="O16" i="5"/>
  <c r="P16" i="5"/>
  <c r="Q16" i="5"/>
  <c r="S16" i="5"/>
  <c r="T16" i="5"/>
  <c r="U16" i="5"/>
  <c r="V16" i="5"/>
  <c r="W16" i="5"/>
  <c r="X16" i="5"/>
  <c r="Y16" i="5"/>
  <c r="Z16" i="5"/>
  <c r="AA16" i="5"/>
  <c r="AC16" i="5"/>
  <c r="AD16" i="5"/>
  <c r="AE16" i="5"/>
  <c r="G17" i="5"/>
  <c r="N17" i="5" s="1"/>
  <c r="H17" i="5"/>
  <c r="I17" i="5"/>
  <c r="K17" i="5"/>
  <c r="L17" i="5"/>
  <c r="M17" i="5"/>
  <c r="O17" i="5"/>
  <c r="P17" i="5"/>
  <c r="Q17" i="5"/>
  <c r="S17" i="5"/>
  <c r="T17" i="5"/>
  <c r="U17" i="5"/>
  <c r="W17" i="5"/>
  <c r="X17" i="5"/>
  <c r="Y17" i="5"/>
  <c r="Z17" i="5"/>
  <c r="AA17" i="5"/>
  <c r="AC17" i="5"/>
  <c r="AD17" i="5"/>
  <c r="AE17" i="5"/>
  <c r="G18" i="5"/>
  <c r="N18" i="5" s="1"/>
  <c r="H18" i="5"/>
  <c r="I18" i="5"/>
  <c r="K18" i="5"/>
  <c r="L18" i="5"/>
  <c r="M18" i="5"/>
  <c r="O18" i="5"/>
  <c r="P18" i="5"/>
  <c r="Q18" i="5"/>
  <c r="S18" i="5"/>
  <c r="T18" i="5"/>
  <c r="U18" i="5"/>
  <c r="W18" i="5"/>
  <c r="X18" i="5"/>
  <c r="Y18" i="5"/>
  <c r="Z18" i="5"/>
  <c r="AA18" i="5"/>
  <c r="AC18" i="5"/>
  <c r="AD18" i="5"/>
  <c r="AE18" i="5"/>
  <c r="G19" i="5"/>
  <c r="N19" i="5" s="1"/>
  <c r="H19" i="5"/>
  <c r="I19" i="5"/>
  <c r="K19" i="5"/>
  <c r="L19" i="5"/>
  <c r="M19" i="5"/>
  <c r="O19" i="5"/>
  <c r="P19" i="5"/>
  <c r="Q19" i="5"/>
  <c r="S19" i="5"/>
  <c r="T19" i="5"/>
  <c r="U19" i="5"/>
  <c r="V19" i="5"/>
  <c r="W19" i="5"/>
  <c r="X19" i="5"/>
  <c r="Y19" i="5"/>
  <c r="Z19" i="5"/>
  <c r="AA19" i="5"/>
  <c r="AC19" i="5"/>
  <c r="AD19" i="5"/>
  <c r="AE19" i="5"/>
  <c r="G20" i="5"/>
  <c r="N20" i="5" s="1"/>
  <c r="H20" i="5"/>
  <c r="I20" i="5"/>
  <c r="K20" i="5"/>
  <c r="L20" i="5"/>
  <c r="M20" i="5"/>
  <c r="O20" i="5"/>
  <c r="P20" i="5"/>
  <c r="Q20" i="5"/>
  <c r="S20" i="5"/>
  <c r="T20" i="5"/>
  <c r="U20" i="5"/>
  <c r="V20" i="5"/>
  <c r="W20" i="5"/>
  <c r="X20" i="5"/>
  <c r="Y20" i="5"/>
  <c r="Z20" i="5"/>
  <c r="AA20" i="5"/>
  <c r="AC20" i="5"/>
  <c r="AD20" i="5"/>
  <c r="AE20" i="5"/>
  <c r="G21" i="5"/>
  <c r="N21" i="5" s="1"/>
  <c r="H21" i="5"/>
  <c r="I21" i="5"/>
  <c r="K21" i="5"/>
  <c r="L21" i="5"/>
  <c r="M21" i="5"/>
  <c r="O21" i="5"/>
  <c r="P21" i="5"/>
  <c r="Q21" i="5"/>
  <c r="S21" i="5"/>
  <c r="T21" i="5"/>
  <c r="U21" i="5"/>
  <c r="V21" i="5"/>
  <c r="W21" i="5"/>
  <c r="X21" i="5"/>
  <c r="Y21" i="5"/>
  <c r="Z21" i="5"/>
  <c r="AA21" i="5"/>
  <c r="AC21" i="5"/>
  <c r="AD21" i="5"/>
  <c r="AE21" i="5"/>
  <c r="G22" i="5"/>
  <c r="N22" i="5"/>
  <c r="H22" i="5"/>
  <c r="I22" i="5"/>
  <c r="J22" i="5"/>
  <c r="K22" i="5"/>
  <c r="L22" i="5"/>
  <c r="M22" i="5"/>
  <c r="O22" i="5"/>
  <c r="P22" i="5"/>
  <c r="Q22" i="5"/>
  <c r="S22" i="5"/>
  <c r="T22" i="5"/>
  <c r="U22" i="5"/>
  <c r="V22" i="5"/>
  <c r="W22" i="5"/>
  <c r="X22" i="5"/>
  <c r="Y22" i="5"/>
  <c r="Z22" i="5"/>
  <c r="AA22" i="5"/>
  <c r="AC22" i="5"/>
  <c r="AD22" i="5"/>
  <c r="AE22" i="5"/>
  <c r="G23" i="5"/>
  <c r="N23" i="5" s="1"/>
  <c r="H23" i="5"/>
  <c r="I23" i="5"/>
  <c r="J23" i="5"/>
  <c r="K23" i="5"/>
  <c r="L23" i="5"/>
  <c r="M23" i="5"/>
  <c r="O23" i="5"/>
  <c r="P23" i="5"/>
  <c r="Q23" i="5"/>
  <c r="S23" i="5"/>
  <c r="T23" i="5"/>
  <c r="U23" i="5"/>
  <c r="V23" i="5"/>
  <c r="W23" i="5"/>
  <c r="X23" i="5"/>
  <c r="Y23" i="5"/>
  <c r="Z23" i="5"/>
  <c r="AA23" i="5"/>
  <c r="AC23" i="5"/>
  <c r="AD23" i="5"/>
  <c r="AE23" i="5"/>
  <c r="G24" i="5"/>
  <c r="N24" i="5" s="1"/>
  <c r="H24" i="5"/>
  <c r="I24" i="5"/>
  <c r="J24" i="5"/>
  <c r="K24" i="5"/>
  <c r="L24" i="5"/>
  <c r="M24" i="5"/>
  <c r="O24" i="5"/>
  <c r="P24" i="5"/>
  <c r="Q24" i="5"/>
  <c r="S24" i="5"/>
  <c r="T24" i="5"/>
  <c r="U24" i="5"/>
  <c r="V24" i="5"/>
  <c r="W24" i="5"/>
  <c r="X24" i="5"/>
  <c r="Y24" i="5"/>
  <c r="Z24" i="5"/>
  <c r="AA24" i="5"/>
  <c r="AC24" i="5"/>
  <c r="AD24" i="5"/>
  <c r="AE24" i="5"/>
  <c r="G25" i="5"/>
  <c r="N25" i="5" s="1"/>
  <c r="H25" i="5"/>
  <c r="I25" i="5"/>
  <c r="J25" i="5"/>
  <c r="K25" i="5"/>
  <c r="L25" i="5"/>
  <c r="M25" i="5"/>
  <c r="O25" i="5"/>
  <c r="P25" i="5"/>
  <c r="Q25" i="5"/>
  <c r="S25" i="5"/>
  <c r="T25" i="5"/>
  <c r="U25" i="5"/>
  <c r="V25" i="5"/>
  <c r="W25" i="5"/>
  <c r="X25" i="5"/>
  <c r="Y25" i="5"/>
  <c r="Z25" i="5"/>
  <c r="AA25" i="5"/>
  <c r="AC25" i="5"/>
  <c r="AD25" i="5"/>
  <c r="AE25" i="5"/>
  <c r="G26" i="5"/>
  <c r="N26" i="5" s="1"/>
  <c r="H26" i="5"/>
  <c r="I26" i="5"/>
  <c r="J26" i="5"/>
  <c r="K26" i="5"/>
  <c r="L26" i="5"/>
  <c r="M26" i="5"/>
  <c r="O26" i="5"/>
  <c r="P26" i="5"/>
  <c r="Q26" i="5"/>
  <c r="S26" i="5"/>
  <c r="T26" i="5"/>
  <c r="U26" i="5"/>
  <c r="V26" i="5"/>
  <c r="W26" i="5"/>
  <c r="X26" i="5"/>
  <c r="Y26" i="5"/>
  <c r="Z26" i="5"/>
  <c r="AA26" i="5"/>
  <c r="AC26" i="5"/>
  <c r="AD26" i="5"/>
  <c r="AE26" i="5"/>
  <c r="G27" i="5"/>
  <c r="N27" i="5" s="1"/>
  <c r="H27" i="5"/>
  <c r="I27" i="5"/>
  <c r="J27" i="5"/>
  <c r="K27" i="5"/>
  <c r="L27" i="5"/>
  <c r="M27" i="5"/>
  <c r="O27" i="5"/>
  <c r="P27" i="5"/>
  <c r="Q27" i="5"/>
  <c r="S27" i="5"/>
  <c r="T27" i="5"/>
  <c r="U27" i="5"/>
  <c r="V27" i="5"/>
  <c r="W27" i="5"/>
  <c r="X27" i="5"/>
  <c r="Y27" i="5"/>
  <c r="Z27" i="5"/>
  <c r="AA27" i="5"/>
  <c r="AC27" i="5"/>
  <c r="AD27" i="5"/>
  <c r="AE27" i="5"/>
  <c r="G28" i="5"/>
  <c r="N28" i="5"/>
  <c r="H28" i="5"/>
  <c r="I28" i="5"/>
  <c r="J28" i="5"/>
  <c r="K28" i="5"/>
  <c r="L28" i="5"/>
  <c r="M28" i="5"/>
  <c r="O28" i="5"/>
  <c r="P28" i="5"/>
  <c r="Q28" i="5"/>
  <c r="S28" i="5"/>
  <c r="T28" i="5"/>
  <c r="U28" i="5"/>
  <c r="V28" i="5"/>
  <c r="W28" i="5"/>
  <c r="X28" i="5"/>
  <c r="Y28" i="5"/>
  <c r="Z28" i="5"/>
  <c r="AA28" i="5"/>
  <c r="AC28" i="5"/>
  <c r="AD28" i="5"/>
  <c r="AE28" i="5"/>
  <c r="G29" i="5"/>
  <c r="N29" i="5" s="1"/>
  <c r="H29" i="5"/>
  <c r="I29" i="5"/>
  <c r="J29" i="5"/>
  <c r="K29" i="5"/>
  <c r="L29" i="5"/>
  <c r="M29" i="5"/>
  <c r="O29" i="5"/>
  <c r="P29" i="5"/>
  <c r="Q29" i="5"/>
  <c r="S29" i="5"/>
  <c r="T29" i="5"/>
  <c r="U29" i="5"/>
  <c r="V29" i="5"/>
  <c r="W29" i="5"/>
  <c r="X29" i="5"/>
  <c r="Y29" i="5"/>
  <c r="Z29" i="5"/>
  <c r="AA29" i="5"/>
  <c r="AC29" i="5"/>
  <c r="AD29" i="5"/>
  <c r="AE29" i="5"/>
  <c r="G30" i="5"/>
  <c r="N30" i="5" s="1"/>
  <c r="H30" i="5"/>
  <c r="I30" i="5"/>
  <c r="J30" i="5"/>
  <c r="K30" i="5"/>
  <c r="L30" i="5"/>
  <c r="M30" i="5"/>
  <c r="O30" i="5"/>
  <c r="P30" i="5"/>
  <c r="Q30" i="5"/>
  <c r="S30" i="5"/>
  <c r="T30" i="5"/>
  <c r="U30" i="5"/>
  <c r="V30" i="5"/>
  <c r="W30" i="5"/>
  <c r="X30" i="5"/>
  <c r="Y30" i="5"/>
  <c r="Z30" i="5"/>
  <c r="AA30" i="5"/>
  <c r="AC30" i="5"/>
  <c r="AD30" i="5"/>
  <c r="AE30" i="5"/>
  <c r="G31" i="5"/>
  <c r="N31" i="5"/>
  <c r="H31" i="5"/>
  <c r="I31" i="5"/>
  <c r="J31" i="5"/>
  <c r="K31" i="5"/>
  <c r="L31" i="5"/>
  <c r="M31" i="5"/>
  <c r="O31" i="5"/>
  <c r="P31" i="5"/>
  <c r="Q31" i="5"/>
  <c r="S31" i="5"/>
  <c r="T31" i="5"/>
  <c r="U31" i="5"/>
  <c r="V31" i="5"/>
  <c r="W31" i="5"/>
  <c r="X31" i="5"/>
  <c r="Y31" i="5"/>
  <c r="Z31" i="5"/>
  <c r="AA31" i="5"/>
  <c r="AC31" i="5"/>
  <c r="AD31" i="5"/>
  <c r="AE31" i="5"/>
  <c r="G32" i="5"/>
  <c r="N32" i="5"/>
  <c r="H32" i="5"/>
  <c r="I32" i="5"/>
  <c r="J32" i="5"/>
  <c r="K32" i="5"/>
  <c r="L32" i="5"/>
  <c r="M32" i="5"/>
  <c r="O32" i="5"/>
  <c r="P32" i="5"/>
  <c r="Q32" i="5"/>
  <c r="S32" i="5"/>
  <c r="T32" i="5"/>
  <c r="U32" i="5"/>
  <c r="V32" i="5"/>
  <c r="W32" i="5"/>
  <c r="X32" i="5"/>
  <c r="Y32" i="5"/>
  <c r="Z32" i="5"/>
  <c r="AA32" i="5"/>
  <c r="AC32" i="5"/>
  <c r="AD32" i="5"/>
  <c r="AE32" i="5"/>
  <c r="G33" i="5"/>
  <c r="N33" i="5" s="1"/>
  <c r="H33" i="5"/>
  <c r="I33" i="5"/>
  <c r="J33" i="5"/>
  <c r="K33" i="5"/>
  <c r="L33" i="5"/>
  <c r="M33" i="5"/>
  <c r="O33" i="5"/>
  <c r="P33" i="5"/>
  <c r="Q33" i="5"/>
  <c r="S33" i="5"/>
  <c r="T33" i="5"/>
  <c r="U33" i="5"/>
  <c r="V33" i="5"/>
  <c r="W33" i="5"/>
  <c r="X33" i="5"/>
  <c r="Y33" i="5"/>
  <c r="Z33" i="5"/>
  <c r="AA33" i="5"/>
  <c r="AC33" i="5"/>
  <c r="AD33" i="5"/>
  <c r="AE33" i="5"/>
  <c r="G34" i="5"/>
  <c r="N34" i="5"/>
  <c r="H34" i="5"/>
  <c r="I34" i="5"/>
  <c r="J34" i="5"/>
  <c r="K34" i="5"/>
  <c r="L34" i="5"/>
  <c r="M34" i="5"/>
  <c r="O34" i="5"/>
  <c r="P34" i="5"/>
  <c r="Q34" i="5"/>
  <c r="S34" i="5"/>
  <c r="T34" i="5"/>
  <c r="U34" i="5"/>
  <c r="V34" i="5"/>
  <c r="W34" i="5"/>
  <c r="X34" i="5"/>
  <c r="Y34" i="5"/>
  <c r="Z34" i="5"/>
  <c r="AA34" i="5"/>
  <c r="AC34" i="5"/>
  <c r="AD34" i="5"/>
  <c r="AE34" i="5"/>
  <c r="G35" i="5"/>
  <c r="N35" i="5" s="1"/>
  <c r="H35" i="5"/>
  <c r="I35" i="5"/>
  <c r="J35" i="5"/>
  <c r="K35" i="5"/>
  <c r="L35" i="5"/>
  <c r="M35" i="5"/>
  <c r="O35" i="5"/>
  <c r="P35" i="5"/>
  <c r="Q35" i="5"/>
  <c r="S35" i="5"/>
  <c r="T35" i="5"/>
  <c r="U35" i="5"/>
  <c r="V35" i="5"/>
  <c r="W35" i="5"/>
  <c r="X35" i="5"/>
  <c r="Y35" i="5"/>
  <c r="Z35" i="5"/>
  <c r="AA35" i="5"/>
  <c r="AC35" i="5"/>
  <c r="AD35" i="5"/>
  <c r="AE35" i="5"/>
  <c r="G36" i="5"/>
  <c r="N36" i="5" s="1"/>
  <c r="H36" i="5"/>
  <c r="I36" i="5"/>
  <c r="J36" i="5"/>
  <c r="K36" i="5"/>
  <c r="L36" i="5"/>
  <c r="M36" i="5"/>
  <c r="O36" i="5"/>
  <c r="P36" i="5"/>
  <c r="Q36" i="5"/>
  <c r="S36" i="5"/>
  <c r="T36" i="5"/>
  <c r="U36" i="5"/>
  <c r="V36" i="5"/>
  <c r="W36" i="5"/>
  <c r="X36" i="5"/>
  <c r="Y36" i="5"/>
  <c r="Z36" i="5"/>
  <c r="AA36" i="5"/>
  <c r="AC36" i="5"/>
  <c r="AD36" i="5"/>
  <c r="AE36" i="5"/>
  <c r="G37" i="5"/>
  <c r="N37" i="5" s="1"/>
  <c r="H37" i="5"/>
  <c r="I37" i="5"/>
  <c r="J37" i="5"/>
  <c r="K37" i="5"/>
  <c r="L37" i="5"/>
  <c r="M37" i="5"/>
  <c r="O37" i="5"/>
  <c r="P37" i="5"/>
  <c r="Q37" i="5"/>
  <c r="S37" i="5"/>
  <c r="T37" i="5"/>
  <c r="U37" i="5"/>
  <c r="V37" i="5"/>
  <c r="W37" i="5"/>
  <c r="X37" i="5"/>
  <c r="Y37" i="5"/>
  <c r="Z37" i="5"/>
  <c r="AA37" i="5"/>
  <c r="AC37" i="5"/>
  <c r="AD37" i="5"/>
  <c r="AE37" i="5"/>
  <c r="G38" i="5"/>
  <c r="N38" i="5"/>
  <c r="H38" i="5"/>
  <c r="I38" i="5"/>
  <c r="J38" i="5"/>
  <c r="K38" i="5"/>
  <c r="L38" i="5"/>
  <c r="M38" i="5"/>
  <c r="O38" i="5"/>
  <c r="P38" i="5"/>
  <c r="Q38" i="5"/>
  <c r="S38" i="5"/>
  <c r="T38" i="5"/>
  <c r="U38" i="5"/>
  <c r="V38" i="5"/>
  <c r="W38" i="5"/>
  <c r="X38" i="5"/>
  <c r="Y38" i="5"/>
  <c r="Z38" i="5"/>
  <c r="AA38" i="5"/>
  <c r="AC38" i="5"/>
  <c r="AD38" i="5"/>
  <c r="AE38" i="5"/>
  <c r="G39" i="5"/>
  <c r="N39" i="5" s="1"/>
  <c r="H39" i="5"/>
  <c r="I39" i="5"/>
  <c r="J39" i="5"/>
  <c r="K39" i="5"/>
  <c r="L39" i="5"/>
  <c r="M39" i="5"/>
  <c r="O39" i="5"/>
  <c r="P39" i="5"/>
  <c r="Q39" i="5"/>
  <c r="S39" i="5"/>
  <c r="T39" i="5"/>
  <c r="U39" i="5"/>
  <c r="V39" i="5"/>
  <c r="W39" i="5"/>
  <c r="X39" i="5"/>
  <c r="Y39" i="5"/>
  <c r="Z39" i="5"/>
  <c r="AA39" i="5"/>
  <c r="AC39" i="5"/>
  <c r="AD39" i="5"/>
  <c r="AE39" i="5"/>
  <c r="G40" i="5"/>
  <c r="N40" i="5" s="1"/>
  <c r="H40" i="5"/>
  <c r="I40" i="5"/>
  <c r="J40" i="5"/>
  <c r="K40" i="5"/>
  <c r="L40" i="5"/>
  <c r="M40" i="5"/>
  <c r="O40" i="5"/>
  <c r="P40" i="5"/>
  <c r="Q40" i="5"/>
  <c r="S40" i="5"/>
  <c r="T40" i="5"/>
  <c r="U40" i="5"/>
  <c r="V40" i="5"/>
  <c r="W40" i="5"/>
  <c r="X40" i="5"/>
  <c r="Y40" i="5"/>
  <c r="Z40" i="5"/>
  <c r="AA40" i="5"/>
  <c r="AC40" i="5"/>
  <c r="AD40" i="5"/>
  <c r="AE40" i="5"/>
  <c r="G41" i="5"/>
  <c r="N41" i="5" s="1"/>
  <c r="H41" i="5"/>
  <c r="I41" i="5"/>
  <c r="J41" i="5"/>
  <c r="K41" i="5"/>
  <c r="L41" i="5"/>
  <c r="M41" i="5"/>
  <c r="O41" i="5"/>
  <c r="P41" i="5"/>
  <c r="Q41" i="5"/>
  <c r="S41" i="5"/>
  <c r="T41" i="5"/>
  <c r="U41" i="5"/>
  <c r="V41" i="5"/>
  <c r="W41" i="5"/>
  <c r="X41" i="5"/>
  <c r="Y41" i="5"/>
  <c r="Z41" i="5"/>
  <c r="AA41" i="5"/>
  <c r="AC41" i="5"/>
  <c r="AD41" i="5"/>
  <c r="AE41" i="5"/>
  <c r="G42" i="5"/>
  <c r="N42" i="5" s="1"/>
  <c r="H42" i="5"/>
  <c r="I42" i="5"/>
  <c r="J42" i="5"/>
  <c r="K42" i="5"/>
  <c r="L42" i="5"/>
  <c r="M42" i="5"/>
  <c r="O42" i="5"/>
  <c r="P42" i="5"/>
  <c r="Q42" i="5"/>
  <c r="S42" i="5"/>
  <c r="T42" i="5"/>
  <c r="U42" i="5"/>
  <c r="V42" i="5"/>
  <c r="W42" i="5"/>
  <c r="X42" i="5"/>
  <c r="Y42" i="5"/>
  <c r="Z42" i="5"/>
  <c r="AA42" i="5"/>
  <c r="AC42" i="5"/>
  <c r="AD42" i="5"/>
  <c r="AE42" i="5"/>
  <c r="G43" i="5"/>
  <c r="N43" i="5" s="1"/>
  <c r="H43" i="5"/>
  <c r="I43" i="5"/>
  <c r="J43" i="5"/>
  <c r="K43" i="5"/>
  <c r="L43" i="5"/>
  <c r="M43" i="5"/>
  <c r="O43" i="5"/>
  <c r="P43" i="5"/>
  <c r="Q43" i="5"/>
  <c r="S43" i="5"/>
  <c r="T43" i="5"/>
  <c r="U43" i="5"/>
  <c r="V43" i="5"/>
  <c r="W43" i="5"/>
  <c r="X43" i="5"/>
  <c r="Y43" i="5"/>
  <c r="Z43" i="5"/>
  <c r="AA43" i="5"/>
  <c r="AC43" i="5"/>
  <c r="AD43" i="5"/>
  <c r="AE43" i="5"/>
  <c r="G44" i="5"/>
  <c r="N44" i="5" s="1"/>
  <c r="H44" i="5"/>
  <c r="I44" i="5"/>
  <c r="J44" i="5"/>
  <c r="K44" i="5"/>
  <c r="L44" i="5"/>
  <c r="M44" i="5"/>
  <c r="O44" i="5"/>
  <c r="P44" i="5"/>
  <c r="Q44" i="5"/>
  <c r="S44" i="5"/>
  <c r="T44" i="5"/>
  <c r="U44" i="5"/>
  <c r="V44" i="5"/>
  <c r="W44" i="5"/>
  <c r="X44" i="5"/>
  <c r="Y44" i="5"/>
  <c r="Z44" i="5"/>
  <c r="AA44" i="5"/>
  <c r="AC44" i="5"/>
  <c r="AD44" i="5"/>
  <c r="AE44" i="5"/>
  <c r="G45" i="5"/>
  <c r="N45" i="5" s="1"/>
  <c r="H45" i="5"/>
  <c r="I45" i="5"/>
  <c r="J45" i="5"/>
  <c r="K45" i="5"/>
  <c r="L45" i="5"/>
  <c r="M45" i="5"/>
  <c r="O45" i="5"/>
  <c r="P45" i="5"/>
  <c r="Q45" i="5"/>
  <c r="S45" i="5"/>
  <c r="T45" i="5"/>
  <c r="U45" i="5"/>
  <c r="V45" i="5"/>
  <c r="W45" i="5"/>
  <c r="X45" i="5"/>
  <c r="Y45" i="5"/>
  <c r="Z45" i="5"/>
  <c r="AA45" i="5"/>
  <c r="AC45" i="5"/>
  <c r="AD45" i="5"/>
  <c r="AE45" i="5"/>
  <c r="G46" i="5"/>
  <c r="N46" i="5" s="1"/>
  <c r="H46" i="5"/>
  <c r="I46" i="5"/>
  <c r="J46" i="5"/>
  <c r="K46" i="5"/>
  <c r="L46" i="5"/>
  <c r="M46" i="5"/>
  <c r="O46" i="5"/>
  <c r="P46" i="5"/>
  <c r="Q46" i="5"/>
  <c r="S46" i="5"/>
  <c r="T46" i="5"/>
  <c r="U46" i="5"/>
  <c r="V46" i="5"/>
  <c r="W46" i="5"/>
  <c r="X46" i="5"/>
  <c r="Y46" i="5"/>
  <c r="Z46" i="5"/>
  <c r="AA46" i="5"/>
  <c r="AC46" i="5"/>
  <c r="AD46" i="5"/>
  <c r="AE46" i="5"/>
  <c r="G47" i="5"/>
  <c r="N47" i="5" s="1"/>
  <c r="H47" i="5"/>
  <c r="I47" i="5"/>
  <c r="J47" i="5"/>
  <c r="K47" i="5"/>
  <c r="L47" i="5"/>
  <c r="M47" i="5"/>
  <c r="O47" i="5"/>
  <c r="P47" i="5"/>
  <c r="Q47" i="5"/>
  <c r="S47" i="5"/>
  <c r="T47" i="5"/>
  <c r="U47" i="5"/>
  <c r="V47" i="5"/>
  <c r="W47" i="5"/>
  <c r="X47" i="5"/>
  <c r="Y47" i="5"/>
  <c r="Z47" i="5"/>
  <c r="AA47" i="5"/>
  <c r="AC47" i="5"/>
  <c r="AD47" i="5"/>
  <c r="AE47" i="5"/>
  <c r="G48" i="5"/>
  <c r="N48" i="5"/>
  <c r="H48" i="5"/>
  <c r="I48" i="5"/>
  <c r="J48" i="5"/>
  <c r="K48" i="5"/>
  <c r="L48" i="5"/>
  <c r="M48" i="5"/>
  <c r="O48" i="5"/>
  <c r="P48" i="5"/>
  <c r="Q48" i="5"/>
  <c r="S48" i="5"/>
  <c r="T48" i="5"/>
  <c r="U48" i="5"/>
  <c r="V48" i="5"/>
  <c r="W48" i="5"/>
  <c r="X48" i="5"/>
  <c r="Y48" i="5"/>
  <c r="Z48" i="5"/>
  <c r="AA48" i="5"/>
  <c r="AC48" i="5"/>
  <c r="AD48" i="5"/>
  <c r="AE48" i="5"/>
  <c r="G49" i="5"/>
  <c r="N49" i="5" s="1"/>
  <c r="H49" i="5"/>
  <c r="I49" i="5"/>
  <c r="J49" i="5"/>
  <c r="K49" i="5"/>
  <c r="L49" i="5"/>
  <c r="M49" i="5"/>
  <c r="O49" i="5"/>
  <c r="P49" i="5"/>
  <c r="Q49" i="5"/>
  <c r="S49" i="5"/>
  <c r="T49" i="5"/>
  <c r="U49" i="5"/>
  <c r="V49" i="5"/>
  <c r="W49" i="5"/>
  <c r="X49" i="5"/>
  <c r="Y49" i="5"/>
  <c r="Z49" i="5"/>
  <c r="AA49" i="5"/>
  <c r="AC49" i="5"/>
  <c r="AD49" i="5"/>
  <c r="AE49" i="5"/>
  <c r="G50" i="5"/>
  <c r="AC50" i="5"/>
  <c r="G51" i="5"/>
  <c r="AC51" i="5"/>
  <c r="G52" i="5"/>
  <c r="AC52" i="5"/>
  <c r="G53" i="5"/>
  <c r="I53" i="5"/>
  <c r="J53" i="5"/>
  <c r="K53" i="5"/>
  <c r="L53" i="5"/>
  <c r="M53" i="5"/>
  <c r="N53" i="5"/>
  <c r="O53" i="5"/>
  <c r="P53" i="5"/>
  <c r="S53" i="5"/>
  <c r="T53" i="5"/>
  <c r="U53" i="5"/>
  <c r="V53" i="5"/>
  <c r="W53" i="5"/>
  <c r="X53" i="5"/>
  <c r="Y53" i="5"/>
  <c r="Z53" i="5"/>
  <c r="AA53" i="5"/>
  <c r="AC53" i="5"/>
  <c r="AD53" i="5"/>
  <c r="AE53" i="5"/>
  <c r="G54" i="5"/>
  <c r="H54" i="5"/>
  <c r="I54" i="5"/>
  <c r="J54" i="5"/>
  <c r="K54" i="5"/>
  <c r="L54" i="5"/>
  <c r="M54" i="5"/>
  <c r="N54" i="5"/>
  <c r="O54" i="5"/>
  <c r="P54" i="5"/>
  <c r="Q54" i="5"/>
  <c r="S54" i="5"/>
  <c r="T54" i="5"/>
  <c r="U54" i="5"/>
  <c r="V54" i="5"/>
  <c r="W54" i="5"/>
  <c r="X54" i="5"/>
  <c r="Y54" i="5"/>
  <c r="Z54" i="5"/>
  <c r="AA54" i="5"/>
  <c r="AC54" i="5"/>
  <c r="AD54" i="5"/>
  <c r="AE54" i="5"/>
  <c r="G55" i="5"/>
  <c r="H55" i="5"/>
  <c r="I55" i="5"/>
  <c r="J55" i="5"/>
  <c r="K55" i="5"/>
  <c r="L55" i="5"/>
  <c r="M55" i="5"/>
  <c r="N55" i="5"/>
  <c r="O55" i="5"/>
  <c r="P55" i="5"/>
  <c r="Q55" i="5"/>
  <c r="S55" i="5"/>
  <c r="T55" i="5"/>
  <c r="U55" i="5"/>
  <c r="V55" i="5"/>
  <c r="W55" i="5"/>
  <c r="X55" i="5"/>
  <c r="Y55" i="5"/>
  <c r="Z55" i="5"/>
  <c r="AA55" i="5"/>
  <c r="AC55" i="5"/>
  <c r="AD55" i="5"/>
  <c r="AE55" i="5"/>
  <c r="G56" i="5"/>
  <c r="H56" i="5"/>
  <c r="I56" i="5"/>
  <c r="J56" i="5"/>
  <c r="K56" i="5"/>
  <c r="L56" i="5"/>
  <c r="M56" i="5"/>
  <c r="N56" i="5"/>
  <c r="O56" i="5"/>
  <c r="P56" i="5"/>
  <c r="Q56" i="5"/>
  <c r="S56" i="5"/>
  <c r="T56" i="5"/>
  <c r="U56" i="5"/>
  <c r="V56" i="5"/>
  <c r="W56" i="5"/>
  <c r="X56" i="5"/>
  <c r="Y56" i="5"/>
  <c r="Z56" i="5"/>
  <c r="AA56" i="5"/>
  <c r="AC56" i="5"/>
  <c r="AD56" i="5"/>
  <c r="AE56" i="5"/>
  <c r="G57" i="5"/>
  <c r="H57" i="5"/>
  <c r="I57" i="5"/>
  <c r="J57" i="5"/>
  <c r="K57" i="5"/>
  <c r="L57" i="5"/>
  <c r="M57" i="5"/>
  <c r="N57" i="5"/>
  <c r="O57" i="5"/>
  <c r="P57" i="5"/>
  <c r="Q57" i="5"/>
  <c r="S57" i="5"/>
  <c r="T57" i="5"/>
  <c r="U57" i="5"/>
  <c r="V57" i="5"/>
  <c r="W57" i="5"/>
  <c r="X57" i="5"/>
  <c r="Y57" i="5"/>
  <c r="Z57" i="5"/>
  <c r="AA57" i="5"/>
  <c r="AC57" i="5"/>
  <c r="AD57" i="5"/>
  <c r="AE57" i="5"/>
  <c r="G58" i="5"/>
  <c r="H58" i="5"/>
  <c r="I58" i="5"/>
  <c r="J58" i="5"/>
  <c r="K58" i="5"/>
  <c r="L58" i="5"/>
  <c r="M58" i="5"/>
  <c r="N58" i="5"/>
  <c r="O58" i="5"/>
  <c r="P58" i="5"/>
  <c r="Q58" i="5"/>
  <c r="S58" i="5"/>
  <c r="T58" i="5"/>
  <c r="U58" i="5"/>
  <c r="V58" i="5"/>
  <c r="W58" i="5"/>
  <c r="X58" i="5"/>
  <c r="Y58" i="5"/>
  <c r="Z58" i="5"/>
  <c r="AA58" i="5"/>
  <c r="AC58" i="5"/>
  <c r="AD58" i="5"/>
  <c r="AE58" i="5"/>
  <c r="G59" i="5"/>
  <c r="H59" i="5"/>
  <c r="I59" i="5"/>
  <c r="J59" i="5"/>
  <c r="K59" i="5"/>
  <c r="L59" i="5"/>
  <c r="M59" i="5"/>
  <c r="N59" i="5"/>
  <c r="O59" i="5"/>
  <c r="P59" i="5"/>
  <c r="Q59" i="5"/>
  <c r="S59" i="5"/>
  <c r="T59" i="5"/>
  <c r="U59" i="5"/>
  <c r="V59" i="5"/>
  <c r="W59" i="5"/>
  <c r="X59" i="5"/>
  <c r="Y59" i="5"/>
  <c r="Z59" i="5"/>
  <c r="AA59" i="5"/>
  <c r="AC59" i="5"/>
  <c r="AD59" i="5"/>
  <c r="AE59" i="5"/>
  <c r="G60" i="5"/>
  <c r="H60" i="5"/>
  <c r="I60" i="5"/>
  <c r="J60" i="5"/>
  <c r="K60" i="5"/>
  <c r="L60" i="5"/>
  <c r="M60" i="5"/>
  <c r="N60" i="5"/>
  <c r="O60" i="5"/>
  <c r="P60" i="5"/>
  <c r="Q60" i="5"/>
  <c r="S60" i="5"/>
  <c r="T60" i="5"/>
  <c r="U60" i="5"/>
  <c r="V60" i="5"/>
  <c r="W60" i="5"/>
  <c r="X60" i="5"/>
  <c r="Y60" i="5"/>
  <c r="Z60" i="5"/>
  <c r="AA60" i="5"/>
  <c r="AC60" i="5"/>
  <c r="AD60" i="5"/>
  <c r="AE60" i="5"/>
  <c r="G61" i="5"/>
  <c r="H61" i="5"/>
  <c r="I61" i="5"/>
  <c r="J61" i="5"/>
  <c r="K61" i="5"/>
  <c r="L61" i="5"/>
  <c r="M61" i="5"/>
  <c r="N61" i="5"/>
  <c r="O61" i="5"/>
  <c r="P61" i="5"/>
  <c r="Q61" i="5"/>
  <c r="S61" i="5"/>
  <c r="T61" i="5"/>
  <c r="U61" i="5"/>
  <c r="V61" i="5"/>
  <c r="W61" i="5"/>
  <c r="X61" i="5"/>
  <c r="Y61" i="5"/>
  <c r="Z61" i="5"/>
  <c r="AA61" i="5"/>
  <c r="AC61" i="5"/>
  <c r="AD61" i="5"/>
  <c r="AE61" i="5"/>
  <c r="G62" i="5"/>
  <c r="H62" i="5"/>
  <c r="I62" i="5"/>
  <c r="J62" i="5"/>
  <c r="K62" i="5"/>
  <c r="L62" i="5"/>
  <c r="M62" i="5"/>
  <c r="N62" i="5"/>
  <c r="O62" i="5"/>
  <c r="P62" i="5"/>
  <c r="Q62" i="5"/>
  <c r="S62" i="5"/>
  <c r="T62" i="5"/>
  <c r="U62" i="5"/>
  <c r="V62" i="5"/>
  <c r="W62" i="5"/>
  <c r="X62" i="5"/>
  <c r="Y62" i="5"/>
  <c r="Z62" i="5"/>
  <c r="AA62" i="5"/>
  <c r="AC62" i="5"/>
  <c r="AD62" i="5"/>
  <c r="AE62" i="5"/>
  <c r="G63" i="5"/>
  <c r="H63" i="5"/>
  <c r="I63" i="5"/>
  <c r="J63" i="5"/>
  <c r="K63" i="5"/>
  <c r="L63" i="5"/>
  <c r="M63" i="5"/>
  <c r="N63" i="5"/>
  <c r="O63" i="5"/>
  <c r="P63" i="5"/>
  <c r="Q63" i="5"/>
  <c r="S63" i="5"/>
  <c r="T63" i="5"/>
  <c r="U63" i="5"/>
  <c r="V63" i="5"/>
  <c r="W63" i="5"/>
  <c r="X63" i="5"/>
  <c r="Y63" i="5"/>
  <c r="Z63" i="5"/>
  <c r="AA63" i="5"/>
  <c r="AC63" i="5"/>
  <c r="AD63" i="5"/>
  <c r="AE63" i="5"/>
  <c r="G64" i="5"/>
  <c r="H64" i="5"/>
  <c r="I64" i="5"/>
  <c r="J64" i="5"/>
  <c r="K64" i="5"/>
  <c r="L64" i="5"/>
  <c r="M64" i="5"/>
  <c r="N64" i="5"/>
  <c r="O64" i="5"/>
  <c r="P64" i="5"/>
  <c r="Q64" i="5"/>
  <c r="S64" i="5"/>
  <c r="T64" i="5"/>
  <c r="U64" i="5"/>
  <c r="V64" i="5"/>
  <c r="W64" i="5"/>
  <c r="X64" i="5"/>
  <c r="Y64" i="5"/>
  <c r="Z64" i="5"/>
  <c r="AA64" i="5"/>
  <c r="AC64" i="5"/>
  <c r="AD64" i="5"/>
  <c r="AE64" i="5"/>
  <c r="G65" i="5"/>
  <c r="H65" i="5"/>
  <c r="I65" i="5"/>
  <c r="J65" i="5"/>
  <c r="K65" i="5"/>
  <c r="L65" i="5"/>
  <c r="M65" i="5"/>
  <c r="N65" i="5"/>
  <c r="O65" i="5"/>
  <c r="P65" i="5"/>
  <c r="Q65" i="5"/>
  <c r="S65" i="5"/>
  <c r="T65" i="5"/>
  <c r="U65" i="5"/>
  <c r="V65" i="5"/>
  <c r="W65" i="5"/>
  <c r="X65" i="5"/>
  <c r="Y65" i="5"/>
  <c r="Z65" i="5"/>
  <c r="AA65" i="5"/>
  <c r="AC65" i="5"/>
  <c r="AD65" i="5"/>
  <c r="AE65" i="5"/>
  <c r="G66" i="5"/>
  <c r="H66" i="5"/>
  <c r="I66" i="5"/>
  <c r="J66" i="5"/>
  <c r="K66" i="5"/>
  <c r="L66" i="5"/>
  <c r="M66" i="5"/>
  <c r="N66" i="5"/>
  <c r="O66" i="5"/>
  <c r="P66" i="5"/>
  <c r="Q66" i="5"/>
  <c r="S66" i="5"/>
  <c r="T66" i="5"/>
  <c r="U66" i="5"/>
  <c r="V66" i="5"/>
  <c r="W66" i="5"/>
  <c r="X66" i="5"/>
  <c r="Y66" i="5"/>
  <c r="Z66" i="5"/>
  <c r="AA66" i="5"/>
  <c r="AC66" i="5"/>
  <c r="AD66" i="5"/>
  <c r="AE66" i="5"/>
  <c r="G67" i="5"/>
  <c r="H67" i="5"/>
  <c r="I67" i="5"/>
  <c r="J67" i="5"/>
  <c r="K67" i="5"/>
  <c r="L67" i="5"/>
  <c r="M67" i="5"/>
  <c r="N67" i="5"/>
  <c r="O67" i="5"/>
  <c r="P67" i="5"/>
  <c r="Q67" i="5"/>
  <c r="S67" i="5"/>
  <c r="T67" i="5"/>
  <c r="U67" i="5"/>
  <c r="V67" i="5"/>
  <c r="W67" i="5"/>
  <c r="X67" i="5"/>
  <c r="Y67" i="5"/>
  <c r="Z67" i="5"/>
  <c r="AA67" i="5"/>
  <c r="AC67" i="5"/>
  <c r="AD67" i="5"/>
  <c r="AE67" i="5"/>
  <c r="G68" i="5"/>
  <c r="H68" i="5"/>
  <c r="I68" i="5"/>
  <c r="J68" i="5"/>
  <c r="K68" i="5"/>
  <c r="L68" i="5"/>
  <c r="M68" i="5"/>
  <c r="N68" i="5"/>
  <c r="O68" i="5"/>
  <c r="P68" i="5"/>
  <c r="Q68" i="5"/>
  <c r="S68" i="5"/>
  <c r="T68" i="5"/>
  <c r="U68" i="5"/>
  <c r="V68" i="5"/>
  <c r="W68" i="5"/>
  <c r="X68" i="5"/>
  <c r="Y68" i="5"/>
  <c r="Z68" i="5"/>
  <c r="AA68" i="5"/>
  <c r="AC68" i="5"/>
  <c r="AD68" i="5"/>
  <c r="AE68" i="5"/>
  <c r="G69" i="5"/>
  <c r="H69" i="5"/>
  <c r="I69" i="5"/>
  <c r="J69" i="5"/>
  <c r="K69" i="5"/>
  <c r="L69" i="5"/>
  <c r="M69" i="5"/>
  <c r="N69" i="5"/>
  <c r="O69" i="5"/>
  <c r="P69" i="5"/>
  <c r="Q69" i="5"/>
  <c r="S69" i="5"/>
  <c r="T69" i="5"/>
  <c r="U69" i="5"/>
  <c r="V69" i="5"/>
  <c r="W69" i="5"/>
  <c r="X69" i="5"/>
  <c r="Y69" i="5"/>
  <c r="Z69" i="5"/>
  <c r="AA69" i="5"/>
  <c r="AC69" i="5"/>
  <c r="AD69" i="5"/>
  <c r="AE69" i="5"/>
  <c r="G70" i="5"/>
  <c r="H70" i="5"/>
  <c r="I70" i="5"/>
  <c r="J70" i="5"/>
  <c r="K70" i="5"/>
  <c r="L70" i="5"/>
  <c r="M70" i="5"/>
  <c r="N70" i="5"/>
  <c r="O70" i="5"/>
  <c r="P70" i="5"/>
  <c r="Q70" i="5"/>
  <c r="S70" i="5"/>
  <c r="T70" i="5"/>
  <c r="U70" i="5"/>
  <c r="V70" i="5"/>
  <c r="W70" i="5"/>
  <c r="X70" i="5"/>
  <c r="Y70" i="5"/>
  <c r="Z70" i="5"/>
  <c r="AA70" i="5"/>
  <c r="AC70" i="5"/>
  <c r="AD70" i="5"/>
  <c r="AE70" i="5"/>
  <c r="G71" i="5"/>
  <c r="H71" i="5"/>
  <c r="I71" i="5"/>
  <c r="J71" i="5"/>
  <c r="K71" i="5"/>
  <c r="L71" i="5"/>
  <c r="M71" i="5"/>
  <c r="N71" i="5"/>
  <c r="O71" i="5"/>
  <c r="P71" i="5"/>
  <c r="Q71" i="5"/>
  <c r="S71" i="5"/>
  <c r="T71" i="5"/>
  <c r="U71" i="5"/>
  <c r="V71" i="5"/>
  <c r="W71" i="5"/>
  <c r="X71" i="5"/>
  <c r="Y71" i="5"/>
  <c r="Z71" i="5"/>
  <c r="AA71" i="5"/>
  <c r="AC71" i="5"/>
  <c r="AD71" i="5"/>
  <c r="AE71" i="5"/>
  <c r="G72" i="5"/>
  <c r="H72" i="5"/>
  <c r="I72" i="5"/>
  <c r="J72" i="5"/>
  <c r="K72" i="5"/>
  <c r="L72" i="5"/>
  <c r="M72" i="5"/>
  <c r="N72" i="5"/>
  <c r="O72" i="5"/>
  <c r="P72" i="5"/>
  <c r="Q72" i="5"/>
  <c r="S72" i="5"/>
  <c r="T72" i="5"/>
  <c r="U72" i="5"/>
  <c r="V72" i="5"/>
  <c r="W72" i="5"/>
  <c r="X72" i="5"/>
  <c r="Y72" i="5"/>
  <c r="Z72" i="5"/>
  <c r="AA72" i="5"/>
  <c r="AC72" i="5"/>
  <c r="AD72" i="5"/>
  <c r="AE72" i="5"/>
  <c r="G73" i="5"/>
  <c r="H73" i="5"/>
  <c r="I73" i="5"/>
  <c r="J73" i="5"/>
  <c r="K73" i="5"/>
  <c r="L73" i="5"/>
  <c r="M73" i="5"/>
  <c r="N73" i="5"/>
  <c r="O73" i="5"/>
  <c r="P73" i="5"/>
  <c r="Q73" i="5"/>
  <c r="S73" i="5"/>
  <c r="T73" i="5"/>
  <c r="U73" i="5"/>
  <c r="V73" i="5"/>
  <c r="W73" i="5"/>
  <c r="X73" i="5"/>
  <c r="Y73" i="5"/>
  <c r="Z73" i="5"/>
  <c r="AA73" i="5"/>
  <c r="AC73" i="5"/>
  <c r="AD73" i="5"/>
  <c r="AE73" i="5"/>
  <c r="G74" i="5"/>
  <c r="H74" i="5"/>
  <c r="I74" i="5"/>
  <c r="J74" i="5"/>
  <c r="K74" i="5"/>
  <c r="L74" i="5"/>
  <c r="M74" i="5"/>
  <c r="N74" i="5"/>
  <c r="O74" i="5"/>
  <c r="P74" i="5"/>
  <c r="Q74" i="5"/>
  <c r="S74" i="5"/>
  <c r="T74" i="5"/>
  <c r="U74" i="5"/>
  <c r="V74" i="5"/>
  <c r="W74" i="5"/>
  <c r="X74" i="5"/>
  <c r="Y74" i="5"/>
  <c r="Z74" i="5"/>
  <c r="AA74" i="5"/>
  <c r="AC74" i="5"/>
  <c r="AD74" i="5"/>
  <c r="AE74" i="5"/>
  <c r="G75" i="5"/>
  <c r="H75" i="5"/>
  <c r="I75" i="5"/>
  <c r="J75" i="5"/>
  <c r="K75" i="5"/>
  <c r="L75" i="5"/>
  <c r="M75" i="5"/>
  <c r="N75" i="5"/>
  <c r="O75" i="5"/>
  <c r="P75" i="5"/>
  <c r="Q75" i="5"/>
  <c r="S75" i="5"/>
  <c r="T75" i="5"/>
  <c r="U75" i="5"/>
  <c r="V75" i="5"/>
  <c r="W75" i="5"/>
  <c r="X75" i="5"/>
  <c r="Y75" i="5"/>
  <c r="Z75" i="5"/>
  <c r="AA75" i="5"/>
  <c r="AC75" i="5"/>
  <c r="AD75" i="5"/>
  <c r="AE75" i="5"/>
  <c r="G76" i="5"/>
  <c r="H76" i="5"/>
  <c r="I76" i="5"/>
  <c r="J76" i="5"/>
  <c r="K76" i="5"/>
  <c r="L76" i="5"/>
  <c r="M76" i="5"/>
  <c r="N76" i="5"/>
  <c r="O76" i="5"/>
  <c r="P76" i="5"/>
  <c r="Q76" i="5"/>
  <c r="S76" i="5"/>
  <c r="T76" i="5"/>
  <c r="U76" i="5"/>
  <c r="V76" i="5"/>
  <c r="W76" i="5"/>
  <c r="X76" i="5"/>
  <c r="Y76" i="5"/>
  <c r="Z76" i="5"/>
  <c r="AA76" i="5"/>
  <c r="AC76" i="5"/>
  <c r="AD76" i="5"/>
  <c r="AE76" i="5"/>
  <c r="G77" i="5"/>
  <c r="H77" i="5"/>
  <c r="I77" i="5"/>
  <c r="J77" i="5"/>
  <c r="K77" i="5"/>
  <c r="L77" i="5"/>
  <c r="M77" i="5"/>
  <c r="N77" i="5"/>
  <c r="O77" i="5"/>
  <c r="P77" i="5"/>
  <c r="Q77" i="5"/>
  <c r="S77" i="5"/>
  <c r="T77" i="5"/>
  <c r="U77" i="5"/>
  <c r="V77" i="5"/>
  <c r="W77" i="5"/>
  <c r="X77" i="5"/>
  <c r="Y77" i="5"/>
  <c r="Z77" i="5"/>
  <c r="AA77" i="5"/>
  <c r="AC77" i="5"/>
  <c r="AD77" i="5"/>
  <c r="AE77" i="5"/>
  <c r="G78" i="5"/>
  <c r="H78" i="5"/>
  <c r="I78" i="5"/>
  <c r="J78" i="5"/>
  <c r="K78" i="5"/>
  <c r="L78" i="5"/>
  <c r="M78" i="5"/>
  <c r="N78" i="5"/>
  <c r="O78" i="5"/>
  <c r="P78" i="5"/>
  <c r="Q78" i="5"/>
  <c r="S78" i="5"/>
  <c r="T78" i="5"/>
  <c r="U78" i="5"/>
  <c r="V78" i="5"/>
  <c r="W78" i="5"/>
  <c r="X78" i="5"/>
  <c r="Y78" i="5"/>
  <c r="Z78" i="5"/>
  <c r="AA78" i="5"/>
  <c r="AC78" i="5"/>
  <c r="AD78" i="5"/>
  <c r="AE78" i="5"/>
  <c r="G79" i="5"/>
  <c r="H79" i="5"/>
  <c r="I79" i="5"/>
  <c r="J79" i="5"/>
  <c r="K79" i="5"/>
  <c r="L79" i="5"/>
  <c r="M79" i="5"/>
  <c r="N79" i="5"/>
  <c r="O79" i="5"/>
  <c r="P79" i="5"/>
  <c r="Q79" i="5"/>
  <c r="S79" i="5"/>
  <c r="T79" i="5"/>
  <c r="U79" i="5"/>
  <c r="V79" i="5"/>
  <c r="W79" i="5"/>
  <c r="X79" i="5"/>
  <c r="Y79" i="5"/>
  <c r="Z79" i="5"/>
  <c r="AA79" i="5"/>
  <c r="AC79" i="5"/>
  <c r="AD79" i="5"/>
  <c r="AE79" i="5"/>
  <c r="G80" i="5"/>
  <c r="H80" i="5"/>
  <c r="I80" i="5"/>
  <c r="J80" i="5"/>
  <c r="K80" i="5"/>
  <c r="L80" i="5"/>
  <c r="M80" i="5"/>
  <c r="N80" i="5"/>
  <c r="O80" i="5"/>
  <c r="P80" i="5"/>
  <c r="Q80" i="5"/>
  <c r="S80" i="5"/>
  <c r="T80" i="5"/>
  <c r="U80" i="5"/>
  <c r="V80" i="5"/>
  <c r="W80" i="5"/>
  <c r="X80" i="5"/>
  <c r="Y80" i="5"/>
  <c r="Z80" i="5"/>
  <c r="AA80" i="5"/>
  <c r="AC80" i="5"/>
  <c r="AD80" i="5"/>
  <c r="AE80" i="5"/>
  <c r="G81" i="5"/>
  <c r="H81" i="5"/>
  <c r="I81" i="5"/>
  <c r="J81" i="5"/>
  <c r="K81" i="5"/>
  <c r="L81" i="5"/>
  <c r="M81" i="5"/>
  <c r="N81" i="5"/>
  <c r="O81" i="5"/>
  <c r="P81" i="5"/>
  <c r="Q81" i="5"/>
  <c r="S81" i="5"/>
  <c r="T81" i="5"/>
  <c r="U81" i="5"/>
  <c r="V81" i="5"/>
  <c r="W81" i="5"/>
  <c r="X81" i="5"/>
  <c r="Y81" i="5"/>
  <c r="Z81" i="5"/>
  <c r="AA81" i="5"/>
  <c r="AC81" i="5"/>
  <c r="AD81" i="5"/>
  <c r="AE81" i="5"/>
  <c r="G82" i="5"/>
  <c r="H82" i="5"/>
  <c r="I82" i="5"/>
  <c r="J82" i="5"/>
  <c r="K82" i="5"/>
  <c r="L82" i="5"/>
  <c r="M82" i="5"/>
  <c r="N82" i="5"/>
  <c r="O82" i="5"/>
  <c r="P82" i="5"/>
  <c r="Q82" i="5"/>
  <c r="S82" i="5"/>
  <c r="T82" i="5"/>
  <c r="U82" i="5"/>
  <c r="V82" i="5"/>
  <c r="W82" i="5"/>
  <c r="X82" i="5"/>
  <c r="Y82" i="5"/>
  <c r="Z82" i="5"/>
  <c r="AA82" i="5"/>
  <c r="AC82" i="5"/>
  <c r="AD82" i="5"/>
  <c r="AE82" i="5"/>
  <c r="G83" i="5"/>
  <c r="H83" i="5"/>
  <c r="I83" i="5"/>
  <c r="J83" i="5"/>
  <c r="K83" i="5"/>
  <c r="L83" i="5"/>
  <c r="M83" i="5"/>
  <c r="N83" i="5"/>
  <c r="O83" i="5"/>
  <c r="P83" i="5"/>
  <c r="Q83" i="5"/>
  <c r="S83" i="5"/>
  <c r="T83" i="5"/>
  <c r="U83" i="5"/>
  <c r="V83" i="5"/>
  <c r="W83" i="5"/>
  <c r="X83" i="5"/>
  <c r="Y83" i="5"/>
  <c r="Z83" i="5"/>
  <c r="AA83" i="5"/>
  <c r="AC83" i="5"/>
  <c r="AD83" i="5"/>
  <c r="AE83" i="5"/>
  <c r="G84" i="5"/>
  <c r="H84" i="5"/>
  <c r="I84" i="5"/>
  <c r="J84" i="5"/>
  <c r="K84" i="5"/>
  <c r="L84" i="5"/>
  <c r="M84" i="5"/>
  <c r="N84" i="5"/>
  <c r="O84" i="5"/>
  <c r="P84" i="5"/>
  <c r="Q84" i="5"/>
  <c r="S84" i="5"/>
  <c r="T84" i="5"/>
  <c r="U84" i="5"/>
  <c r="V84" i="5"/>
  <c r="W84" i="5"/>
  <c r="X84" i="5"/>
  <c r="Y84" i="5"/>
  <c r="Z84" i="5"/>
  <c r="AA84" i="5"/>
  <c r="AC84" i="5"/>
  <c r="AD84" i="5"/>
  <c r="AE84" i="5"/>
  <c r="G85" i="5"/>
  <c r="H85" i="5"/>
  <c r="I85" i="5"/>
  <c r="J85" i="5"/>
  <c r="K85" i="5"/>
  <c r="L85" i="5"/>
  <c r="M85" i="5"/>
  <c r="N85" i="5"/>
  <c r="O85" i="5"/>
  <c r="P85" i="5"/>
  <c r="Q85" i="5"/>
  <c r="S85" i="5"/>
  <c r="T85" i="5"/>
  <c r="U85" i="5"/>
  <c r="V85" i="5"/>
  <c r="W85" i="5"/>
  <c r="X85" i="5"/>
  <c r="Y85" i="5"/>
  <c r="Z85" i="5"/>
  <c r="AA85" i="5"/>
  <c r="AC85" i="5"/>
  <c r="AD85" i="5"/>
  <c r="AE85" i="5"/>
  <c r="G86" i="5"/>
  <c r="H86" i="5"/>
  <c r="I86" i="5"/>
  <c r="J86" i="5"/>
  <c r="K86" i="5"/>
  <c r="L86" i="5"/>
  <c r="M86" i="5"/>
  <c r="N86" i="5"/>
  <c r="O86" i="5"/>
  <c r="P86" i="5"/>
  <c r="Q86" i="5"/>
  <c r="S86" i="5"/>
  <c r="T86" i="5"/>
  <c r="U86" i="5"/>
  <c r="V86" i="5"/>
  <c r="W86" i="5"/>
  <c r="X86" i="5"/>
  <c r="Y86" i="5"/>
  <c r="Z86" i="5"/>
  <c r="AA86" i="5"/>
  <c r="AC86" i="5"/>
  <c r="AD86" i="5"/>
  <c r="AE86" i="5"/>
  <c r="G87" i="5"/>
  <c r="H87" i="5"/>
  <c r="I87" i="5"/>
  <c r="J87" i="5"/>
  <c r="K87" i="5"/>
  <c r="L87" i="5"/>
  <c r="M87" i="5"/>
  <c r="N87" i="5"/>
  <c r="O87" i="5"/>
  <c r="P87" i="5"/>
  <c r="Q87" i="5"/>
  <c r="S87" i="5"/>
  <c r="T87" i="5"/>
  <c r="U87" i="5"/>
  <c r="V87" i="5"/>
  <c r="W87" i="5"/>
  <c r="X87" i="5"/>
  <c r="Y87" i="5"/>
  <c r="Z87" i="5"/>
  <c r="AA87" i="5"/>
  <c r="AC87" i="5"/>
  <c r="AD87" i="5"/>
  <c r="AE87" i="5"/>
  <c r="G88" i="5"/>
  <c r="H88" i="5"/>
  <c r="I88" i="5"/>
  <c r="J88" i="5"/>
  <c r="K88" i="5"/>
  <c r="L88" i="5"/>
  <c r="M88" i="5"/>
  <c r="N88" i="5"/>
  <c r="O88" i="5"/>
  <c r="P88" i="5"/>
  <c r="Q88" i="5"/>
  <c r="S88" i="5"/>
  <c r="T88" i="5"/>
  <c r="U88" i="5"/>
  <c r="V88" i="5"/>
  <c r="W88" i="5"/>
  <c r="X88" i="5"/>
  <c r="Y88" i="5"/>
  <c r="Z88" i="5"/>
  <c r="AA88" i="5"/>
  <c r="AC88" i="5"/>
  <c r="AD88" i="5"/>
  <c r="AE88" i="5"/>
  <c r="G89" i="5"/>
  <c r="H89" i="5"/>
  <c r="I89" i="5"/>
  <c r="J89" i="5"/>
  <c r="K89" i="5"/>
  <c r="L89" i="5"/>
  <c r="M89" i="5"/>
  <c r="N89" i="5"/>
  <c r="O89" i="5"/>
  <c r="P89" i="5"/>
  <c r="Q89" i="5"/>
  <c r="S89" i="5"/>
  <c r="T89" i="5"/>
  <c r="U89" i="5"/>
  <c r="V89" i="5"/>
  <c r="W89" i="5"/>
  <c r="X89" i="5"/>
  <c r="Y89" i="5"/>
  <c r="Z89" i="5"/>
  <c r="AA89" i="5"/>
  <c r="AC89" i="5"/>
  <c r="AD89" i="5"/>
  <c r="AE89" i="5"/>
  <c r="G90" i="5"/>
  <c r="H90" i="5"/>
  <c r="I90" i="5"/>
  <c r="J90" i="5"/>
  <c r="K90" i="5"/>
  <c r="L90" i="5"/>
  <c r="M90" i="5"/>
  <c r="N90" i="5"/>
  <c r="O90" i="5"/>
  <c r="P90" i="5"/>
  <c r="Q90" i="5"/>
  <c r="S90" i="5"/>
  <c r="T90" i="5"/>
  <c r="U90" i="5"/>
  <c r="V90" i="5"/>
  <c r="W90" i="5"/>
  <c r="X90" i="5"/>
  <c r="Y90" i="5"/>
  <c r="Z90" i="5"/>
  <c r="AA90" i="5"/>
  <c r="AC90" i="5"/>
  <c r="AD90" i="5"/>
  <c r="AE90" i="5"/>
  <c r="G91" i="5"/>
  <c r="H91" i="5"/>
  <c r="I91" i="5"/>
  <c r="J91" i="5"/>
  <c r="K91" i="5"/>
  <c r="L91" i="5"/>
  <c r="M91" i="5"/>
  <c r="N91" i="5"/>
  <c r="O91" i="5"/>
  <c r="P91" i="5"/>
  <c r="Q91" i="5"/>
  <c r="S91" i="5"/>
  <c r="T91" i="5"/>
  <c r="U91" i="5"/>
  <c r="V91" i="5"/>
  <c r="W91" i="5"/>
  <c r="X91" i="5"/>
  <c r="Y91" i="5"/>
  <c r="Z91" i="5"/>
  <c r="AA91" i="5"/>
  <c r="AC91" i="5"/>
  <c r="AD91" i="5"/>
  <c r="AE91" i="5"/>
  <c r="G92" i="5"/>
  <c r="H92" i="5"/>
  <c r="I92" i="5"/>
  <c r="J92" i="5"/>
  <c r="K92" i="5"/>
  <c r="L92" i="5"/>
  <c r="M92" i="5"/>
  <c r="N92" i="5"/>
  <c r="O92" i="5"/>
  <c r="P92" i="5"/>
  <c r="Q92" i="5"/>
  <c r="S92" i="5"/>
  <c r="T92" i="5"/>
  <c r="U92" i="5"/>
  <c r="V92" i="5"/>
  <c r="W92" i="5"/>
  <c r="X92" i="5"/>
  <c r="Y92" i="5"/>
  <c r="Z92" i="5"/>
  <c r="AA92" i="5"/>
  <c r="AC92" i="5"/>
  <c r="AD92" i="5"/>
  <c r="AE92" i="5"/>
  <c r="G93" i="5"/>
  <c r="H93" i="5"/>
  <c r="I93" i="5"/>
  <c r="J93" i="5"/>
  <c r="K93" i="5"/>
  <c r="L93" i="5"/>
  <c r="M93" i="5"/>
  <c r="N93" i="5"/>
  <c r="O93" i="5"/>
  <c r="P93" i="5"/>
  <c r="Q93" i="5"/>
  <c r="S93" i="5"/>
  <c r="T93" i="5"/>
  <c r="U93" i="5"/>
  <c r="V93" i="5"/>
  <c r="W93" i="5"/>
  <c r="X93" i="5"/>
  <c r="Y93" i="5"/>
  <c r="Z93" i="5"/>
  <c r="AA93" i="5"/>
  <c r="AC93" i="5"/>
  <c r="AD93" i="5"/>
  <c r="AE93" i="5"/>
  <c r="G94" i="5"/>
  <c r="H94" i="5"/>
  <c r="I94" i="5"/>
  <c r="J94" i="5"/>
  <c r="K94" i="5"/>
  <c r="L94" i="5"/>
  <c r="M94" i="5"/>
  <c r="N94" i="5"/>
  <c r="O94" i="5"/>
  <c r="P94" i="5"/>
  <c r="Q94" i="5"/>
  <c r="S94" i="5"/>
  <c r="T94" i="5"/>
  <c r="U94" i="5"/>
  <c r="V94" i="5"/>
  <c r="W94" i="5"/>
  <c r="X94" i="5"/>
  <c r="Y94" i="5"/>
  <c r="Z94" i="5"/>
  <c r="AA94" i="5"/>
  <c r="AC94" i="5"/>
  <c r="AD94" i="5"/>
  <c r="AE94" i="5"/>
  <c r="G95" i="5"/>
  <c r="H95" i="5"/>
  <c r="I95" i="5"/>
  <c r="J95" i="5"/>
  <c r="K95" i="5"/>
  <c r="L95" i="5"/>
  <c r="M95" i="5"/>
  <c r="N95" i="5"/>
  <c r="O95" i="5"/>
  <c r="P95" i="5"/>
  <c r="Q95" i="5"/>
  <c r="S95" i="5"/>
  <c r="T95" i="5"/>
  <c r="U95" i="5"/>
  <c r="V95" i="5"/>
  <c r="W95" i="5"/>
  <c r="X95" i="5"/>
  <c r="Y95" i="5"/>
  <c r="Z95" i="5"/>
  <c r="AA95" i="5"/>
  <c r="AC95" i="5"/>
  <c r="AD95" i="5"/>
  <c r="AE95" i="5"/>
  <c r="G96" i="5"/>
  <c r="H96" i="5"/>
  <c r="I96" i="5"/>
  <c r="J96" i="5"/>
  <c r="K96" i="5"/>
  <c r="L96" i="5"/>
  <c r="M96" i="5"/>
  <c r="N96" i="5"/>
  <c r="O96" i="5"/>
  <c r="P96" i="5"/>
  <c r="Q96" i="5"/>
  <c r="S96" i="5"/>
  <c r="T96" i="5"/>
  <c r="U96" i="5"/>
  <c r="V96" i="5"/>
  <c r="W96" i="5"/>
  <c r="X96" i="5"/>
  <c r="Y96" i="5"/>
  <c r="Z96" i="5"/>
  <c r="AA96" i="5"/>
  <c r="AC96" i="5"/>
  <c r="AD96" i="5"/>
  <c r="AE96" i="5"/>
  <c r="G97" i="5"/>
  <c r="H97" i="5"/>
  <c r="I97" i="5"/>
  <c r="J97" i="5"/>
  <c r="K97" i="5"/>
  <c r="L97" i="5"/>
  <c r="M97" i="5"/>
  <c r="N97" i="5"/>
  <c r="O97" i="5"/>
  <c r="P97" i="5"/>
  <c r="Q97" i="5"/>
  <c r="S97" i="5"/>
  <c r="T97" i="5"/>
  <c r="U97" i="5"/>
  <c r="V97" i="5"/>
  <c r="W97" i="5"/>
  <c r="X97" i="5"/>
  <c r="Y97" i="5"/>
  <c r="Z97" i="5"/>
  <c r="AA97" i="5"/>
  <c r="AC97" i="5"/>
  <c r="AD97" i="5"/>
  <c r="AE97" i="5"/>
  <c r="G98" i="5"/>
  <c r="H98" i="5"/>
  <c r="I98" i="5"/>
  <c r="J98" i="5"/>
  <c r="K98" i="5"/>
  <c r="L98" i="5"/>
  <c r="M98" i="5"/>
  <c r="N98" i="5"/>
  <c r="O98" i="5"/>
  <c r="P98" i="5"/>
  <c r="Q98" i="5"/>
  <c r="S98" i="5"/>
  <c r="T98" i="5"/>
  <c r="U98" i="5"/>
  <c r="V98" i="5"/>
  <c r="W98" i="5"/>
  <c r="X98" i="5"/>
  <c r="Y98" i="5"/>
  <c r="Z98" i="5"/>
  <c r="AA98" i="5"/>
  <c r="AC98" i="5"/>
  <c r="AD98" i="5"/>
  <c r="AE98" i="5"/>
  <c r="G99" i="5"/>
  <c r="H99" i="5"/>
  <c r="I99" i="5"/>
  <c r="J99" i="5"/>
  <c r="K99" i="5"/>
  <c r="L99" i="5"/>
  <c r="M99" i="5"/>
  <c r="N99" i="5"/>
  <c r="O99" i="5"/>
  <c r="P99" i="5"/>
  <c r="Q99" i="5"/>
  <c r="S99" i="5"/>
  <c r="T99" i="5"/>
  <c r="U99" i="5"/>
  <c r="V99" i="5"/>
  <c r="W99" i="5"/>
  <c r="X99" i="5"/>
  <c r="Y99" i="5"/>
  <c r="Z99" i="5"/>
  <c r="AA99" i="5"/>
  <c r="AC99" i="5"/>
  <c r="AD99" i="5"/>
  <c r="AE99" i="5"/>
  <c r="G100" i="5"/>
  <c r="H100" i="5"/>
  <c r="I100" i="5"/>
  <c r="J100" i="5"/>
  <c r="K100" i="5"/>
  <c r="L100" i="5"/>
  <c r="M100" i="5"/>
  <c r="N100" i="5"/>
  <c r="O100" i="5"/>
  <c r="P100" i="5"/>
  <c r="Q100" i="5"/>
  <c r="S100" i="5"/>
  <c r="T100" i="5"/>
  <c r="U100" i="5"/>
  <c r="V100" i="5"/>
  <c r="W100" i="5"/>
  <c r="X100" i="5"/>
  <c r="Y100" i="5"/>
  <c r="Z100" i="5"/>
  <c r="AA100" i="5"/>
  <c r="AC100" i="5"/>
  <c r="AD100" i="5"/>
  <c r="AE100" i="5"/>
  <c r="G101" i="5"/>
  <c r="H101" i="5"/>
  <c r="I101" i="5"/>
  <c r="J101" i="5"/>
  <c r="K101" i="5"/>
  <c r="L101" i="5"/>
  <c r="M101" i="5"/>
  <c r="N101" i="5"/>
  <c r="O101" i="5"/>
  <c r="P101" i="5"/>
  <c r="Q101" i="5"/>
  <c r="S101" i="5"/>
  <c r="T101" i="5"/>
  <c r="U101" i="5"/>
  <c r="V101" i="5"/>
  <c r="W101" i="5"/>
  <c r="X101" i="5"/>
  <c r="Y101" i="5"/>
  <c r="Z101" i="5"/>
  <c r="AA101" i="5"/>
  <c r="AC101" i="5"/>
  <c r="AD101" i="5"/>
  <c r="AE101" i="5"/>
  <c r="G102" i="5"/>
  <c r="H102" i="5"/>
  <c r="I102" i="5"/>
  <c r="J102" i="5"/>
  <c r="K102" i="5"/>
  <c r="L102" i="5"/>
  <c r="M102" i="5"/>
  <c r="N102" i="5"/>
  <c r="O102" i="5"/>
  <c r="P102" i="5"/>
  <c r="Q102" i="5"/>
  <c r="S102" i="5"/>
  <c r="T102" i="5"/>
  <c r="U102" i="5"/>
  <c r="V102" i="5"/>
  <c r="W102" i="5"/>
  <c r="X102" i="5"/>
  <c r="Y102" i="5"/>
  <c r="Z102" i="5"/>
  <c r="AA102" i="5"/>
  <c r="AC102" i="5"/>
  <c r="AD102" i="5"/>
  <c r="AE102" i="5"/>
  <c r="G103" i="5"/>
  <c r="H103" i="5"/>
  <c r="I103" i="5"/>
  <c r="J103" i="5"/>
  <c r="K103" i="5"/>
  <c r="L103" i="5"/>
  <c r="M103" i="5"/>
  <c r="N103" i="5"/>
  <c r="O103" i="5"/>
  <c r="P103" i="5"/>
  <c r="Q103" i="5"/>
  <c r="S103" i="5"/>
  <c r="T103" i="5"/>
  <c r="U103" i="5"/>
  <c r="V103" i="5"/>
  <c r="W103" i="5"/>
  <c r="X103" i="5"/>
  <c r="Y103" i="5"/>
  <c r="Z103" i="5"/>
  <c r="AA103" i="5"/>
  <c r="AC103" i="5"/>
  <c r="AD103" i="5"/>
  <c r="AE103" i="5"/>
  <c r="G104" i="5"/>
  <c r="H104" i="5"/>
  <c r="I104" i="5"/>
  <c r="J104" i="5"/>
  <c r="K104" i="5"/>
  <c r="L104" i="5"/>
  <c r="M104" i="5"/>
  <c r="N104" i="5"/>
  <c r="O104" i="5"/>
  <c r="P104" i="5"/>
  <c r="Q104" i="5"/>
  <c r="S104" i="5"/>
  <c r="T104" i="5"/>
  <c r="U104" i="5"/>
  <c r="V104" i="5"/>
  <c r="W104" i="5"/>
  <c r="X104" i="5"/>
  <c r="Y104" i="5"/>
  <c r="Z104" i="5"/>
  <c r="AA104" i="5"/>
  <c r="AC104" i="5"/>
  <c r="AD104" i="5"/>
  <c r="AE104" i="5"/>
  <c r="G105" i="5"/>
  <c r="H105" i="5"/>
  <c r="I105" i="5"/>
  <c r="J105" i="5"/>
  <c r="K105" i="5"/>
  <c r="L105" i="5"/>
  <c r="M105" i="5"/>
  <c r="N105" i="5"/>
  <c r="O105" i="5"/>
  <c r="P105" i="5"/>
  <c r="Q105" i="5"/>
  <c r="S105" i="5"/>
  <c r="T105" i="5"/>
  <c r="U105" i="5"/>
  <c r="V105" i="5"/>
  <c r="W105" i="5"/>
  <c r="X105" i="5"/>
  <c r="Y105" i="5"/>
  <c r="Z105" i="5"/>
  <c r="AA105" i="5"/>
  <c r="AC105" i="5"/>
  <c r="AD105" i="5"/>
  <c r="AE105" i="5"/>
  <c r="G106" i="5"/>
  <c r="H106" i="5"/>
  <c r="I106" i="5"/>
  <c r="J106" i="5"/>
  <c r="K106" i="5"/>
  <c r="L106" i="5"/>
  <c r="M106" i="5"/>
  <c r="N106" i="5"/>
  <c r="O106" i="5"/>
  <c r="P106" i="5"/>
  <c r="Q106" i="5"/>
  <c r="S106" i="5"/>
  <c r="T106" i="5"/>
  <c r="U106" i="5"/>
  <c r="V106" i="5"/>
  <c r="W106" i="5"/>
  <c r="X106" i="5"/>
  <c r="Y106" i="5"/>
  <c r="Z106" i="5"/>
  <c r="AA106" i="5"/>
  <c r="AC106" i="5"/>
  <c r="AD106" i="5"/>
  <c r="AE106" i="5"/>
  <c r="G107" i="5"/>
  <c r="H107" i="5"/>
  <c r="I107" i="5"/>
  <c r="J107" i="5"/>
  <c r="K107" i="5"/>
  <c r="L107" i="5"/>
  <c r="M107" i="5"/>
  <c r="N107" i="5"/>
  <c r="O107" i="5"/>
  <c r="P107" i="5"/>
  <c r="Q107" i="5"/>
  <c r="S107" i="5"/>
  <c r="T107" i="5"/>
  <c r="U107" i="5"/>
  <c r="V107" i="5"/>
  <c r="W107" i="5"/>
  <c r="X107" i="5"/>
  <c r="Y107" i="5"/>
  <c r="Z107" i="5"/>
  <c r="AA107" i="5"/>
  <c r="AC107" i="5"/>
  <c r="AD107" i="5"/>
  <c r="AE107" i="5"/>
  <c r="G108" i="5"/>
  <c r="H108" i="5"/>
  <c r="I108" i="5"/>
  <c r="J108" i="5"/>
  <c r="K108" i="5"/>
  <c r="L108" i="5"/>
  <c r="M108" i="5"/>
  <c r="N108" i="5"/>
  <c r="O108" i="5"/>
  <c r="P108" i="5"/>
  <c r="Q108" i="5"/>
  <c r="S108" i="5"/>
  <c r="T108" i="5"/>
  <c r="U108" i="5"/>
  <c r="V108" i="5"/>
  <c r="W108" i="5"/>
  <c r="X108" i="5"/>
  <c r="Y108" i="5"/>
  <c r="Z108" i="5"/>
  <c r="AA108" i="5"/>
  <c r="AC108" i="5"/>
  <c r="AD108" i="5"/>
  <c r="AE108" i="5"/>
  <c r="G109" i="5"/>
  <c r="H109" i="5"/>
  <c r="I109" i="5"/>
  <c r="J109" i="5"/>
  <c r="K109" i="5"/>
  <c r="L109" i="5"/>
  <c r="M109" i="5"/>
  <c r="N109" i="5"/>
  <c r="O109" i="5"/>
  <c r="P109" i="5"/>
  <c r="Q109" i="5"/>
  <c r="S109" i="5"/>
  <c r="T109" i="5"/>
  <c r="U109" i="5"/>
  <c r="V109" i="5"/>
  <c r="W109" i="5"/>
  <c r="X109" i="5"/>
  <c r="Y109" i="5"/>
  <c r="Z109" i="5"/>
  <c r="AA109" i="5"/>
  <c r="AC109" i="5"/>
  <c r="AD109" i="5"/>
  <c r="AE109" i="5"/>
  <c r="G110" i="5"/>
  <c r="H110" i="5"/>
  <c r="I110" i="5"/>
  <c r="J110" i="5"/>
  <c r="K110" i="5"/>
  <c r="L110" i="5"/>
  <c r="M110" i="5"/>
  <c r="N110" i="5"/>
  <c r="O110" i="5"/>
  <c r="P110" i="5"/>
  <c r="Q110" i="5"/>
  <c r="S110" i="5"/>
  <c r="T110" i="5"/>
  <c r="U110" i="5"/>
  <c r="V110" i="5"/>
  <c r="W110" i="5"/>
  <c r="X110" i="5"/>
  <c r="Y110" i="5"/>
  <c r="Z110" i="5"/>
  <c r="AA110" i="5"/>
  <c r="AC110" i="5"/>
  <c r="AD110" i="5"/>
  <c r="AE110" i="5"/>
  <c r="G111" i="5"/>
  <c r="H111" i="5"/>
  <c r="I111" i="5"/>
  <c r="J111" i="5"/>
  <c r="K111" i="5"/>
  <c r="L111" i="5"/>
  <c r="M111" i="5"/>
  <c r="N111" i="5"/>
  <c r="O111" i="5"/>
  <c r="P111" i="5"/>
  <c r="Q111" i="5"/>
  <c r="S111" i="5"/>
  <c r="T111" i="5"/>
  <c r="U111" i="5"/>
  <c r="V111" i="5"/>
  <c r="W111" i="5"/>
  <c r="X111" i="5"/>
  <c r="Y111" i="5"/>
  <c r="Z111" i="5"/>
  <c r="AA111" i="5"/>
  <c r="AC111" i="5"/>
  <c r="AD111" i="5"/>
  <c r="AE111" i="5"/>
  <c r="G112" i="5"/>
  <c r="H112" i="5"/>
  <c r="I112" i="5"/>
  <c r="J112" i="5"/>
  <c r="K112" i="5"/>
  <c r="L112" i="5"/>
  <c r="M112" i="5"/>
  <c r="N112" i="5"/>
  <c r="O112" i="5"/>
  <c r="P112" i="5"/>
  <c r="Q112" i="5"/>
  <c r="S112" i="5"/>
  <c r="T112" i="5"/>
  <c r="U112" i="5"/>
  <c r="V112" i="5"/>
  <c r="W112" i="5"/>
  <c r="X112" i="5"/>
  <c r="Y112" i="5"/>
  <c r="Z112" i="5"/>
  <c r="AA112" i="5"/>
  <c r="AC112" i="5"/>
  <c r="AD112" i="5"/>
  <c r="AE112" i="5"/>
  <c r="G113" i="5"/>
  <c r="H113" i="5"/>
  <c r="I113" i="5"/>
  <c r="J113" i="5"/>
  <c r="K113" i="5"/>
  <c r="L113" i="5"/>
  <c r="M113" i="5"/>
  <c r="N113" i="5"/>
  <c r="O113" i="5"/>
  <c r="P113" i="5"/>
  <c r="Q113" i="5"/>
  <c r="S113" i="5"/>
  <c r="T113" i="5"/>
  <c r="U113" i="5"/>
  <c r="V113" i="5"/>
  <c r="W113" i="5"/>
  <c r="X113" i="5"/>
  <c r="Y113" i="5"/>
  <c r="Z113" i="5"/>
  <c r="AA113" i="5"/>
  <c r="AC113" i="5"/>
  <c r="AD113" i="5"/>
  <c r="AE113" i="5"/>
  <c r="G114" i="5"/>
  <c r="H114" i="5"/>
  <c r="I114" i="5"/>
  <c r="J114" i="5"/>
  <c r="K114" i="5"/>
  <c r="L114" i="5"/>
  <c r="M114" i="5"/>
  <c r="N114" i="5"/>
  <c r="O114" i="5"/>
  <c r="P114" i="5"/>
  <c r="Q114" i="5"/>
  <c r="S114" i="5"/>
  <c r="T114" i="5"/>
  <c r="U114" i="5"/>
  <c r="V114" i="5"/>
  <c r="W114" i="5"/>
  <c r="X114" i="5"/>
  <c r="Y114" i="5"/>
  <c r="Z114" i="5"/>
  <c r="AA114" i="5"/>
  <c r="AC114" i="5"/>
  <c r="AD114" i="5"/>
  <c r="AE114" i="5"/>
  <c r="G115" i="5"/>
  <c r="H115" i="5"/>
  <c r="I115" i="5"/>
  <c r="J115" i="5"/>
  <c r="K115" i="5"/>
  <c r="L115" i="5"/>
  <c r="M115" i="5"/>
  <c r="N115" i="5"/>
  <c r="O115" i="5"/>
  <c r="P115" i="5"/>
  <c r="Q115" i="5"/>
  <c r="S115" i="5"/>
  <c r="T115" i="5"/>
  <c r="U115" i="5"/>
  <c r="V115" i="5"/>
  <c r="W115" i="5"/>
  <c r="X115" i="5"/>
  <c r="Y115" i="5"/>
  <c r="Z115" i="5"/>
  <c r="AA115" i="5"/>
  <c r="AC115" i="5"/>
  <c r="AD115" i="5"/>
  <c r="AE115" i="5"/>
  <c r="G116" i="5"/>
  <c r="H116" i="5"/>
  <c r="I116" i="5"/>
  <c r="J116" i="5"/>
  <c r="K116" i="5"/>
  <c r="L116" i="5"/>
  <c r="M116" i="5"/>
  <c r="N116" i="5"/>
  <c r="O116" i="5"/>
  <c r="P116" i="5"/>
  <c r="Q116" i="5"/>
  <c r="S116" i="5"/>
  <c r="T116" i="5"/>
  <c r="U116" i="5"/>
  <c r="V116" i="5"/>
  <c r="W116" i="5"/>
  <c r="X116" i="5"/>
  <c r="Y116" i="5"/>
  <c r="Z116" i="5"/>
  <c r="AA116" i="5"/>
  <c r="AC116" i="5"/>
  <c r="AD116" i="5"/>
  <c r="AE116" i="5"/>
  <c r="G117" i="5"/>
  <c r="H117" i="5"/>
  <c r="I117" i="5"/>
  <c r="J117" i="5"/>
  <c r="K117" i="5"/>
  <c r="L117" i="5"/>
  <c r="M117" i="5"/>
  <c r="N117" i="5"/>
  <c r="O117" i="5"/>
  <c r="P117" i="5"/>
  <c r="Q117" i="5"/>
  <c r="S117" i="5"/>
  <c r="T117" i="5"/>
  <c r="U117" i="5"/>
  <c r="V117" i="5"/>
  <c r="W117" i="5"/>
  <c r="X117" i="5"/>
  <c r="Y117" i="5"/>
  <c r="Z117" i="5"/>
  <c r="AA117" i="5"/>
  <c r="AC117" i="5"/>
  <c r="AD117" i="5"/>
  <c r="AE117" i="5"/>
  <c r="G118" i="5"/>
  <c r="H118" i="5"/>
  <c r="I118" i="5"/>
  <c r="J118" i="5"/>
  <c r="K118" i="5"/>
  <c r="L118" i="5"/>
  <c r="M118" i="5"/>
  <c r="N118" i="5"/>
  <c r="O118" i="5"/>
  <c r="P118" i="5"/>
  <c r="Q118" i="5"/>
  <c r="S118" i="5"/>
  <c r="T118" i="5"/>
  <c r="U118" i="5"/>
  <c r="V118" i="5"/>
  <c r="W118" i="5"/>
  <c r="X118" i="5"/>
  <c r="Y118" i="5"/>
  <c r="Z118" i="5"/>
  <c r="AA118" i="5"/>
  <c r="AC118" i="5"/>
  <c r="AD118" i="5"/>
  <c r="AE118" i="5"/>
  <c r="G119" i="5"/>
  <c r="H119" i="5"/>
  <c r="I119" i="5"/>
  <c r="J119" i="5"/>
  <c r="K119" i="5"/>
  <c r="L119" i="5"/>
  <c r="M119" i="5"/>
  <c r="N119" i="5"/>
  <c r="O119" i="5"/>
  <c r="P119" i="5"/>
  <c r="Q119" i="5"/>
  <c r="S119" i="5"/>
  <c r="T119" i="5"/>
  <c r="U119" i="5"/>
  <c r="V119" i="5"/>
  <c r="W119" i="5"/>
  <c r="X119" i="5"/>
  <c r="Y119" i="5"/>
  <c r="Z119" i="5"/>
  <c r="AA119" i="5"/>
  <c r="AC119" i="5"/>
  <c r="AD119" i="5"/>
  <c r="AE119" i="5"/>
  <c r="G120" i="5"/>
  <c r="H120" i="5"/>
  <c r="I120" i="5"/>
  <c r="J120" i="5"/>
  <c r="K120" i="5"/>
  <c r="L120" i="5"/>
  <c r="M120" i="5"/>
  <c r="N120" i="5"/>
  <c r="O120" i="5"/>
  <c r="P120" i="5"/>
  <c r="Q120" i="5"/>
  <c r="S120" i="5"/>
  <c r="T120" i="5"/>
  <c r="U120" i="5"/>
  <c r="V120" i="5"/>
  <c r="W120" i="5"/>
  <c r="X120" i="5"/>
  <c r="Y120" i="5"/>
  <c r="Z120" i="5"/>
  <c r="AA120" i="5"/>
  <c r="AC120" i="5"/>
  <c r="AD120" i="5"/>
  <c r="AE120" i="5"/>
  <c r="G121" i="5"/>
  <c r="H121" i="5"/>
  <c r="I121" i="5"/>
  <c r="J121" i="5"/>
  <c r="K121" i="5"/>
  <c r="L121" i="5"/>
  <c r="M121" i="5"/>
  <c r="N121" i="5"/>
  <c r="O121" i="5"/>
  <c r="P121" i="5"/>
  <c r="Q121" i="5"/>
  <c r="S121" i="5"/>
  <c r="T121" i="5"/>
  <c r="U121" i="5"/>
  <c r="V121" i="5"/>
  <c r="W121" i="5"/>
  <c r="X121" i="5"/>
  <c r="Y121" i="5"/>
  <c r="Z121" i="5"/>
  <c r="AA121" i="5"/>
  <c r="AC121" i="5"/>
  <c r="AD121" i="5"/>
  <c r="AE121" i="5"/>
  <c r="G122" i="5"/>
  <c r="H122" i="5"/>
  <c r="I122" i="5"/>
  <c r="J122" i="5"/>
  <c r="K122" i="5"/>
  <c r="L122" i="5"/>
  <c r="M122" i="5"/>
  <c r="N122" i="5"/>
  <c r="O122" i="5"/>
  <c r="P122" i="5"/>
  <c r="Q122" i="5"/>
  <c r="S122" i="5"/>
  <c r="T122" i="5"/>
  <c r="U122" i="5"/>
  <c r="V122" i="5"/>
  <c r="W122" i="5"/>
  <c r="X122" i="5"/>
  <c r="Y122" i="5"/>
  <c r="Z122" i="5"/>
  <c r="AA122" i="5"/>
  <c r="AC122" i="5"/>
  <c r="AD122" i="5"/>
  <c r="AE122" i="5"/>
  <c r="G123" i="5"/>
  <c r="H123" i="5"/>
  <c r="I123" i="5"/>
  <c r="J123" i="5"/>
  <c r="K123" i="5"/>
  <c r="L123" i="5"/>
  <c r="M123" i="5"/>
  <c r="N123" i="5"/>
  <c r="O123" i="5"/>
  <c r="P123" i="5"/>
  <c r="Q123" i="5"/>
  <c r="S123" i="5"/>
  <c r="T123" i="5"/>
  <c r="U123" i="5"/>
  <c r="V123" i="5"/>
  <c r="W123" i="5"/>
  <c r="X123" i="5"/>
  <c r="Y123" i="5"/>
  <c r="Z123" i="5"/>
  <c r="AA123" i="5"/>
  <c r="AC123" i="5"/>
  <c r="AD123" i="5"/>
  <c r="AE123" i="5"/>
  <c r="G124" i="5"/>
  <c r="H124" i="5"/>
  <c r="I124" i="5"/>
  <c r="J124" i="5"/>
  <c r="K124" i="5"/>
  <c r="L124" i="5"/>
  <c r="M124" i="5"/>
  <c r="N124" i="5"/>
  <c r="O124" i="5"/>
  <c r="P124" i="5"/>
  <c r="Q124" i="5"/>
  <c r="S124" i="5"/>
  <c r="T124" i="5"/>
  <c r="U124" i="5"/>
  <c r="V124" i="5"/>
  <c r="W124" i="5"/>
  <c r="X124" i="5"/>
  <c r="Y124" i="5"/>
  <c r="Z124" i="5"/>
  <c r="AA124" i="5"/>
  <c r="AC124" i="5"/>
  <c r="AD124" i="5"/>
  <c r="AE124" i="5"/>
  <c r="G125" i="5"/>
  <c r="H125" i="5"/>
  <c r="I125" i="5"/>
  <c r="J125" i="5"/>
  <c r="K125" i="5"/>
  <c r="L125" i="5"/>
  <c r="M125" i="5"/>
  <c r="N125" i="5"/>
  <c r="O125" i="5"/>
  <c r="P125" i="5"/>
  <c r="Q125" i="5"/>
  <c r="S125" i="5"/>
  <c r="T125" i="5"/>
  <c r="U125" i="5"/>
  <c r="V125" i="5"/>
  <c r="W125" i="5"/>
  <c r="X125" i="5"/>
  <c r="Y125" i="5"/>
  <c r="Z125" i="5"/>
  <c r="AA125" i="5"/>
  <c r="AC125" i="5"/>
  <c r="AD125" i="5"/>
  <c r="AE125" i="5"/>
  <c r="G126" i="5"/>
  <c r="H126" i="5"/>
  <c r="I126" i="5"/>
  <c r="J126" i="5"/>
  <c r="K126" i="5"/>
  <c r="L126" i="5"/>
  <c r="M126" i="5"/>
  <c r="N126" i="5"/>
  <c r="O126" i="5"/>
  <c r="P126" i="5"/>
  <c r="Q126" i="5"/>
  <c r="S126" i="5"/>
  <c r="T126" i="5"/>
  <c r="U126" i="5"/>
  <c r="V126" i="5"/>
  <c r="W126" i="5"/>
  <c r="X126" i="5"/>
  <c r="Y126" i="5"/>
  <c r="Z126" i="5"/>
  <c r="AA126" i="5"/>
  <c r="AC126" i="5"/>
  <c r="AD126" i="5"/>
  <c r="AE126" i="5"/>
  <c r="G127" i="5"/>
  <c r="H127" i="5"/>
  <c r="I127" i="5"/>
  <c r="J127" i="5"/>
  <c r="K127" i="5"/>
  <c r="L127" i="5"/>
  <c r="M127" i="5"/>
  <c r="N127" i="5"/>
  <c r="O127" i="5"/>
  <c r="P127" i="5"/>
  <c r="Q127" i="5"/>
  <c r="S127" i="5"/>
  <c r="T127" i="5"/>
  <c r="U127" i="5"/>
  <c r="V127" i="5"/>
  <c r="W127" i="5"/>
  <c r="X127" i="5"/>
  <c r="Y127" i="5"/>
  <c r="Z127" i="5"/>
  <c r="AA127" i="5"/>
  <c r="AC127" i="5"/>
  <c r="AD127" i="5"/>
  <c r="AE127" i="5"/>
  <c r="G128" i="5"/>
  <c r="H128" i="5"/>
  <c r="I128" i="5"/>
  <c r="J128" i="5"/>
  <c r="K128" i="5"/>
  <c r="L128" i="5"/>
  <c r="M128" i="5"/>
  <c r="N128" i="5"/>
  <c r="O128" i="5"/>
  <c r="P128" i="5"/>
  <c r="Q128" i="5"/>
  <c r="S128" i="5"/>
  <c r="T128" i="5"/>
  <c r="U128" i="5"/>
  <c r="V128" i="5"/>
  <c r="W128" i="5"/>
  <c r="X128" i="5"/>
  <c r="Y128" i="5"/>
  <c r="Z128" i="5"/>
  <c r="AA128" i="5"/>
  <c r="AC128" i="5"/>
  <c r="AD128" i="5"/>
  <c r="AE128" i="5"/>
  <c r="G129" i="5"/>
  <c r="H129" i="5"/>
  <c r="I129" i="5"/>
  <c r="J129" i="5"/>
  <c r="K129" i="5"/>
  <c r="L129" i="5"/>
  <c r="M129" i="5"/>
  <c r="N129" i="5"/>
  <c r="O129" i="5"/>
  <c r="P129" i="5"/>
  <c r="Q129" i="5"/>
  <c r="S129" i="5"/>
  <c r="T129" i="5"/>
  <c r="U129" i="5"/>
  <c r="V129" i="5"/>
  <c r="W129" i="5"/>
  <c r="X129" i="5"/>
  <c r="Y129" i="5"/>
  <c r="Z129" i="5"/>
  <c r="AA129" i="5"/>
  <c r="AC129" i="5"/>
  <c r="AD129" i="5"/>
  <c r="AE129" i="5"/>
  <c r="G130" i="5"/>
  <c r="H130" i="5"/>
  <c r="I130" i="5"/>
  <c r="J130" i="5"/>
  <c r="K130" i="5"/>
  <c r="L130" i="5"/>
  <c r="M130" i="5"/>
  <c r="N130" i="5"/>
  <c r="O130" i="5"/>
  <c r="P130" i="5"/>
  <c r="Q130" i="5"/>
  <c r="S130" i="5"/>
  <c r="T130" i="5"/>
  <c r="U130" i="5"/>
  <c r="V130" i="5"/>
  <c r="W130" i="5"/>
  <c r="X130" i="5"/>
  <c r="Y130" i="5"/>
  <c r="Z130" i="5"/>
  <c r="AA130" i="5"/>
  <c r="AC130" i="5"/>
  <c r="AD130" i="5"/>
  <c r="AE130" i="5"/>
  <c r="G131" i="5"/>
  <c r="H131" i="5"/>
  <c r="I131" i="5"/>
  <c r="J131" i="5"/>
  <c r="K131" i="5"/>
  <c r="L131" i="5"/>
  <c r="M131" i="5"/>
  <c r="N131" i="5"/>
  <c r="O131" i="5"/>
  <c r="P131" i="5"/>
  <c r="Q131" i="5"/>
  <c r="S131" i="5"/>
  <c r="T131" i="5"/>
  <c r="U131" i="5"/>
  <c r="V131" i="5"/>
  <c r="W131" i="5"/>
  <c r="X131" i="5"/>
  <c r="Y131" i="5"/>
  <c r="Z131" i="5"/>
  <c r="AA131" i="5"/>
  <c r="AC131" i="5"/>
  <c r="AD131" i="5"/>
  <c r="AE131" i="5"/>
  <c r="G132" i="5"/>
  <c r="H132" i="5"/>
  <c r="I132" i="5"/>
  <c r="J132" i="5"/>
  <c r="K132" i="5"/>
  <c r="L132" i="5"/>
  <c r="M132" i="5"/>
  <c r="N132" i="5"/>
  <c r="O132" i="5"/>
  <c r="P132" i="5"/>
  <c r="Q132" i="5"/>
  <c r="S132" i="5"/>
  <c r="T132" i="5"/>
  <c r="U132" i="5"/>
  <c r="V132" i="5"/>
  <c r="W132" i="5"/>
  <c r="X132" i="5"/>
  <c r="Y132" i="5"/>
  <c r="Z132" i="5"/>
  <c r="AA132" i="5"/>
  <c r="AC132" i="5"/>
  <c r="AD132" i="5"/>
  <c r="AE132" i="5"/>
  <c r="G133" i="5"/>
  <c r="H133" i="5"/>
  <c r="I133" i="5"/>
  <c r="J133" i="5"/>
  <c r="K133" i="5"/>
  <c r="L133" i="5"/>
  <c r="M133" i="5"/>
  <c r="N133" i="5"/>
  <c r="O133" i="5"/>
  <c r="P133" i="5"/>
  <c r="Q133" i="5"/>
  <c r="S133" i="5"/>
  <c r="T133" i="5"/>
  <c r="U133" i="5"/>
  <c r="V133" i="5"/>
  <c r="W133" i="5"/>
  <c r="X133" i="5"/>
  <c r="Y133" i="5"/>
  <c r="Z133" i="5"/>
  <c r="AA133" i="5"/>
  <c r="AC133" i="5"/>
  <c r="AD133" i="5"/>
  <c r="AE133" i="5"/>
  <c r="G134" i="5"/>
  <c r="H134" i="5"/>
  <c r="I134" i="5"/>
  <c r="J134" i="5"/>
  <c r="K134" i="5"/>
  <c r="L134" i="5"/>
  <c r="M134" i="5"/>
  <c r="N134" i="5"/>
  <c r="O134" i="5"/>
  <c r="P134" i="5"/>
  <c r="Q134" i="5"/>
  <c r="S134" i="5"/>
  <c r="T134" i="5"/>
  <c r="U134" i="5"/>
  <c r="V134" i="5"/>
  <c r="W134" i="5"/>
  <c r="X134" i="5"/>
  <c r="Y134" i="5"/>
  <c r="Z134" i="5"/>
  <c r="AA134" i="5"/>
  <c r="AC134" i="5"/>
  <c r="AD134" i="5"/>
  <c r="AE134" i="5"/>
  <c r="G135" i="5"/>
  <c r="H135" i="5"/>
  <c r="I135" i="5"/>
  <c r="J135" i="5"/>
  <c r="K135" i="5"/>
  <c r="L135" i="5"/>
  <c r="M135" i="5"/>
  <c r="N135" i="5"/>
  <c r="O135" i="5"/>
  <c r="P135" i="5"/>
  <c r="Q135" i="5"/>
  <c r="S135" i="5"/>
  <c r="T135" i="5"/>
  <c r="U135" i="5"/>
  <c r="V135" i="5"/>
  <c r="W135" i="5"/>
  <c r="X135" i="5"/>
  <c r="Y135" i="5"/>
  <c r="Z135" i="5"/>
  <c r="AA135" i="5"/>
  <c r="AC135" i="5"/>
  <c r="AD135" i="5"/>
  <c r="AE135" i="5"/>
  <c r="G136" i="5"/>
  <c r="H136" i="5"/>
  <c r="I136" i="5"/>
  <c r="J136" i="5"/>
  <c r="K136" i="5"/>
  <c r="L136" i="5"/>
  <c r="M136" i="5"/>
  <c r="N136" i="5"/>
  <c r="O136" i="5"/>
  <c r="P136" i="5"/>
  <c r="Q136" i="5"/>
  <c r="S136" i="5"/>
  <c r="T136" i="5"/>
  <c r="U136" i="5"/>
  <c r="V136" i="5"/>
  <c r="W136" i="5"/>
  <c r="X136" i="5"/>
  <c r="Y136" i="5"/>
  <c r="Z136" i="5"/>
  <c r="AA136" i="5"/>
  <c r="AC136" i="5"/>
  <c r="AD136" i="5"/>
  <c r="AE136" i="5"/>
  <c r="G137" i="5"/>
  <c r="H137" i="5"/>
  <c r="I137" i="5"/>
  <c r="J137" i="5"/>
  <c r="K137" i="5"/>
  <c r="L137" i="5"/>
  <c r="M137" i="5"/>
  <c r="N137" i="5"/>
  <c r="O137" i="5"/>
  <c r="P137" i="5"/>
  <c r="Q137" i="5"/>
  <c r="S137" i="5"/>
  <c r="T137" i="5"/>
  <c r="U137" i="5"/>
  <c r="V137" i="5"/>
  <c r="W137" i="5"/>
  <c r="X137" i="5"/>
  <c r="Y137" i="5"/>
  <c r="Z137" i="5"/>
  <c r="AA137" i="5"/>
  <c r="AC137" i="5"/>
  <c r="AD137" i="5"/>
  <c r="AE137" i="5"/>
  <c r="G138" i="5"/>
  <c r="H138" i="5"/>
  <c r="I138" i="5"/>
  <c r="J138" i="5"/>
  <c r="K138" i="5"/>
  <c r="L138" i="5"/>
  <c r="M138" i="5"/>
  <c r="N138" i="5"/>
  <c r="O138" i="5"/>
  <c r="P138" i="5"/>
  <c r="Q138" i="5"/>
  <c r="S138" i="5"/>
  <c r="T138" i="5"/>
  <c r="U138" i="5"/>
  <c r="V138" i="5"/>
  <c r="W138" i="5"/>
  <c r="X138" i="5"/>
  <c r="Y138" i="5"/>
  <c r="Z138" i="5"/>
  <c r="AA138" i="5"/>
  <c r="AC138" i="5"/>
  <c r="AD138" i="5"/>
  <c r="AE138" i="5"/>
  <c r="G139" i="5"/>
  <c r="H139" i="5"/>
  <c r="I139" i="5"/>
  <c r="J139" i="5"/>
  <c r="K139" i="5"/>
  <c r="L139" i="5"/>
  <c r="M139" i="5"/>
  <c r="N139" i="5"/>
  <c r="O139" i="5"/>
  <c r="P139" i="5"/>
  <c r="Q139" i="5"/>
  <c r="S139" i="5"/>
  <c r="T139" i="5"/>
  <c r="U139" i="5"/>
  <c r="V139" i="5"/>
  <c r="W139" i="5"/>
  <c r="X139" i="5"/>
  <c r="Y139" i="5"/>
  <c r="Z139" i="5"/>
  <c r="AA139" i="5"/>
  <c r="AC139" i="5"/>
  <c r="AD139" i="5"/>
  <c r="AE139" i="5"/>
  <c r="G140" i="5"/>
  <c r="H140" i="5"/>
  <c r="I140" i="5"/>
  <c r="J140" i="5"/>
  <c r="K140" i="5"/>
  <c r="L140" i="5"/>
  <c r="M140" i="5"/>
  <c r="N140" i="5"/>
  <c r="O140" i="5"/>
  <c r="P140" i="5"/>
  <c r="Q140" i="5"/>
  <c r="S140" i="5"/>
  <c r="T140" i="5"/>
  <c r="U140" i="5"/>
  <c r="V140" i="5"/>
  <c r="W140" i="5"/>
  <c r="X140" i="5"/>
  <c r="Y140" i="5"/>
  <c r="Z140" i="5"/>
  <c r="AA140" i="5"/>
  <c r="AC140" i="5"/>
  <c r="AD140" i="5"/>
  <c r="AE140" i="5"/>
  <c r="G141" i="5"/>
  <c r="H141" i="5"/>
  <c r="I141" i="5"/>
  <c r="J141" i="5"/>
  <c r="K141" i="5"/>
  <c r="L141" i="5"/>
  <c r="M141" i="5"/>
  <c r="N141" i="5"/>
  <c r="O141" i="5"/>
  <c r="P141" i="5"/>
  <c r="Q141" i="5"/>
  <c r="S141" i="5"/>
  <c r="T141" i="5"/>
  <c r="U141" i="5"/>
  <c r="V141" i="5"/>
  <c r="W141" i="5"/>
  <c r="X141" i="5"/>
  <c r="Y141" i="5"/>
  <c r="Z141" i="5"/>
  <c r="AA141" i="5"/>
  <c r="AC141" i="5"/>
  <c r="AD141" i="5"/>
  <c r="AE141" i="5"/>
  <c r="G142" i="5"/>
  <c r="H142" i="5"/>
  <c r="I142" i="5"/>
  <c r="J142" i="5"/>
  <c r="K142" i="5"/>
  <c r="L142" i="5"/>
  <c r="M142" i="5"/>
  <c r="N142" i="5"/>
  <c r="O142" i="5"/>
  <c r="P142" i="5"/>
  <c r="Q142" i="5"/>
  <c r="S142" i="5"/>
  <c r="T142" i="5"/>
  <c r="U142" i="5"/>
  <c r="V142" i="5"/>
  <c r="W142" i="5"/>
  <c r="X142" i="5"/>
  <c r="Y142" i="5"/>
  <c r="Z142" i="5"/>
  <c r="AA142" i="5"/>
  <c r="AC142" i="5"/>
  <c r="AD142" i="5"/>
  <c r="AE142" i="5"/>
  <c r="G143" i="5"/>
  <c r="H143" i="5"/>
  <c r="I143" i="5"/>
  <c r="J143" i="5"/>
  <c r="K143" i="5"/>
  <c r="L143" i="5"/>
  <c r="M143" i="5"/>
  <c r="N143" i="5"/>
  <c r="O143" i="5"/>
  <c r="P143" i="5"/>
  <c r="Q143" i="5"/>
  <c r="S143" i="5"/>
  <c r="T143" i="5"/>
  <c r="U143" i="5"/>
  <c r="V143" i="5"/>
  <c r="W143" i="5"/>
  <c r="X143" i="5"/>
  <c r="Y143" i="5"/>
  <c r="Z143" i="5"/>
  <c r="AA143" i="5"/>
  <c r="AC143" i="5"/>
  <c r="AD143" i="5"/>
  <c r="AE143" i="5"/>
  <c r="G144" i="5"/>
  <c r="H144" i="5"/>
  <c r="I144" i="5"/>
  <c r="J144" i="5"/>
  <c r="K144" i="5"/>
  <c r="L144" i="5"/>
  <c r="M144" i="5"/>
  <c r="N144" i="5"/>
  <c r="O144" i="5"/>
  <c r="P144" i="5"/>
  <c r="Q144" i="5"/>
  <c r="S144" i="5"/>
  <c r="T144" i="5"/>
  <c r="U144" i="5"/>
  <c r="V144" i="5"/>
  <c r="W144" i="5"/>
  <c r="X144" i="5"/>
  <c r="Y144" i="5"/>
  <c r="Z144" i="5"/>
  <c r="AA144" i="5"/>
  <c r="AC144" i="5"/>
  <c r="AD144" i="5"/>
  <c r="AE144" i="5"/>
  <c r="G145" i="5"/>
  <c r="H145" i="5"/>
  <c r="I145" i="5"/>
  <c r="J145" i="5"/>
  <c r="K145" i="5"/>
  <c r="L145" i="5"/>
  <c r="M145" i="5"/>
  <c r="N145" i="5"/>
  <c r="O145" i="5"/>
  <c r="P145" i="5"/>
  <c r="Q145" i="5"/>
  <c r="S145" i="5"/>
  <c r="T145" i="5"/>
  <c r="U145" i="5"/>
  <c r="V145" i="5"/>
  <c r="W145" i="5"/>
  <c r="X145" i="5"/>
  <c r="Y145" i="5"/>
  <c r="Z145" i="5"/>
  <c r="AA145" i="5"/>
  <c r="AC145" i="5"/>
  <c r="AD145" i="5"/>
  <c r="AE145" i="5"/>
  <c r="G146" i="5"/>
  <c r="H146" i="5"/>
  <c r="I146" i="5"/>
  <c r="J146" i="5"/>
  <c r="K146" i="5"/>
  <c r="L146" i="5"/>
  <c r="M146" i="5"/>
  <c r="N146" i="5"/>
  <c r="O146" i="5"/>
  <c r="P146" i="5"/>
  <c r="Q146" i="5"/>
  <c r="S146" i="5"/>
  <c r="T146" i="5"/>
  <c r="U146" i="5"/>
  <c r="V146" i="5"/>
  <c r="W146" i="5"/>
  <c r="X146" i="5"/>
  <c r="Y146" i="5"/>
  <c r="Z146" i="5"/>
  <c r="AA146" i="5"/>
  <c r="AC146" i="5"/>
  <c r="AD146" i="5"/>
  <c r="AE146" i="5"/>
  <c r="G147" i="5"/>
  <c r="H147" i="5"/>
  <c r="I147" i="5"/>
  <c r="J147" i="5"/>
  <c r="K147" i="5"/>
  <c r="L147" i="5"/>
  <c r="M147" i="5"/>
  <c r="N147" i="5"/>
  <c r="O147" i="5"/>
  <c r="P147" i="5"/>
  <c r="Q147" i="5"/>
  <c r="S147" i="5"/>
  <c r="T147" i="5"/>
  <c r="U147" i="5"/>
  <c r="V147" i="5"/>
  <c r="W147" i="5"/>
  <c r="X147" i="5"/>
  <c r="Y147" i="5"/>
  <c r="Z147" i="5"/>
  <c r="AA147" i="5"/>
  <c r="AC147" i="5"/>
  <c r="AD147" i="5"/>
  <c r="AE147" i="5"/>
  <c r="G148" i="5"/>
  <c r="H148" i="5"/>
  <c r="I148" i="5"/>
  <c r="J148" i="5"/>
  <c r="K148" i="5"/>
  <c r="L148" i="5"/>
  <c r="M148" i="5"/>
  <c r="N148" i="5"/>
  <c r="O148" i="5"/>
  <c r="P148" i="5"/>
  <c r="Q148" i="5"/>
  <c r="S148" i="5"/>
  <c r="T148" i="5"/>
  <c r="U148" i="5"/>
  <c r="V148" i="5"/>
  <c r="W148" i="5"/>
  <c r="X148" i="5"/>
  <c r="Y148" i="5"/>
  <c r="Z148" i="5"/>
  <c r="AA148" i="5"/>
  <c r="AC148" i="5"/>
  <c r="AD148" i="5"/>
  <c r="AE148" i="5"/>
  <c r="G149" i="5"/>
  <c r="H149" i="5"/>
  <c r="I149" i="5"/>
  <c r="J149" i="5"/>
  <c r="K149" i="5"/>
  <c r="L149" i="5"/>
  <c r="M149" i="5"/>
  <c r="N149" i="5"/>
  <c r="O149" i="5"/>
  <c r="P149" i="5"/>
  <c r="Q149" i="5"/>
  <c r="S149" i="5"/>
  <c r="T149" i="5"/>
  <c r="U149" i="5"/>
  <c r="V149" i="5"/>
  <c r="W149" i="5"/>
  <c r="X149" i="5"/>
  <c r="Y149" i="5"/>
  <c r="Z149" i="5"/>
  <c r="AA149" i="5"/>
  <c r="AC149" i="5"/>
  <c r="AD149" i="5"/>
  <c r="AE149" i="5"/>
  <c r="G150" i="5"/>
  <c r="H150" i="5"/>
  <c r="I150" i="5"/>
  <c r="J150" i="5"/>
  <c r="K150" i="5"/>
  <c r="L150" i="5"/>
  <c r="M150" i="5"/>
  <c r="N150" i="5"/>
  <c r="O150" i="5"/>
  <c r="P150" i="5"/>
  <c r="Q150" i="5"/>
  <c r="S150" i="5"/>
  <c r="T150" i="5"/>
  <c r="U150" i="5"/>
  <c r="V150" i="5"/>
  <c r="W150" i="5"/>
  <c r="X150" i="5"/>
  <c r="Y150" i="5"/>
  <c r="Z150" i="5"/>
  <c r="AA150" i="5"/>
  <c r="AC150" i="5"/>
  <c r="AD150" i="5"/>
  <c r="AE150" i="5"/>
  <c r="G151" i="5"/>
  <c r="H151" i="5"/>
  <c r="I151" i="5"/>
  <c r="J151" i="5"/>
  <c r="K151" i="5"/>
  <c r="L151" i="5"/>
  <c r="M151" i="5"/>
  <c r="N151" i="5"/>
  <c r="O151" i="5"/>
  <c r="P151" i="5"/>
  <c r="Q151" i="5"/>
  <c r="S151" i="5"/>
  <c r="T151" i="5"/>
  <c r="U151" i="5"/>
  <c r="V151" i="5"/>
  <c r="W151" i="5"/>
  <c r="X151" i="5"/>
  <c r="Y151" i="5"/>
  <c r="Z151" i="5"/>
  <c r="AA151" i="5"/>
  <c r="AC151" i="5"/>
  <c r="AD151" i="5"/>
  <c r="AE151" i="5"/>
  <c r="G152" i="5"/>
  <c r="H152" i="5"/>
  <c r="I152" i="5"/>
  <c r="J152" i="5"/>
  <c r="K152" i="5"/>
  <c r="L152" i="5"/>
  <c r="M152" i="5"/>
  <c r="N152" i="5"/>
  <c r="O152" i="5"/>
  <c r="P152" i="5"/>
  <c r="Q152" i="5"/>
  <c r="S152" i="5"/>
  <c r="T152" i="5"/>
  <c r="U152" i="5"/>
  <c r="V152" i="5"/>
  <c r="W152" i="5"/>
  <c r="X152" i="5"/>
  <c r="Y152" i="5"/>
  <c r="Z152" i="5"/>
  <c r="AA152" i="5"/>
  <c r="AC152" i="5"/>
  <c r="AD152" i="5"/>
  <c r="AE152" i="5"/>
  <c r="G153" i="5"/>
  <c r="H153" i="5"/>
  <c r="I153" i="5"/>
  <c r="J153" i="5"/>
  <c r="K153" i="5"/>
  <c r="L153" i="5"/>
  <c r="M153" i="5"/>
  <c r="N153" i="5"/>
  <c r="O153" i="5"/>
  <c r="P153" i="5"/>
  <c r="Q153" i="5"/>
  <c r="S153" i="5"/>
  <c r="T153" i="5"/>
  <c r="U153" i="5"/>
  <c r="V153" i="5"/>
  <c r="W153" i="5"/>
  <c r="X153" i="5"/>
  <c r="Y153" i="5"/>
  <c r="Z153" i="5"/>
  <c r="AA153" i="5"/>
  <c r="AC153" i="5"/>
  <c r="AD153" i="5"/>
  <c r="AE153" i="5"/>
  <c r="G154" i="5"/>
  <c r="H154" i="5"/>
  <c r="I154" i="5"/>
  <c r="J154" i="5"/>
  <c r="K154" i="5"/>
  <c r="L154" i="5"/>
  <c r="M154" i="5"/>
  <c r="N154" i="5"/>
  <c r="O154" i="5"/>
  <c r="P154" i="5"/>
  <c r="Q154" i="5"/>
  <c r="S154" i="5"/>
  <c r="T154" i="5"/>
  <c r="U154" i="5"/>
  <c r="V154" i="5"/>
  <c r="W154" i="5"/>
  <c r="X154" i="5"/>
  <c r="Y154" i="5"/>
  <c r="Z154" i="5"/>
  <c r="AA154" i="5"/>
  <c r="AC154" i="5"/>
  <c r="AD154" i="5"/>
  <c r="AE154" i="5"/>
  <c r="G155" i="5"/>
  <c r="H155" i="5"/>
  <c r="I155" i="5"/>
  <c r="J155" i="5"/>
  <c r="K155" i="5"/>
  <c r="L155" i="5"/>
  <c r="M155" i="5"/>
  <c r="N155" i="5"/>
  <c r="O155" i="5"/>
  <c r="P155" i="5"/>
  <c r="Q155" i="5"/>
  <c r="S155" i="5"/>
  <c r="T155" i="5"/>
  <c r="U155" i="5"/>
  <c r="V155" i="5"/>
  <c r="W155" i="5"/>
  <c r="X155" i="5"/>
  <c r="Y155" i="5"/>
  <c r="Z155" i="5"/>
  <c r="AA155" i="5"/>
  <c r="AC155" i="5"/>
  <c r="AD155" i="5"/>
  <c r="AE155" i="5"/>
  <c r="G156" i="5"/>
  <c r="H156" i="5"/>
  <c r="I156" i="5"/>
  <c r="J156" i="5"/>
  <c r="K156" i="5"/>
  <c r="L156" i="5"/>
  <c r="M156" i="5"/>
  <c r="N156" i="5"/>
  <c r="O156" i="5"/>
  <c r="P156" i="5"/>
  <c r="Q156" i="5"/>
  <c r="S156" i="5"/>
  <c r="T156" i="5"/>
  <c r="U156" i="5"/>
  <c r="V156" i="5"/>
  <c r="W156" i="5"/>
  <c r="X156" i="5"/>
  <c r="Y156" i="5"/>
  <c r="Z156" i="5"/>
  <c r="AA156" i="5"/>
  <c r="AC156" i="5"/>
  <c r="AD156" i="5"/>
  <c r="AE156" i="5"/>
  <c r="G157" i="5"/>
  <c r="H157" i="5"/>
  <c r="I157" i="5"/>
  <c r="J157" i="5"/>
  <c r="K157" i="5"/>
  <c r="L157" i="5"/>
  <c r="M157" i="5"/>
  <c r="N157" i="5"/>
  <c r="O157" i="5"/>
  <c r="P157" i="5"/>
  <c r="Q157" i="5"/>
  <c r="S157" i="5"/>
  <c r="T157" i="5"/>
  <c r="U157" i="5"/>
  <c r="V157" i="5"/>
  <c r="W157" i="5"/>
  <c r="X157" i="5"/>
  <c r="Y157" i="5"/>
  <c r="Z157" i="5"/>
  <c r="AA157" i="5"/>
  <c r="AC157" i="5"/>
  <c r="AD157" i="5"/>
  <c r="AE157" i="5"/>
  <c r="G158" i="5"/>
  <c r="H158" i="5"/>
  <c r="I158" i="5"/>
  <c r="J158" i="5"/>
  <c r="K158" i="5"/>
  <c r="L158" i="5"/>
  <c r="M158" i="5"/>
  <c r="N158" i="5"/>
  <c r="O158" i="5"/>
  <c r="P158" i="5"/>
  <c r="Q158" i="5"/>
  <c r="S158" i="5"/>
  <c r="T158" i="5"/>
  <c r="U158" i="5"/>
  <c r="V158" i="5"/>
  <c r="W158" i="5"/>
  <c r="X158" i="5"/>
  <c r="Y158" i="5"/>
  <c r="Z158" i="5"/>
  <c r="AA158" i="5"/>
  <c r="AC158" i="5"/>
  <c r="AD158" i="5"/>
  <c r="AE158" i="5"/>
  <c r="G159" i="5"/>
  <c r="H159" i="5"/>
  <c r="I159" i="5"/>
  <c r="J159" i="5"/>
  <c r="K159" i="5"/>
  <c r="L159" i="5"/>
  <c r="M159" i="5"/>
  <c r="N159" i="5"/>
  <c r="O159" i="5"/>
  <c r="P159" i="5"/>
  <c r="Q159" i="5"/>
  <c r="S159" i="5"/>
  <c r="T159" i="5"/>
  <c r="U159" i="5"/>
  <c r="V159" i="5"/>
  <c r="W159" i="5"/>
  <c r="X159" i="5"/>
  <c r="Y159" i="5"/>
  <c r="Z159" i="5"/>
  <c r="AA159" i="5"/>
  <c r="AC159" i="5"/>
  <c r="AD159" i="5"/>
  <c r="AE159" i="5"/>
  <c r="G160" i="5"/>
  <c r="H160" i="5"/>
  <c r="I160" i="5"/>
  <c r="J160" i="5"/>
  <c r="K160" i="5"/>
  <c r="L160" i="5"/>
  <c r="M160" i="5"/>
  <c r="N160" i="5"/>
  <c r="O160" i="5"/>
  <c r="P160" i="5"/>
  <c r="Q160" i="5"/>
  <c r="S160" i="5"/>
  <c r="T160" i="5"/>
  <c r="U160" i="5"/>
  <c r="V160" i="5"/>
  <c r="W160" i="5"/>
  <c r="X160" i="5"/>
  <c r="Y160" i="5"/>
  <c r="Z160" i="5"/>
  <c r="AA160" i="5"/>
  <c r="AC160" i="5"/>
  <c r="AD160" i="5"/>
  <c r="AE160" i="5"/>
  <c r="G161" i="5"/>
  <c r="H161" i="5"/>
  <c r="I161" i="5"/>
  <c r="J161" i="5"/>
  <c r="K161" i="5"/>
  <c r="L161" i="5"/>
  <c r="M161" i="5"/>
  <c r="N161" i="5"/>
  <c r="O161" i="5"/>
  <c r="P161" i="5"/>
  <c r="Q161" i="5"/>
  <c r="S161" i="5"/>
  <c r="T161" i="5"/>
  <c r="U161" i="5"/>
  <c r="V161" i="5"/>
  <c r="W161" i="5"/>
  <c r="X161" i="5"/>
  <c r="Y161" i="5"/>
  <c r="Z161" i="5"/>
  <c r="AA161" i="5"/>
  <c r="AC161" i="5"/>
  <c r="AD161" i="5"/>
  <c r="AE161" i="5"/>
  <c r="G162" i="5"/>
  <c r="H162" i="5"/>
  <c r="I162" i="5"/>
  <c r="J162" i="5"/>
  <c r="K162" i="5"/>
  <c r="L162" i="5"/>
  <c r="M162" i="5"/>
  <c r="N162" i="5"/>
  <c r="O162" i="5"/>
  <c r="P162" i="5"/>
  <c r="Q162" i="5"/>
  <c r="S162" i="5"/>
  <c r="T162" i="5"/>
  <c r="U162" i="5"/>
  <c r="V162" i="5"/>
  <c r="W162" i="5"/>
  <c r="X162" i="5"/>
  <c r="Y162" i="5"/>
  <c r="Z162" i="5"/>
  <c r="AA162" i="5"/>
  <c r="AC162" i="5"/>
  <c r="AD162" i="5"/>
  <c r="AE162" i="5"/>
  <c r="G163" i="5"/>
  <c r="H163" i="5"/>
  <c r="I163" i="5"/>
  <c r="J163" i="5"/>
  <c r="K163" i="5"/>
  <c r="L163" i="5"/>
  <c r="M163" i="5"/>
  <c r="N163" i="5"/>
  <c r="O163" i="5"/>
  <c r="P163" i="5"/>
  <c r="Q163" i="5"/>
  <c r="S163" i="5"/>
  <c r="T163" i="5"/>
  <c r="U163" i="5"/>
  <c r="V163" i="5"/>
  <c r="W163" i="5"/>
  <c r="X163" i="5"/>
  <c r="Y163" i="5"/>
  <c r="Z163" i="5"/>
  <c r="AA163" i="5"/>
  <c r="AC163" i="5"/>
  <c r="AD163" i="5"/>
  <c r="AE163" i="5"/>
  <c r="G164" i="5"/>
  <c r="H164" i="5"/>
  <c r="I164" i="5"/>
  <c r="J164" i="5"/>
  <c r="K164" i="5"/>
  <c r="L164" i="5"/>
  <c r="M164" i="5"/>
  <c r="N164" i="5"/>
  <c r="O164" i="5"/>
  <c r="P164" i="5"/>
  <c r="Q164" i="5"/>
  <c r="S164" i="5"/>
  <c r="T164" i="5"/>
  <c r="U164" i="5"/>
  <c r="V164" i="5"/>
  <c r="W164" i="5"/>
  <c r="X164" i="5"/>
  <c r="Y164" i="5"/>
  <c r="Z164" i="5"/>
  <c r="AA164" i="5"/>
  <c r="AC164" i="5"/>
  <c r="AD164" i="5"/>
  <c r="AE164" i="5"/>
  <c r="G165" i="5"/>
  <c r="H165" i="5"/>
  <c r="I165" i="5"/>
  <c r="J165" i="5"/>
  <c r="K165" i="5"/>
  <c r="L165" i="5"/>
  <c r="M165" i="5"/>
  <c r="N165" i="5"/>
  <c r="O165" i="5"/>
  <c r="P165" i="5"/>
  <c r="Q165" i="5"/>
  <c r="S165" i="5"/>
  <c r="T165" i="5"/>
  <c r="U165" i="5"/>
  <c r="V165" i="5"/>
  <c r="W165" i="5"/>
  <c r="X165" i="5"/>
  <c r="Y165" i="5"/>
  <c r="Z165" i="5"/>
  <c r="AA165" i="5"/>
  <c r="AC165" i="5"/>
  <c r="AD165" i="5"/>
  <c r="AE165" i="5"/>
  <c r="G166" i="5"/>
  <c r="H166" i="5"/>
  <c r="I166" i="5"/>
  <c r="J166" i="5"/>
  <c r="K166" i="5"/>
  <c r="L166" i="5"/>
  <c r="M166" i="5"/>
  <c r="N166" i="5"/>
  <c r="O166" i="5"/>
  <c r="P166" i="5"/>
  <c r="Q166" i="5"/>
  <c r="S166" i="5"/>
  <c r="T166" i="5"/>
  <c r="U166" i="5"/>
  <c r="V166" i="5"/>
  <c r="W166" i="5"/>
  <c r="X166" i="5"/>
  <c r="Y166" i="5"/>
  <c r="Z166" i="5"/>
  <c r="AA166" i="5"/>
  <c r="AC166" i="5"/>
  <c r="AD166" i="5"/>
  <c r="AE166" i="5"/>
  <c r="G167" i="5"/>
  <c r="H167" i="5"/>
  <c r="I167" i="5"/>
  <c r="J167" i="5"/>
  <c r="K167" i="5"/>
  <c r="L167" i="5"/>
  <c r="M167" i="5"/>
  <c r="N167" i="5"/>
  <c r="O167" i="5"/>
  <c r="P167" i="5"/>
  <c r="Q167" i="5"/>
  <c r="S167" i="5"/>
  <c r="T167" i="5"/>
  <c r="U167" i="5"/>
  <c r="V167" i="5"/>
  <c r="W167" i="5"/>
  <c r="X167" i="5"/>
  <c r="Y167" i="5"/>
  <c r="Z167" i="5"/>
  <c r="AA167" i="5"/>
  <c r="AC167" i="5"/>
  <c r="AD167" i="5"/>
  <c r="AE167" i="5"/>
  <c r="G168" i="5"/>
  <c r="H168" i="5"/>
  <c r="I168" i="5"/>
  <c r="J168" i="5"/>
  <c r="K168" i="5"/>
  <c r="L168" i="5"/>
  <c r="M168" i="5"/>
  <c r="N168" i="5"/>
  <c r="O168" i="5"/>
  <c r="P168" i="5"/>
  <c r="Q168" i="5"/>
  <c r="S168" i="5"/>
  <c r="T168" i="5"/>
  <c r="U168" i="5"/>
  <c r="V168" i="5"/>
  <c r="W168" i="5"/>
  <c r="X168" i="5"/>
  <c r="Y168" i="5"/>
  <c r="Z168" i="5"/>
  <c r="AA168" i="5"/>
  <c r="AC168" i="5"/>
  <c r="AD168" i="5"/>
  <c r="AE168" i="5"/>
  <c r="G169" i="5"/>
  <c r="H169" i="5"/>
  <c r="I169" i="5"/>
  <c r="J169" i="5"/>
  <c r="K169" i="5"/>
  <c r="L169" i="5"/>
  <c r="M169" i="5"/>
  <c r="N169" i="5"/>
  <c r="O169" i="5"/>
  <c r="P169" i="5"/>
  <c r="Q169" i="5"/>
  <c r="S169" i="5"/>
  <c r="T169" i="5"/>
  <c r="U169" i="5"/>
  <c r="V169" i="5"/>
  <c r="W169" i="5"/>
  <c r="X169" i="5"/>
  <c r="Y169" i="5"/>
  <c r="Z169" i="5"/>
  <c r="AA169" i="5"/>
  <c r="AC169" i="5"/>
  <c r="AD169" i="5"/>
  <c r="AE169" i="5"/>
  <c r="G170" i="5"/>
  <c r="H170" i="5"/>
  <c r="I170" i="5"/>
  <c r="J170" i="5"/>
  <c r="K170" i="5"/>
  <c r="L170" i="5"/>
  <c r="M170" i="5"/>
  <c r="N170" i="5"/>
  <c r="O170" i="5"/>
  <c r="P170" i="5"/>
  <c r="Q170" i="5"/>
  <c r="S170" i="5"/>
  <c r="T170" i="5"/>
  <c r="U170" i="5"/>
  <c r="V170" i="5"/>
  <c r="W170" i="5"/>
  <c r="X170" i="5"/>
  <c r="Y170" i="5"/>
  <c r="Z170" i="5"/>
  <c r="AA170" i="5"/>
  <c r="AC170" i="5"/>
  <c r="AD170" i="5"/>
  <c r="AE170" i="5"/>
  <c r="G171" i="5"/>
  <c r="H171" i="5"/>
  <c r="I171" i="5"/>
  <c r="J171" i="5"/>
  <c r="K171" i="5"/>
  <c r="L171" i="5"/>
  <c r="M171" i="5"/>
  <c r="N171" i="5"/>
  <c r="O171" i="5"/>
  <c r="P171" i="5"/>
  <c r="Q171" i="5"/>
  <c r="S171" i="5"/>
  <c r="T171" i="5"/>
  <c r="U171" i="5"/>
  <c r="V171" i="5"/>
  <c r="W171" i="5"/>
  <c r="X171" i="5"/>
  <c r="Y171" i="5"/>
  <c r="Z171" i="5"/>
  <c r="AA171" i="5"/>
  <c r="AC171" i="5"/>
  <c r="AD171" i="5"/>
  <c r="AE171" i="5"/>
  <c r="G172" i="5"/>
  <c r="H172" i="5"/>
  <c r="I172" i="5"/>
  <c r="J172" i="5"/>
  <c r="K172" i="5"/>
  <c r="L172" i="5"/>
  <c r="M172" i="5"/>
  <c r="N172" i="5"/>
  <c r="O172" i="5"/>
  <c r="P172" i="5"/>
  <c r="Q172" i="5"/>
  <c r="S172" i="5"/>
  <c r="T172" i="5"/>
  <c r="U172" i="5"/>
  <c r="V172" i="5"/>
  <c r="W172" i="5"/>
  <c r="X172" i="5"/>
  <c r="Y172" i="5"/>
  <c r="Z172" i="5"/>
  <c r="AA172" i="5"/>
  <c r="AC172" i="5"/>
  <c r="AD172" i="5"/>
  <c r="AE172" i="5"/>
  <c r="G173" i="5"/>
  <c r="H173" i="5"/>
  <c r="I173" i="5"/>
  <c r="J173" i="5"/>
  <c r="K173" i="5"/>
  <c r="L173" i="5"/>
  <c r="M173" i="5"/>
  <c r="N173" i="5"/>
  <c r="O173" i="5"/>
  <c r="P173" i="5"/>
  <c r="Q173" i="5"/>
  <c r="S173" i="5"/>
  <c r="T173" i="5"/>
  <c r="U173" i="5"/>
  <c r="V173" i="5"/>
  <c r="W173" i="5"/>
  <c r="X173" i="5"/>
  <c r="Y173" i="5"/>
  <c r="Z173" i="5"/>
  <c r="AA173" i="5"/>
  <c r="AC173" i="5"/>
  <c r="AD173" i="5"/>
  <c r="AE173" i="5"/>
  <c r="G174" i="5"/>
  <c r="H174" i="5"/>
  <c r="I174" i="5"/>
  <c r="J174" i="5"/>
  <c r="K174" i="5"/>
  <c r="L174" i="5"/>
  <c r="M174" i="5"/>
  <c r="N174" i="5"/>
  <c r="O174" i="5"/>
  <c r="P174" i="5"/>
  <c r="Q174" i="5"/>
  <c r="S174" i="5"/>
  <c r="T174" i="5"/>
  <c r="U174" i="5"/>
  <c r="V174" i="5"/>
  <c r="W174" i="5"/>
  <c r="X174" i="5"/>
  <c r="Y174" i="5"/>
  <c r="Z174" i="5"/>
  <c r="AA174" i="5"/>
  <c r="AC174" i="5"/>
  <c r="AD174" i="5"/>
  <c r="AE174" i="5"/>
  <c r="G175" i="5"/>
  <c r="H175" i="5"/>
  <c r="I175" i="5"/>
  <c r="J175" i="5"/>
  <c r="K175" i="5"/>
  <c r="L175" i="5"/>
  <c r="M175" i="5"/>
  <c r="N175" i="5"/>
  <c r="O175" i="5"/>
  <c r="P175" i="5"/>
  <c r="Q175" i="5"/>
  <c r="S175" i="5"/>
  <c r="T175" i="5"/>
  <c r="U175" i="5"/>
  <c r="V175" i="5"/>
  <c r="W175" i="5"/>
  <c r="X175" i="5"/>
  <c r="Y175" i="5"/>
  <c r="Z175" i="5"/>
  <c r="AA175" i="5"/>
  <c r="AC175" i="5"/>
  <c r="AD175" i="5"/>
  <c r="AE175" i="5"/>
  <c r="G176" i="5"/>
  <c r="H176" i="5"/>
  <c r="I176" i="5"/>
  <c r="J176" i="5"/>
  <c r="K176" i="5"/>
  <c r="L176" i="5"/>
  <c r="M176" i="5"/>
  <c r="N176" i="5"/>
  <c r="O176" i="5"/>
  <c r="P176" i="5"/>
  <c r="Q176" i="5"/>
  <c r="S176" i="5"/>
  <c r="T176" i="5"/>
  <c r="U176" i="5"/>
  <c r="V176" i="5"/>
  <c r="W176" i="5"/>
  <c r="X176" i="5"/>
  <c r="Y176" i="5"/>
  <c r="Z176" i="5"/>
  <c r="AA176" i="5"/>
  <c r="AC176" i="5"/>
  <c r="AD176" i="5"/>
  <c r="AE176" i="5"/>
  <c r="G177" i="5"/>
  <c r="H177" i="5"/>
  <c r="I177" i="5"/>
  <c r="J177" i="5"/>
  <c r="K177" i="5"/>
  <c r="L177" i="5"/>
  <c r="M177" i="5"/>
  <c r="N177" i="5"/>
  <c r="O177" i="5"/>
  <c r="P177" i="5"/>
  <c r="Q177" i="5"/>
  <c r="S177" i="5"/>
  <c r="T177" i="5"/>
  <c r="U177" i="5"/>
  <c r="V177" i="5"/>
  <c r="W177" i="5"/>
  <c r="X177" i="5"/>
  <c r="Y177" i="5"/>
  <c r="Z177" i="5"/>
  <c r="AA177" i="5"/>
  <c r="AC177" i="5"/>
  <c r="AD177" i="5"/>
  <c r="AE177" i="5"/>
  <c r="G178" i="5"/>
  <c r="H178" i="5"/>
  <c r="I178" i="5"/>
  <c r="J178" i="5"/>
  <c r="K178" i="5"/>
  <c r="L178" i="5"/>
  <c r="M178" i="5"/>
  <c r="N178" i="5"/>
  <c r="O178" i="5"/>
  <c r="P178" i="5"/>
  <c r="Q178" i="5"/>
  <c r="S178" i="5"/>
  <c r="T178" i="5"/>
  <c r="U178" i="5"/>
  <c r="V178" i="5"/>
  <c r="W178" i="5"/>
  <c r="X178" i="5"/>
  <c r="Y178" i="5"/>
  <c r="Z178" i="5"/>
  <c r="AA178" i="5"/>
  <c r="AC178" i="5"/>
  <c r="AD178" i="5"/>
  <c r="AE178" i="5"/>
  <c r="G179" i="5"/>
  <c r="H179" i="5"/>
  <c r="I179" i="5"/>
  <c r="J179" i="5"/>
  <c r="K179" i="5"/>
  <c r="L179" i="5"/>
  <c r="M179" i="5"/>
  <c r="N179" i="5"/>
  <c r="O179" i="5"/>
  <c r="P179" i="5"/>
  <c r="Q179" i="5"/>
  <c r="S179" i="5"/>
  <c r="T179" i="5"/>
  <c r="U179" i="5"/>
  <c r="V179" i="5"/>
  <c r="W179" i="5"/>
  <c r="X179" i="5"/>
  <c r="Y179" i="5"/>
  <c r="Z179" i="5"/>
  <c r="AA179" i="5"/>
  <c r="AC179" i="5"/>
  <c r="AD179" i="5"/>
  <c r="AE179" i="5"/>
  <c r="G180" i="5"/>
  <c r="H180" i="5"/>
  <c r="I180" i="5"/>
  <c r="J180" i="5"/>
  <c r="K180" i="5"/>
  <c r="L180" i="5"/>
  <c r="M180" i="5"/>
  <c r="N180" i="5"/>
  <c r="O180" i="5"/>
  <c r="P180" i="5"/>
  <c r="Q180" i="5"/>
  <c r="S180" i="5"/>
  <c r="T180" i="5"/>
  <c r="U180" i="5"/>
  <c r="V180" i="5"/>
  <c r="W180" i="5"/>
  <c r="X180" i="5"/>
  <c r="Y180" i="5"/>
  <c r="Z180" i="5"/>
  <c r="AA180" i="5"/>
  <c r="AC180" i="5"/>
  <c r="AD180" i="5"/>
  <c r="AE180" i="5"/>
  <c r="G181" i="5"/>
  <c r="H181" i="5"/>
  <c r="I181" i="5"/>
  <c r="J181" i="5"/>
  <c r="K181" i="5"/>
  <c r="L181" i="5"/>
  <c r="M181" i="5"/>
  <c r="N181" i="5"/>
  <c r="O181" i="5"/>
  <c r="P181" i="5"/>
  <c r="Q181" i="5"/>
  <c r="S181" i="5"/>
  <c r="T181" i="5"/>
  <c r="U181" i="5"/>
  <c r="V181" i="5"/>
  <c r="W181" i="5"/>
  <c r="X181" i="5"/>
  <c r="Y181" i="5"/>
  <c r="Z181" i="5"/>
  <c r="AA181" i="5"/>
  <c r="AC181" i="5"/>
  <c r="AD181" i="5"/>
  <c r="AE181" i="5"/>
  <c r="G182" i="5"/>
  <c r="H182" i="5"/>
  <c r="I182" i="5"/>
  <c r="J182" i="5"/>
  <c r="K182" i="5"/>
  <c r="L182" i="5"/>
  <c r="M182" i="5"/>
  <c r="N182" i="5"/>
  <c r="O182" i="5"/>
  <c r="P182" i="5"/>
  <c r="Q182" i="5"/>
  <c r="S182" i="5"/>
  <c r="T182" i="5"/>
  <c r="U182" i="5"/>
  <c r="V182" i="5"/>
  <c r="W182" i="5"/>
  <c r="X182" i="5"/>
  <c r="Y182" i="5"/>
  <c r="Z182" i="5"/>
  <c r="AA182" i="5"/>
  <c r="AC182" i="5"/>
  <c r="AD182" i="5"/>
  <c r="AE182" i="5"/>
  <c r="G183" i="5"/>
  <c r="H183" i="5"/>
  <c r="I183" i="5"/>
  <c r="J183" i="5"/>
  <c r="K183" i="5"/>
  <c r="L183" i="5"/>
  <c r="M183" i="5"/>
  <c r="N183" i="5"/>
  <c r="O183" i="5"/>
  <c r="P183" i="5"/>
  <c r="Q183" i="5"/>
  <c r="S183" i="5"/>
  <c r="T183" i="5"/>
  <c r="U183" i="5"/>
  <c r="V183" i="5"/>
  <c r="W183" i="5"/>
  <c r="X183" i="5"/>
  <c r="Y183" i="5"/>
  <c r="Z183" i="5"/>
  <c r="AA183" i="5"/>
  <c r="AC183" i="5"/>
  <c r="AD183" i="5"/>
  <c r="AE183" i="5"/>
  <c r="G184" i="5"/>
  <c r="H184" i="5"/>
  <c r="I184" i="5"/>
  <c r="J184" i="5"/>
  <c r="K184" i="5"/>
  <c r="L184" i="5"/>
  <c r="M184" i="5"/>
  <c r="N184" i="5"/>
  <c r="O184" i="5"/>
  <c r="P184" i="5"/>
  <c r="Q184" i="5"/>
  <c r="S184" i="5"/>
  <c r="T184" i="5"/>
  <c r="U184" i="5"/>
  <c r="V184" i="5"/>
  <c r="W184" i="5"/>
  <c r="X184" i="5"/>
  <c r="Y184" i="5"/>
  <c r="Z184" i="5"/>
  <c r="AA184" i="5"/>
  <c r="AC184" i="5"/>
  <c r="AD184" i="5"/>
  <c r="AE184" i="5"/>
  <c r="G185" i="5"/>
  <c r="H185" i="5"/>
  <c r="I185" i="5"/>
  <c r="J185" i="5"/>
  <c r="K185" i="5"/>
  <c r="L185" i="5"/>
  <c r="M185" i="5"/>
  <c r="N185" i="5"/>
  <c r="O185" i="5"/>
  <c r="P185" i="5"/>
  <c r="Q185" i="5"/>
  <c r="S185" i="5"/>
  <c r="T185" i="5"/>
  <c r="U185" i="5"/>
  <c r="V185" i="5"/>
  <c r="W185" i="5"/>
  <c r="X185" i="5"/>
  <c r="Y185" i="5"/>
  <c r="Z185" i="5"/>
  <c r="AA185" i="5"/>
  <c r="AC185" i="5"/>
  <c r="AD185" i="5"/>
  <c r="AE185" i="5"/>
  <c r="G186" i="5"/>
  <c r="H186" i="5"/>
  <c r="I186" i="5"/>
  <c r="J186" i="5"/>
  <c r="K186" i="5"/>
  <c r="L186" i="5"/>
  <c r="M186" i="5"/>
  <c r="N186" i="5"/>
  <c r="O186" i="5"/>
  <c r="P186" i="5"/>
  <c r="Q186" i="5"/>
  <c r="S186" i="5"/>
  <c r="T186" i="5"/>
  <c r="U186" i="5"/>
  <c r="V186" i="5"/>
  <c r="W186" i="5"/>
  <c r="X186" i="5"/>
  <c r="Y186" i="5"/>
  <c r="Z186" i="5"/>
  <c r="AA186" i="5"/>
  <c r="AC186" i="5"/>
  <c r="AD186" i="5"/>
  <c r="AE186" i="5"/>
  <c r="G187" i="5"/>
  <c r="H187" i="5"/>
  <c r="I187" i="5"/>
  <c r="J187" i="5"/>
  <c r="K187" i="5"/>
  <c r="L187" i="5"/>
  <c r="M187" i="5"/>
  <c r="N187" i="5"/>
  <c r="O187" i="5"/>
  <c r="P187" i="5"/>
  <c r="Q187" i="5"/>
  <c r="S187" i="5"/>
  <c r="T187" i="5"/>
  <c r="U187" i="5"/>
  <c r="V187" i="5"/>
  <c r="W187" i="5"/>
  <c r="X187" i="5"/>
  <c r="Y187" i="5"/>
  <c r="Z187" i="5"/>
  <c r="AA187" i="5"/>
  <c r="AC187" i="5"/>
  <c r="AD187" i="5"/>
  <c r="AE187" i="5"/>
  <c r="G188" i="5"/>
  <c r="H188" i="5"/>
  <c r="I188" i="5"/>
  <c r="J188" i="5"/>
  <c r="K188" i="5"/>
  <c r="L188" i="5"/>
  <c r="M188" i="5"/>
  <c r="N188" i="5"/>
  <c r="O188" i="5"/>
  <c r="P188" i="5"/>
  <c r="Q188" i="5"/>
  <c r="S188" i="5"/>
  <c r="T188" i="5"/>
  <c r="U188" i="5"/>
  <c r="V188" i="5"/>
  <c r="W188" i="5"/>
  <c r="X188" i="5"/>
  <c r="Y188" i="5"/>
  <c r="Z188" i="5"/>
  <c r="AA188" i="5"/>
  <c r="AC188" i="5"/>
  <c r="AD188" i="5"/>
  <c r="AE188" i="5"/>
  <c r="G189" i="5"/>
  <c r="H189" i="5"/>
  <c r="I189" i="5"/>
  <c r="J189" i="5"/>
  <c r="K189" i="5"/>
  <c r="L189" i="5"/>
  <c r="M189" i="5"/>
  <c r="N189" i="5"/>
  <c r="O189" i="5"/>
  <c r="P189" i="5"/>
  <c r="Q189" i="5"/>
  <c r="S189" i="5"/>
  <c r="T189" i="5"/>
  <c r="U189" i="5"/>
  <c r="V189" i="5"/>
  <c r="W189" i="5"/>
  <c r="X189" i="5"/>
  <c r="Y189" i="5"/>
  <c r="Z189" i="5"/>
  <c r="AA189" i="5"/>
  <c r="AC189" i="5"/>
  <c r="AD189" i="5"/>
  <c r="AE189" i="5"/>
  <c r="G190" i="5"/>
  <c r="H190" i="5"/>
  <c r="I190" i="5"/>
  <c r="J190" i="5"/>
  <c r="K190" i="5"/>
  <c r="L190" i="5"/>
  <c r="M190" i="5"/>
  <c r="N190" i="5"/>
  <c r="O190" i="5"/>
  <c r="P190" i="5"/>
  <c r="Q190" i="5"/>
  <c r="S190" i="5"/>
  <c r="T190" i="5"/>
  <c r="U190" i="5"/>
  <c r="V190" i="5"/>
  <c r="W190" i="5"/>
  <c r="X190" i="5"/>
  <c r="Y190" i="5"/>
  <c r="Z190" i="5"/>
  <c r="AA190" i="5"/>
  <c r="AC190" i="5"/>
  <c r="AD190" i="5"/>
  <c r="AE190" i="5"/>
  <c r="G191" i="5"/>
  <c r="H191" i="5"/>
  <c r="I191" i="5"/>
  <c r="J191" i="5"/>
  <c r="K191" i="5"/>
  <c r="L191" i="5"/>
  <c r="M191" i="5"/>
  <c r="N191" i="5"/>
  <c r="O191" i="5"/>
  <c r="P191" i="5"/>
  <c r="Q191" i="5"/>
  <c r="S191" i="5"/>
  <c r="T191" i="5"/>
  <c r="U191" i="5"/>
  <c r="V191" i="5"/>
  <c r="W191" i="5"/>
  <c r="X191" i="5"/>
  <c r="Y191" i="5"/>
  <c r="Z191" i="5"/>
  <c r="AA191" i="5"/>
  <c r="AC191" i="5"/>
  <c r="AD191" i="5"/>
  <c r="AE191" i="5"/>
  <c r="G192" i="5"/>
  <c r="H192" i="5"/>
  <c r="I192" i="5"/>
  <c r="J192" i="5"/>
  <c r="K192" i="5"/>
  <c r="L192" i="5"/>
  <c r="M192" i="5"/>
  <c r="N192" i="5"/>
  <c r="O192" i="5"/>
  <c r="P192" i="5"/>
  <c r="Q192" i="5"/>
  <c r="S192" i="5"/>
  <c r="T192" i="5"/>
  <c r="U192" i="5"/>
  <c r="V192" i="5"/>
  <c r="W192" i="5"/>
  <c r="X192" i="5"/>
  <c r="Y192" i="5"/>
  <c r="Z192" i="5"/>
  <c r="AA192" i="5"/>
  <c r="AC192" i="5"/>
  <c r="AD192" i="5"/>
  <c r="AE192" i="5"/>
  <c r="G193" i="5"/>
  <c r="H193" i="5"/>
  <c r="I193" i="5"/>
  <c r="J193" i="5"/>
  <c r="K193" i="5"/>
  <c r="L193" i="5"/>
  <c r="M193" i="5"/>
  <c r="N193" i="5"/>
  <c r="O193" i="5"/>
  <c r="P193" i="5"/>
  <c r="Q193" i="5"/>
  <c r="S193" i="5"/>
  <c r="T193" i="5"/>
  <c r="U193" i="5"/>
  <c r="V193" i="5"/>
  <c r="W193" i="5"/>
  <c r="X193" i="5"/>
  <c r="Y193" i="5"/>
  <c r="Z193" i="5"/>
  <c r="AA193" i="5"/>
  <c r="AC193" i="5"/>
  <c r="AD193" i="5"/>
  <c r="AE193" i="5"/>
  <c r="G194" i="5"/>
  <c r="H194" i="5"/>
  <c r="I194" i="5"/>
  <c r="J194" i="5"/>
  <c r="K194" i="5"/>
  <c r="L194" i="5"/>
  <c r="M194" i="5"/>
  <c r="N194" i="5"/>
  <c r="O194" i="5"/>
  <c r="P194" i="5"/>
  <c r="Q194" i="5"/>
  <c r="S194" i="5"/>
  <c r="T194" i="5"/>
  <c r="U194" i="5"/>
  <c r="V194" i="5"/>
  <c r="W194" i="5"/>
  <c r="X194" i="5"/>
  <c r="Y194" i="5"/>
  <c r="Z194" i="5"/>
  <c r="AA194" i="5"/>
  <c r="AC194" i="5"/>
  <c r="AD194" i="5"/>
  <c r="AE194" i="5"/>
  <c r="G195" i="5"/>
  <c r="H195" i="5"/>
  <c r="I195" i="5"/>
  <c r="J195" i="5"/>
  <c r="K195" i="5"/>
  <c r="L195" i="5"/>
  <c r="M195" i="5"/>
  <c r="N195" i="5"/>
  <c r="O195" i="5"/>
  <c r="P195" i="5"/>
  <c r="Q195" i="5"/>
  <c r="S195" i="5"/>
  <c r="T195" i="5"/>
  <c r="U195" i="5"/>
  <c r="V195" i="5"/>
  <c r="W195" i="5"/>
  <c r="X195" i="5"/>
  <c r="Y195" i="5"/>
  <c r="Z195" i="5"/>
  <c r="AA195" i="5"/>
  <c r="AC195" i="5"/>
  <c r="AD195" i="5"/>
  <c r="AE195" i="5"/>
  <c r="G196" i="5"/>
  <c r="H196" i="5"/>
  <c r="I196" i="5"/>
  <c r="J196" i="5"/>
  <c r="K196" i="5"/>
  <c r="L196" i="5"/>
  <c r="M196" i="5"/>
  <c r="N196" i="5"/>
  <c r="O196" i="5"/>
  <c r="P196" i="5"/>
  <c r="Q196" i="5"/>
  <c r="S196" i="5"/>
  <c r="T196" i="5"/>
  <c r="U196" i="5"/>
  <c r="V196" i="5"/>
  <c r="W196" i="5"/>
  <c r="X196" i="5"/>
  <c r="Y196" i="5"/>
  <c r="Z196" i="5"/>
  <c r="AA196" i="5"/>
  <c r="AC196" i="5"/>
  <c r="AD196" i="5"/>
  <c r="AE196" i="5"/>
  <c r="G197" i="5"/>
  <c r="H197" i="5"/>
  <c r="I197" i="5"/>
  <c r="J197" i="5"/>
  <c r="K197" i="5"/>
  <c r="L197" i="5"/>
  <c r="M197" i="5"/>
  <c r="N197" i="5"/>
  <c r="O197" i="5"/>
  <c r="P197" i="5"/>
  <c r="Q197" i="5"/>
  <c r="S197" i="5"/>
  <c r="T197" i="5"/>
  <c r="U197" i="5"/>
  <c r="V197" i="5"/>
  <c r="W197" i="5"/>
  <c r="X197" i="5"/>
  <c r="Y197" i="5"/>
  <c r="Z197" i="5"/>
  <c r="AA197" i="5"/>
  <c r="AC197" i="5"/>
  <c r="AD197" i="5"/>
  <c r="AE197" i="5"/>
  <c r="G198" i="5"/>
  <c r="H198" i="5"/>
  <c r="I198" i="5"/>
  <c r="J198" i="5"/>
  <c r="K198" i="5"/>
  <c r="L198" i="5"/>
  <c r="M198" i="5"/>
  <c r="N198" i="5"/>
  <c r="O198" i="5"/>
  <c r="P198" i="5"/>
  <c r="Q198" i="5"/>
  <c r="S198" i="5"/>
  <c r="T198" i="5"/>
  <c r="U198" i="5"/>
  <c r="V198" i="5"/>
  <c r="W198" i="5"/>
  <c r="X198" i="5"/>
  <c r="Y198" i="5"/>
  <c r="Z198" i="5"/>
  <c r="AA198" i="5"/>
  <c r="AC198" i="5"/>
  <c r="AD198" i="5"/>
  <c r="AE198" i="5"/>
  <c r="G199" i="5"/>
  <c r="H199" i="5"/>
  <c r="I199" i="5"/>
  <c r="J199" i="5"/>
  <c r="K199" i="5"/>
  <c r="L199" i="5"/>
  <c r="M199" i="5"/>
  <c r="N199" i="5"/>
  <c r="O199" i="5"/>
  <c r="P199" i="5"/>
  <c r="Q199" i="5"/>
  <c r="S199" i="5"/>
  <c r="T199" i="5"/>
  <c r="U199" i="5"/>
  <c r="V199" i="5"/>
  <c r="W199" i="5"/>
  <c r="X199" i="5"/>
  <c r="Y199" i="5"/>
  <c r="Z199" i="5"/>
  <c r="AA199" i="5"/>
  <c r="AC199" i="5"/>
  <c r="AD199" i="5"/>
  <c r="AE199" i="5"/>
  <c r="G200" i="5"/>
  <c r="H200" i="5"/>
  <c r="I200" i="5"/>
  <c r="J200" i="5"/>
  <c r="K200" i="5"/>
  <c r="L200" i="5"/>
  <c r="M200" i="5"/>
  <c r="N200" i="5"/>
  <c r="O200" i="5"/>
  <c r="P200" i="5"/>
  <c r="Q200" i="5"/>
  <c r="S200" i="5"/>
  <c r="T200" i="5"/>
  <c r="U200" i="5"/>
  <c r="V200" i="5"/>
  <c r="W200" i="5"/>
  <c r="X200" i="5"/>
  <c r="Y200" i="5"/>
  <c r="Z200" i="5"/>
  <c r="AA200" i="5"/>
  <c r="AC200" i="5"/>
  <c r="AD200" i="5"/>
  <c r="AE200" i="5"/>
  <c r="G201" i="5"/>
  <c r="H201" i="5"/>
  <c r="I201" i="5"/>
  <c r="J201" i="5"/>
  <c r="K201" i="5"/>
  <c r="L201" i="5"/>
  <c r="M201" i="5"/>
  <c r="N201" i="5"/>
  <c r="O201" i="5"/>
  <c r="P201" i="5"/>
  <c r="Q201" i="5"/>
  <c r="S201" i="5"/>
  <c r="T201" i="5"/>
  <c r="U201" i="5"/>
  <c r="V201" i="5"/>
  <c r="W201" i="5"/>
  <c r="X201" i="5"/>
  <c r="Y201" i="5"/>
  <c r="Z201" i="5"/>
  <c r="AA201" i="5"/>
  <c r="AC201" i="5"/>
  <c r="AD201" i="5"/>
  <c r="AE201" i="5"/>
  <c r="G202" i="5"/>
  <c r="H202" i="5"/>
  <c r="I202" i="5"/>
  <c r="J202" i="5"/>
  <c r="K202" i="5"/>
  <c r="L202" i="5"/>
  <c r="M202" i="5"/>
  <c r="N202" i="5"/>
  <c r="O202" i="5"/>
  <c r="P202" i="5"/>
  <c r="Q202" i="5"/>
  <c r="S202" i="5"/>
  <c r="T202" i="5"/>
  <c r="U202" i="5"/>
  <c r="V202" i="5"/>
  <c r="W202" i="5"/>
  <c r="X202" i="5"/>
  <c r="Y202" i="5"/>
  <c r="Z202" i="5"/>
  <c r="AA202" i="5"/>
  <c r="AC202" i="5"/>
  <c r="AD202" i="5"/>
  <c r="AE202" i="5"/>
  <c r="G203" i="5"/>
  <c r="H203" i="5"/>
  <c r="I203" i="5"/>
  <c r="J203" i="5"/>
  <c r="K203" i="5"/>
  <c r="L203" i="5"/>
  <c r="M203" i="5"/>
  <c r="N203" i="5"/>
  <c r="O203" i="5"/>
  <c r="P203" i="5"/>
  <c r="Q203" i="5"/>
  <c r="S203" i="5"/>
  <c r="T203" i="5"/>
  <c r="U203" i="5"/>
  <c r="V203" i="5"/>
  <c r="W203" i="5"/>
  <c r="X203" i="5"/>
  <c r="Y203" i="5"/>
  <c r="Z203" i="5"/>
  <c r="AA203" i="5"/>
  <c r="AC203" i="5"/>
  <c r="AD203" i="5"/>
  <c r="AE203" i="5"/>
  <c r="G204" i="5"/>
  <c r="H204" i="5"/>
  <c r="I204" i="5"/>
  <c r="J204" i="5"/>
  <c r="K204" i="5"/>
  <c r="L204" i="5"/>
  <c r="M204" i="5"/>
  <c r="N204" i="5"/>
  <c r="O204" i="5"/>
  <c r="P204" i="5"/>
  <c r="Q204" i="5"/>
  <c r="S204" i="5"/>
  <c r="T204" i="5"/>
  <c r="U204" i="5"/>
  <c r="V204" i="5"/>
  <c r="W204" i="5"/>
  <c r="X204" i="5"/>
  <c r="Y204" i="5"/>
  <c r="Z204" i="5"/>
  <c r="AA204" i="5"/>
  <c r="AC204" i="5"/>
  <c r="AD204" i="5"/>
  <c r="AE204" i="5"/>
  <c r="G205" i="5"/>
  <c r="H205" i="5"/>
  <c r="I205" i="5"/>
  <c r="J205" i="5"/>
  <c r="K205" i="5"/>
  <c r="L205" i="5"/>
  <c r="M205" i="5"/>
  <c r="N205" i="5"/>
  <c r="O205" i="5"/>
  <c r="P205" i="5"/>
  <c r="Q205" i="5"/>
  <c r="S205" i="5"/>
  <c r="T205" i="5"/>
  <c r="U205" i="5"/>
  <c r="V205" i="5"/>
  <c r="W205" i="5"/>
  <c r="X205" i="5"/>
  <c r="Y205" i="5"/>
  <c r="Z205" i="5"/>
  <c r="AA205" i="5"/>
  <c r="AC205" i="5"/>
  <c r="AD205" i="5"/>
  <c r="AE205" i="5"/>
  <c r="G206" i="5"/>
  <c r="H206" i="5"/>
  <c r="I206" i="5"/>
  <c r="J206" i="5"/>
  <c r="K206" i="5"/>
  <c r="L206" i="5"/>
  <c r="M206" i="5"/>
  <c r="N206" i="5"/>
  <c r="O206" i="5"/>
  <c r="P206" i="5"/>
  <c r="Q206" i="5"/>
  <c r="S206" i="5"/>
  <c r="T206" i="5"/>
  <c r="U206" i="5"/>
  <c r="V206" i="5"/>
  <c r="W206" i="5"/>
  <c r="X206" i="5"/>
  <c r="Y206" i="5"/>
  <c r="Z206" i="5"/>
  <c r="AA206" i="5"/>
  <c r="AC206" i="5"/>
  <c r="AD206" i="5"/>
  <c r="AE206" i="5"/>
  <c r="G207" i="5"/>
  <c r="H207" i="5"/>
  <c r="I207" i="5"/>
  <c r="J207" i="5"/>
  <c r="K207" i="5"/>
  <c r="L207" i="5"/>
  <c r="M207" i="5"/>
  <c r="N207" i="5"/>
  <c r="O207" i="5"/>
  <c r="P207" i="5"/>
  <c r="Q207" i="5"/>
  <c r="S207" i="5"/>
  <c r="T207" i="5"/>
  <c r="U207" i="5"/>
  <c r="V207" i="5"/>
  <c r="W207" i="5"/>
  <c r="X207" i="5"/>
  <c r="Y207" i="5"/>
  <c r="Z207" i="5"/>
  <c r="AA207" i="5"/>
  <c r="AC207" i="5"/>
  <c r="AD207" i="5"/>
  <c r="AE207" i="5"/>
  <c r="G208" i="5"/>
  <c r="H208" i="5"/>
  <c r="I208" i="5"/>
  <c r="J208" i="5"/>
  <c r="K208" i="5"/>
  <c r="L208" i="5"/>
  <c r="M208" i="5"/>
  <c r="N208" i="5"/>
  <c r="O208" i="5"/>
  <c r="P208" i="5"/>
  <c r="Q208" i="5"/>
  <c r="S208" i="5"/>
  <c r="T208" i="5"/>
  <c r="U208" i="5"/>
  <c r="V208" i="5"/>
  <c r="W208" i="5"/>
  <c r="X208" i="5"/>
  <c r="Y208" i="5"/>
  <c r="Z208" i="5"/>
  <c r="AA208" i="5"/>
  <c r="AC208" i="5"/>
  <c r="AD208" i="5"/>
  <c r="AE208" i="5"/>
  <c r="G209" i="5"/>
  <c r="H209" i="5"/>
  <c r="I209" i="5"/>
  <c r="J209" i="5"/>
  <c r="K209" i="5"/>
  <c r="L209" i="5"/>
  <c r="M209" i="5"/>
  <c r="N209" i="5"/>
  <c r="O209" i="5"/>
  <c r="P209" i="5"/>
  <c r="Q209" i="5"/>
  <c r="S209" i="5"/>
  <c r="T209" i="5"/>
  <c r="U209" i="5"/>
  <c r="V209" i="5"/>
  <c r="W209" i="5"/>
  <c r="X209" i="5"/>
  <c r="Y209" i="5"/>
  <c r="Z209" i="5"/>
  <c r="AA209" i="5"/>
  <c r="AC209" i="5"/>
  <c r="AD209" i="5"/>
  <c r="AE209" i="5"/>
  <c r="G210" i="5"/>
  <c r="H210" i="5"/>
  <c r="I210" i="5"/>
  <c r="J210" i="5"/>
  <c r="K210" i="5"/>
  <c r="L210" i="5"/>
  <c r="M210" i="5"/>
  <c r="N210" i="5"/>
  <c r="O210" i="5"/>
  <c r="P210" i="5"/>
  <c r="Q210" i="5"/>
  <c r="S210" i="5"/>
  <c r="T210" i="5"/>
  <c r="U210" i="5"/>
  <c r="V210" i="5"/>
  <c r="W210" i="5"/>
  <c r="X210" i="5"/>
  <c r="Y210" i="5"/>
  <c r="Z210" i="5"/>
  <c r="AA210" i="5"/>
  <c r="AC210" i="5"/>
  <c r="AD210" i="5"/>
  <c r="AE210" i="5"/>
  <c r="G211" i="5"/>
  <c r="H211" i="5"/>
  <c r="I211" i="5"/>
  <c r="J211" i="5"/>
  <c r="K211" i="5"/>
  <c r="L211" i="5"/>
  <c r="M211" i="5"/>
  <c r="N211" i="5"/>
  <c r="O211" i="5"/>
  <c r="P211" i="5"/>
  <c r="Q211" i="5"/>
  <c r="S211" i="5"/>
  <c r="T211" i="5"/>
  <c r="U211" i="5"/>
  <c r="V211" i="5"/>
  <c r="W211" i="5"/>
  <c r="X211" i="5"/>
  <c r="Y211" i="5"/>
  <c r="Z211" i="5"/>
  <c r="AA211" i="5"/>
  <c r="AC211" i="5"/>
  <c r="AD211" i="5"/>
  <c r="AE211" i="5"/>
  <c r="G212" i="5"/>
  <c r="H212" i="5"/>
  <c r="I212" i="5"/>
  <c r="J212" i="5"/>
  <c r="K212" i="5"/>
  <c r="L212" i="5"/>
  <c r="M212" i="5"/>
  <c r="N212" i="5"/>
  <c r="O212" i="5"/>
  <c r="P212" i="5"/>
  <c r="Q212" i="5"/>
  <c r="S212" i="5"/>
  <c r="T212" i="5"/>
  <c r="U212" i="5"/>
  <c r="V212" i="5"/>
  <c r="W212" i="5"/>
  <c r="X212" i="5"/>
  <c r="Y212" i="5"/>
  <c r="Z212" i="5"/>
  <c r="AA212" i="5"/>
  <c r="AC212" i="5"/>
  <c r="AD212" i="5"/>
  <c r="AE212" i="5"/>
  <c r="G213" i="5"/>
  <c r="H213" i="5"/>
  <c r="I213" i="5"/>
  <c r="J213" i="5"/>
  <c r="K213" i="5"/>
  <c r="L213" i="5"/>
  <c r="M213" i="5"/>
  <c r="N213" i="5"/>
  <c r="O213" i="5"/>
  <c r="P213" i="5"/>
  <c r="Q213" i="5"/>
  <c r="S213" i="5"/>
  <c r="T213" i="5"/>
  <c r="U213" i="5"/>
  <c r="V213" i="5"/>
  <c r="W213" i="5"/>
  <c r="X213" i="5"/>
  <c r="Y213" i="5"/>
  <c r="Z213" i="5"/>
  <c r="AA213" i="5"/>
  <c r="AC213" i="5"/>
  <c r="AD213" i="5"/>
  <c r="AE213" i="5"/>
  <c r="G214" i="5"/>
  <c r="H214" i="5"/>
  <c r="I214" i="5"/>
  <c r="J214" i="5"/>
  <c r="K214" i="5"/>
  <c r="L214" i="5"/>
  <c r="M214" i="5"/>
  <c r="N214" i="5"/>
  <c r="O214" i="5"/>
  <c r="P214" i="5"/>
  <c r="Q214" i="5"/>
  <c r="S214" i="5"/>
  <c r="T214" i="5"/>
  <c r="U214" i="5"/>
  <c r="V214" i="5"/>
  <c r="W214" i="5"/>
  <c r="X214" i="5"/>
  <c r="Y214" i="5"/>
  <c r="Z214" i="5"/>
  <c r="AA214" i="5"/>
  <c r="AC214" i="5"/>
  <c r="AD214" i="5"/>
  <c r="AE214" i="5"/>
  <c r="G215" i="5"/>
  <c r="H215" i="5"/>
  <c r="I215" i="5"/>
  <c r="J215" i="5"/>
  <c r="K215" i="5"/>
  <c r="L215" i="5"/>
  <c r="M215" i="5"/>
  <c r="N215" i="5"/>
  <c r="O215" i="5"/>
  <c r="P215" i="5"/>
  <c r="Q215" i="5"/>
  <c r="S215" i="5"/>
  <c r="T215" i="5"/>
  <c r="U215" i="5"/>
  <c r="V215" i="5"/>
  <c r="W215" i="5"/>
  <c r="X215" i="5"/>
  <c r="Y215" i="5"/>
  <c r="Z215" i="5"/>
  <c r="AA215" i="5"/>
  <c r="AC215" i="5"/>
  <c r="AD215" i="5"/>
  <c r="AE215" i="5"/>
  <c r="G216" i="5"/>
  <c r="H216" i="5"/>
  <c r="I216" i="5"/>
  <c r="J216" i="5"/>
  <c r="K216" i="5"/>
  <c r="L216" i="5"/>
  <c r="M216" i="5"/>
  <c r="N216" i="5"/>
  <c r="O216" i="5"/>
  <c r="P216" i="5"/>
  <c r="Q216" i="5"/>
  <c r="S216" i="5"/>
  <c r="T216" i="5"/>
  <c r="U216" i="5"/>
  <c r="V216" i="5"/>
  <c r="W216" i="5"/>
  <c r="X216" i="5"/>
  <c r="Y216" i="5"/>
  <c r="Z216" i="5"/>
  <c r="AA216" i="5"/>
  <c r="AC216" i="5"/>
  <c r="AD216" i="5"/>
  <c r="AE216" i="5"/>
  <c r="G217" i="5"/>
  <c r="H217" i="5"/>
  <c r="I217" i="5"/>
  <c r="J217" i="5"/>
  <c r="K217" i="5"/>
  <c r="L217" i="5"/>
  <c r="M217" i="5"/>
  <c r="N217" i="5"/>
  <c r="O217" i="5"/>
  <c r="P217" i="5"/>
  <c r="Q217" i="5"/>
  <c r="S217" i="5"/>
  <c r="T217" i="5"/>
  <c r="U217" i="5"/>
  <c r="V217" i="5"/>
  <c r="W217" i="5"/>
  <c r="X217" i="5"/>
  <c r="Y217" i="5"/>
  <c r="Z217" i="5"/>
  <c r="AA217" i="5"/>
  <c r="AC217" i="5"/>
  <c r="AD217" i="5"/>
  <c r="AE217" i="5"/>
  <c r="G218" i="5"/>
  <c r="H218" i="5"/>
  <c r="I218" i="5"/>
  <c r="J218" i="5"/>
  <c r="K218" i="5"/>
  <c r="L218" i="5"/>
  <c r="M218" i="5"/>
  <c r="N218" i="5"/>
  <c r="O218" i="5"/>
  <c r="P218" i="5"/>
  <c r="Q218" i="5"/>
  <c r="S218" i="5"/>
  <c r="T218" i="5"/>
  <c r="U218" i="5"/>
  <c r="V218" i="5"/>
  <c r="W218" i="5"/>
  <c r="X218" i="5"/>
  <c r="Y218" i="5"/>
  <c r="Z218" i="5"/>
  <c r="AA218" i="5"/>
  <c r="AC218" i="5"/>
  <c r="AD218" i="5"/>
  <c r="AE218" i="5"/>
  <c r="G219" i="5"/>
  <c r="H219" i="5"/>
  <c r="I219" i="5"/>
  <c r="J219" i="5"/>
  <c r="K219" i="5"/>
  <c r="L219" i="5"/>
  <c r="M219" i="5"/>
  <c r="N219" i="5"/>
  <c r="O219" i="5"/>
  <c r="P219" i="5"/>
  <c r="Q219" i="5"/>
  <c r="S219" i="5"/>
  <c r="T219" i="5"/>
  <c r="U219" i="5"/>
  <c r="V219" i="5"/>
  <c r="W219" i="5"/>
  <c r="X219" i="5"/>
  <c r="Y219" i="5"/>
  <c r="Z219" i="5"/>
  <c r="AA219" i="5"/>
  <c r="AC219" i="5"/>
  <c r="AD219" i="5"/>
  <c r="AE219" i="5"/>
  <c r="G220" i="5"/>
  <c r="H220" i="5"/>
  <c r="I220" i="5"/>
  <c r="J220" i="5"/>
  <c r="K220" i="5"/>
  <c r="L220" i="5"/>
  <c r="M220" i="5"/>
  <c r="N220" i="5"/>
  <c r="O220" i="5"/>
  <c r="P220" i="5"/>
  <c r="Q220" i="5"/>
  <c r="S220" i="5"/>
  <c r="T220" i="5"/>
  <c r="U220" i="5"/>
  <c r="V220" i="5"/>
  <c r="W220" i="5"/>
  <c r="X220" i="5"/>
  <c r="Y220" i="5"/>
  <c r="Z220" i="5"/>
  <c r="AA220" i="5"/>
  <c r="AC220" i="5"/>
  <c r="AD220" i="5"/>
  <c r="AE220" i="5"/>
  <c r="G221" i="5"/>
  <c r="H221" i="5"/>
  <c r="I221" i="5"/>
  <c r="J221" i="5"/>
  <c r="K221" i="5"/>
  <c r="L221" i="5"/>
  <c r="M221" i="5"/>
  <c r="N221" i="5"/>
  <c r="O221" i="5"/>
  <c r="P221" i="5"/>
  <c r="Q221" i="5"/>
  <c r="S221" i="5"/>
  <c r="T221" i="5"/>
  <c r="U221" i="5"/>
  <c r="V221" i="5"/>
  <c r="W221" i="5"/>
  <c r="X221" i="5"/>
  <c r="Y221" i="5"/>
  <c r="Z221" i="5"/>
  <c r="AA221" i="5"/>
  <c r="AC221" i="5"/>
  <c r="AD221" i="5"/>
  <c r="AE221" i="5"/>
  <c r="G222" i="5"/>
  <c r="H222" i="5"/>
  <c r="I222" i="5"/>
  <c r="J222" i="5"/>
  <c r="K222" i="5"/>
  <c r="L222" i="5"/>
  <c r="M222" i="5"/>
  <c r="N222" i="5"/>
  <c r="O222" i="5"/>
  <c r="P222" i="5"/>
  <c r="Q222" i="5"/>
  <c r="S222" i="5"/>
  <c r="T222" i="5"/>
  <c r="U222" i="5"/>
  <c r="V222" i="5"/>
  <c r="W222" i="5"/>
  <c r="X222" i="5"/>
  <c r="Y222" i="5"/>
  <c r="Z222" i="5"/>
  <c r="AA222" i="5"/>
  <c r="AC222" i="5"/>
  <c r="AD222" i="5"/>
  <c r="AE222" i="5"/>
  <c r="G223" i="5"/>
  <c r="H223" i="5"/>
  <c r="I223" i="5"/>
  <c r="J223" i="5"/>
  <c r="K223" i="5"/>
  <c r="L223" i="5"/>
  <c r="M223" i="5"/>
  <c r="N223" i="5"/>
  <c r="O223" i="5"/>
  <c r="P223" i="5"/>
  <c r="Q223" i="5"/>
  <c r="S223" i="5"/>
  <c r="T223" i="5"/>
  <c r="U223" i="5"/>
  <c r="V223" i="5"/>
  <c r="W223" i="5"/>
  <c r="X223" i="5"/>
  <c r="Y223" i="5"/>
  <c r="Z223" i="5"/>
  <c r="AA223" i="5"/>
  <c r="AC223" i="5"/>
  <c r="AD223" i="5"/>
  <c r="AE223" i="5"/>
  <c r="G224" i="5"/>
  <c r="H224" i="5"/>
  <c r="I224" i="5"/>
  <c r="J224" i="5"/>
  <c r="K224" i="5"/>
  <c r="L224" i="5"/>
  <c r="M224" i="5"/>
  <c r="N224" i="5"/>
  <c r="O224" i="5"/>
  <c r="P224" i="5"/>
  <c r="Q224" i="5"/>
  <c r="S224" i="5"/>
  <c r="T224" i="5"/>
  <c r="U224" i="5"/>
  <c r="V224" i="5"/>
  <c r="W224" i="5"/>
  <c r="X224" i="5"/>
  <c r="Y224" i="5"/>
  <c r="Z224" i="5"/>
  <c r="AA224" i="5"/>
  <c r="AC224" i="5"/>
  <c r="AD224" i="5"/>
  <c r="AE224" i="5"/>
  <c r="G225" i="5"/>
  <c r="H225" i="5"/>
  <c r="I225" i="5"/>
  <c r="J225" i="5"/>
  <c r="K225" i="5"/>
  <c r="L225" i="5"/>
  <c r="M225" i="5"/>
  <c r="N225" i="5"/>
  <c r="O225" i="5"/>
  <c r="P225" i="5"/>
  <c r="Q225" i="5"/>
  <c r="S225" i="5"/>
  <c r="T225" i="5"/>
  <c r="U225" i="5"/>
  <c r="V225" i="5"/>
  <c r="W225" i="5"/>
  <c r="X225" i="5"/>
  <c r="Y225" i="5"/>
  <c r="Z225" i="5"/>
  <c r="AA225" i="5"/>
  <c r="AC225" i="5"/>
  <c r="AD225" i="5"/>
  <c r="AE225" i="5"/>
  <c r="G226" i="5"/>
  <c r="H226" i="5"/>
  <c r="I226" i="5"/>
  <c r="J226" i="5"/>
  <c r="K226" i="5"/>
  <c r="L226" i="5"/>
  <c r="M226" i="5"/>
  <c r="N226" i="5"/>
  <c r="O226" i="5"/>
  <c r="P226" i="5"/>
  <c r="Q226" i="5"/>
  <c r="S226" i="5"/>
  <c r="T226" i="5"/>
  <c r="U226" i="5"/>
  <c r="V226" i="5"/>
  <c r="W226" i="5"/>
  <c r="X226" i="5"/>
  <c r="Y226" i="5"/>
  <c r="Z226" i="5"/>
  <c r="AA226" i="5"/>
  <c r="AC226" i="5"/>
  <c r="AD226" i="5"/>
  <c r="AE226" i="5"/>
  <c r="G227" i="5"/>
  <c r="H227" i="5"/>
  <c r="I227" i="5"/>
  <c r="J227" i="5"/>
  <c r="K227" i="5"/>
  <c r="L227" i="5"/>
  <c r="M227" i="5"/>
  <c r="N227" i="5"/>
  <c r="O227" i="5"/>
  <c r="P227" i="5"/>
  <c r="Q227" i="5"/>
  <c r="S227" i="5"/>
  <c r="T227" i="5"/>
  <c r="U227" i="5"/>
  <c r="V227" i="5"/>
  <c r="W227" i="5"/>
  <c r="X227" i="5"/>
  <c r="Y227" i="5"/>
  <c r="Z227" i="5"/>
  <c r="AA227" i="5"/>
  <c r="AC227" i="5"/>
  <c r="AD227" i="5"/>
  <c r="AE227" i="5"/>
  <c r="G228" i="5"/>
  <c r="H228" i="5"/>
  <c r="I228" i="5"/>
  <c r="J228" i="5"/>
  <c r="K228" i="5"/>
  <c r="L228" i="5"/>
  <c r="M228" i="5"/>
  <c r="N228" i="5"/>
  <c r="O228" i="5"/>
  <c r="P228" i="5"/>
  <c r="Q228" i="5"/>
  <c r="S228" i="5"/>
  <c r="T228" i="5"/>
  <c r="U228" i="5"/>
  <c r="V228" i="5"/>
  <c r="W228" i="5"/>
  <c r="X228" i="5"/>
  <c r="Y228" i="5"/>
  <c r="Z228" i="5"/>
  <c r="AA228" i="5"/>
  <c r="AC228" i="5"/>
  <c r="AD228" i="5"/>
  <c r="AE228" i="5"/>
  <c r="G229" i="5"/>
  <c r="H229" i="5"/>
  <c r="I229" i="5"/>
  <c r="J229" i="5"/>
  <c r="K229" i="5"/>
  <c r="L229" i="5"/>
  <c r="M229" i="5"/>
  <c r="N229" i="5"/>
  <c r="O229" i="5"/>
  <c r="P229" i="5"/>
  <c r="Q229" i="5"/>
  <c r="S229" i="5"/>
  <c r="T229" i="5"/>
  <c r="U229" i="5"/>
  <c r="V229" i="5"/>
  <c r="W229" i="5"/>
  <c r="X229" i="5"/>
  <c r="Y229" i="5"/>
  <c r="Z229" i="5"/>
  <c r="AA229" i="5"/>
  <c r="AC229" i="5"/>
  <c r="AD229" i="5"/>
  <c r="AE229" i="5"/>
  <c r="G230" i="5"/>
  <c r="H230" i="5"/>
  <c r="I230" i="5"/>
  <c r="J230" i="5"/>
  <c r="K230" i="5"/>
  <c r="L230" i="5"/>
  <c r="M230" i="5"/>
  <c r="N230" i="5"/>
  <c r="O230" i="5"/>
  <c r="P230" i="5"/>
  <c r="Q230" i="5"/>
  <c r="S230" i="5"/>
  <c r="T230" i="5"/>
  <c r="U230" i="5"/>
  <c r="V230" i="5"/>
  <c r="W230" i="5"/>
  <c r="X230" i="5"/>
  <c r="Y230" i="5"/>
  <c r="Z230" i="5"/>
  <c r="AA230" i="5"/>
  <c r="AC230" i="5"/>
  <c r="AD230" i="5"/>
  <c r="AE230" i="5"/>
  <c r="G231" i="5"/>
  <c r="H231" i="5"/>
  <c r="I231" i="5"/>
  <c r="J231" i="5"/>
  <c r="K231" i="5"/>
  <c r="L231" i="5"/>
  <c r="M231" i="5"/>
  <c r="N231" i="5"/>
  <c r="O231" i="5"/>
  <c r="P231" i="5"/>
  <c r="Q231" i="5"/>
  <c r="S231" i="5"/>
  <c r="T231" i="5"/>
  <c r="U231" i="5"/>
  <c r="V231" i="5"/>
  <c r="W231" i="5"/>
  <c r="X231" i="5"/>
  <c r="Y231" i="5"/>
  <c r="Z231" i="5"/>
  <c r="AA231" i="5"/>
  <c r="AC231" i="5"/>
  <c r="AD231" i="5"/>
  <c r="AE231" i="5"/>
  <c r="G232" i="5"/>
  <c r="H232" i="5"/>
  <c r="I232" i="5"/>
  <c r="J232" i="5"/>
  <c r="K232" i="5"/>
  <c r="L232" i="5"/>
  <c r="M232" i="5"/>
  <c r="N232" i="5"/>
  <c r="O232" i="5"/>
  <c r="P232" i="5"/>
  <c r="Q232" i="5"/>
  <c r="S232" i="5"/>
  <c r="T232" i="5"/>
  <c r="U232" i="5"/>
  <c r="V232" i="5"/>
  <c r="W232" i="5"/>
  <c r="X232" i="5"/>
  <c r="Y232" i="5"/>
  <c r="Z232" i="5"/>
  <c r="AA232" i="5"/>
  <c r="AC232" i="5"/>
  <c r="AD232" i="5"/>
  <c r="AE232" i="5"/>
  <c r="G233" i="5"/>
  <c r="H233" i="5"/>
  <c r="I233" i="5"/>
  <c r="J233" i="5"/>
  <c r="K233" i="5"/>
  <c r="L233" i="5"/>
  <c r="M233" i="5"/>
  <c r="N233" i="5"/>
  <c r="O233" i="5"/>
  <c r="P233" i="5"/>
  <c r="Q233" i="5"/>
  <c r="S233" i="5"/>
  <c r="T233" i="5"/>
  <c r="U233" i="5"/>
  <c r="V233" i="5"/>
  <c r="W233" i="5"/>
  <c r="X233" i="5"/>
  <c r="Y233" i="5"/>
  <c r="Z233" i="5"/>
  <c r="AA233" i="5"/>
  <c r="AC233" i="5"/>
  <c r="AD233" i="5"/>
  <c r="AE233" i="5"/>
  <c r="G234" i="5"/>
  <c r="H234" i="5"/>
  <c r="I234" i="5"/>
  <c r="J234" i="5"/>
  <c r="K234" i="5"/>
  <c r="L234" i="5"/>
  <c r="M234" i="5"/>
  <c r="N234" i="5"/>
  <c r="O234" i="5"/>
  <c r="P234" i="5"/>
  <c r="Q234" i="5"/>
  <c r="S234" i="5"/>
  <c r="T234" i="5"/>
  <c r="U234" i="5"/>
  <c r="V234" i="5"/>
  <c r="W234" i="5"/>
  <c r="X234" i="5"/>
  <c r="Y234" i="5"/>
  <c r="Z234" i="5"/>
  <c r="AA234" i="5"/>
  <c r="AC234" i="5"/>
  <c r="AD234" i="5"/>
  <c r="AE234" i="5"/>
  <c r="G235" i="5"/>
  <c r="H235" i="5"/>
  <c r="I235" i="5"/>
  <c r="J235" i="5"/>
  <c r="K235" i="5"/>
  <c r="L235" i="5"/>
  <c r="M235" i="5"/>
  <c r="N235" i="5"/>
  <c r="O235" i="5"/>
  <c r="P235" i="5"/>
  <c r="Q235" i="5"/>
  <c r="S235" i="5"/>
  <c r="T235" i="5"/>
  <c r="U235" i="5"/>
  <c r="V235" i="5"/>
  <c r="W235" i="5"/>
  <c r="X235" i="5"/>
  <c r="Y235" i="5"/>
  <c r="Z235" i="5"/>
  <c r="AA235" i="5"/>
  <c r="AC235" i="5"/>
  <c r="AD235" i="5"/>
  <c r="AE235" i="5"/>
  <c r="G236" i="5"/>
  <c r="H236" i="5"/>
  <c r="I236" i="5"/>
  <c r="J236" i="5"/>
  <c r="K236" i="5"/>
  <c r="L236" i="5"/>
  <c r="M236" i="5"/>
  <c r="N236" i="5"/>
  <c r="O236" i="5"/>
  <c r="P236" i="5"/>
  <c r="Q236" i="5"/>
  <c r="S236" i="5"/>
  <c r="T236" i="5"/>
  <c r="U236" i="5"/>
  <c r="V236" i="5"/>
  <c r="W236" i="5"/>
  <c r="X236" i="5"/>
  <c r="Y236" i="5"/>
  <c r="Z236" i="5"/>
  <c r="AA236" i="5"/>
  <c r="AC236" i="5"/>
  <c r="AD236" i="5"/>
  <c r="AE236" i="5"/>
  <c r="G237" i="5"/>
  <c r="H237" i="5"/>
  <c r="I237" i="5"/>
  <c r="J237" i="5"/>
  <c r="K237" i="5"/>
  <c r="L237" i="5"/>
  <c r="M237" i="5"/>
  <c r="N237" i="5"/>
  <c r="O237" i="5"/>
  <c r="P237" i="5"/>
  <c r="Q237" i="5"/>
  <c r="S237" i="5"/>
  <c r="T237" i="5"/>
  <c r="U237" i="5"/>
  <c r="V237" i="5"/>
  <c r="W237" i="5"/>
  <c r="X237" i="5"/>
  <c r="Y237" i="5"/>
  <c r="Z237" i="5"/>
  <c r="AA237" i="5"/>
  <c r="AC237" i="5"/>
  <c r="AD237" i="5"/>
  <c r="AE237" i="5"/>
  <c r="G238" i="5"/>
  <c r="H238" i="5"/>
  <c r="I238" i="5"/>
  <c r="J238" i="5"/>
  <c r="K238" i="5"/>
  <c r="L238" i="5"/>
  <c r="M238" i="5"/>
  <c r="N238" i="5"/>
  <c r="O238" i="5"/>
  <c r="P238" i="5"/>
  <c r="Q238" i="5"/>
  <c r="S238" i="5"/>
  <c r="T238" i="5"/>
  <c r="U238" i="5"/>
  <c r="V238" i="5"/>
  <c r="W238" i="5"/>
  <c r="X238" i="5"/>
  <c r="Y238" i="5"/>
  <c r="Z238" i="5"/>
  <c r="AA238" i="5"/>
  <c r="AC238" i="5"/>
  <c r="AD238" i="5"/>
  <c r="AE238" i="5"/>
  <c r="G239" i="5"/>
  <c r="H239" i="5"/>
  <c r="I239" i="5"/>
  <c r="J239" i="5"/>
  <c r="K239" i="5"/>
  <c r="L239" i="5"/>
  <c r="M239" i="5"/>
  <c r="N239" i="5"/>
  <c r="O239" i="5"/>
  <c r="P239" i="5"/>
  <c r="Q239" i="5"/>
  <c r="S239" i="5"/>
  <c r="T239" i="5"/>
  <c r="U239" i="5"/>
  <c r="V239" i="5"/>
  <c r="W239" i="5"/>
  <c r="X239" i="5"/>
  <c r="Y239" i="5"/>
  <c r="Z239" i="5"/>
  <c r="AA239" i="5"/>
  <c r="AC239" i="5"/>
  <c r="AD239" i="5"/>
  <c r="AE239" i="5"/>
  <c r="G240" i="5"/>
  <c r="H240" i="5"/>
  <c r="I240" i="5"/>
  <c r="J240" i="5"/>
  <c r="K240" i="5"/>
  <c r="L240" i="5"/>
  <c r="M240" i="5"/>
  <c r="N240" i="5"/>
  <c r="O240" i="5"/>
  <c r="P240" i="5"/>
  <c r="Q240" i="5"/>
  <c r="S240" i="5"/>
  <c r="T240" i="5"/>
  <c r="U240" i="5"/>
  <c r="V240" i="5"/>
  <c r="W240" i="5"/>
  <c r="X240" i="5"/>
  <c r="Y240" i="5"/>
  <c r="Z240" i="5"/>
  <c r="AA240" i="5"/>
  <c r="AC240" i="5"/>
  <c r="AD240" i="5"/>
  <c r="AE240" i="5"/>
  <c r="G241" i="5"/>
  <c r="H241" i="5"/>
  <c r="I241" i="5"/>
  <c r="J241" i="5"/>
  <c r="K241" i="5"/>
  <c r="L241" i="5"/>
  <c r="M241" i="5"/>
  <c r="N241" i="5"/>
  <c r="O241" i="5"/>
  <c r="P241" i="5"/>
  <c r="Q241" i="5"/>
  <c r="S241" i="5"/>
  <c r="T241" i="5"/>
  <c r="U241" i="5"/>
  <c r="V241" i="5"/>
  <c r="W241" i="5"/>
  <c r="X241" i="5"/>
  <c r="Y241" i="5"/>
  <c r="Z241" i="5"/>
  <c r="AA241" i="5"/>
  <c r="AC241" i="5"/>
  <c r="AD241" i="5"/>
  <c r="AE241" i="5"/>
  <c r="G242" i="5"/>
  <c r="H242" i="5"/>
  <c r="I242" i="5"/>
  <c r="J242" i="5"/>
  <c r="K242" i="5"/>
  <c r="L242" i="5"/>
  <c r="M242" i="5"/>
  <c r="N242" i="5"/>
  <c r="O242" i="5"/>
  <c r="P242" i="5"/>
  <c r="Q242" i="5"/>
  <c r="S242" i="5"/>
  <c r="T242" i="5"/>
  <c r="U242" i="5"/>
  <c r="V242" i="5"/>
  <c r="W242" i="5"/>
  <c r="X242" i="5"/>
  <c r="Y242" i="5"/>
  <c r="Z242" i="5"/>
  <c r="AA242" i="5"/>
  <c r="AC242" i="5"/>
  <c r="AD242" i="5"/>
  <c r="AE242" i="5"/>
  <c r="G243" i="5"/>
  <c r="H243" i="5"/>
  <c r="I243" i="5"/>
  <c r="J243" i="5"/>
  <c r="K243" i="5"/>
  <c r="L243" i="5"/>
  <c r="M243" i="5"/>
  <c r="N243" i="5"/>
  <c r="O243" i="5"/>
  <c r="P243" i="5"/>
  <c r="Q243" i="5"/>
  <c r="S243" i="5"/>
  <c r="T243" i="5"/>
  <c r="U243" i="5"/>
  <c r="V243" i="5"/>
  <c r="W243" i="5"/>
  <c r="X243" i="5"/>
  <c r="Y243" i="5"/>
  <c r="Z243" i="5"/>
  <c r="AA243" i="5"/>
  <c r="AC243" i="5"/>
  <c r="AD243" i="5"/>
  <c r="AE243" i="5"/>
  <c r="G244" i="5"/>
  <c r="H244" i="5"/>
  <c r="I244" i="5"/>
  <c r="J244" i="5"/>
  <c r="K244" i="5"/>
  <c r="L244" i="5"/>
  <c r="M244" i="5"/>
  <c r="N244" i="5"/>
  <c r="O244" i="5"/>
  <c r="P244" i="5"/>
  <c r="Q244" i="5"/>
  <c r="S244" i="5"/>
  <c r="T244" i="5"/>
  <c r="U244" i="5"/>
  <c r="V244" i="5"/>
  <c r="W244" i="5"/>
  <c r="X244" i="5"/>
  <c r="Y244" i="5"/>
  <c r="Z244" i="5"/>
  <c r="AA244" i="5"/>
  <c r="AC244" i="5"/>
  <c r="AD244" i="5"/>
  <c r="AE244" i="5"/>
  <c r="G245" i="5"/>
  <c r="H245" i="5"/>
  <c r="I245" i="5"/>
  <c r="J245" i="5"/>
  <c r="K245" i="5"/>
  <c r="L245" i="5"/>
  <c r="M245" i="5"/>
  <c r="N245" i="5"/>
  <c r="O245" i="5"/>
  <c r="P245" i="5"/>
  <c r="Q245" i="5"/>
  <c r="S245" i="5"/>
  <c r="T245" i="5"/>
  <c r="U245" i="5"/>
  <c r="V245" i="5"/>
  <c r="W245" i="5"/>
  <c r="X245" i="5"/>
  <c r="Y245" i="5"/>
  <c r="Z245" i="5"/>
  <c r="AA245" i="5"/>
  <c r="AC245" i="5"/>
  <c r="AD245" i="5"/>
  <c r="AE245" i="5"/>
  <c r="G246" i="5"/>
  <c r="H246" i="5"/>
  <c r="I246" i="5"/>
  <c r="J246" i="5"/>
  <c r="K246" i="5"/>
  <c r="L246" i="5"/>
  <c r="M246" i="5"/>
  <c r="N246" i="5"/>
  <c r="O246" i="5"/>
  <c r="P246" i="5"/>
  <c r="Q246" i="5"/>
  <c r="S246" i="5"/>
  <c r="T246" i="5"/>
  <c r="U246" i="5"/>
  <c r="V246" i="5"/>
  <c r="W246" i="5"/>
  <c r="X246" i="5"/>
  <c r="Y246" i="5"/>
  <c r="Z246" i="5"/>
  <c r="AA246" i="5"/>
  <c r="AC246" i="5"/>
  <c r="AD246" i="5"/>
  <c r="AE246" i="5"/>
  <c r="G247" i="5"/>
  <c r="H247" i="5"/>
  <c r="I247" i="5"/>
  <c r="J247" i="5"/>
  <c r="K247" i="5"/>
  <c r="L247" i="5"/>
  <c r="M247" i="5"/>
  <c r="N247" i="5"/>
  <c r="O247" i="5"/>
  <c r="P247" i="5"/>
  <c r="Q247" i="5"/>
  <c r="S247" i="5"/>
  <c r="T247" i="5"/>
  <c r="U247" i="5"/>
  <c r="V247" i="5"/>
  <c r="W247" i="5"/>
  <c r="X247" i="5"/>
  <c r="Y247" i="5"/>
  <c r="Z247" i="5"/>
  <c r="AA247" i="5"/>
  <c r="AC247" i="5"/>
  <c r="AD247" i="5"/>
  <c r="AE247" i="5"/>
  <c r="G248" i="5"/>
  <c r="H248" i="5"/>
  <c r="I248" i="5"/>
  <c r="J248" i="5"/>
  <c r="K248" i="5"/>
  <c r="L248" i="5"/>
  <c r="M248" i="5"/>
  <c r="N248" i="5"/>
  <c r="O248" i="5"/>
  <c r="P248" i="5"/>
  <c r="Q248" i="5"/>
  <c r="S248" i="5"/>
  <c r="T248" i="5"/>
  <c r="U248" i="5"/>
  <c r="V248" i="5"/>
  <c r="W248" i="5"/>
  <c r="X248" i="5"/>
  <c r="Y248" i="5"/>
  <c r="Z248" i="5"/>
  <c r="AA248" i="5"/>
  <c r="AC248" i="5"/>
  <c r="AD248" i="5"/>
  <c r="AE248" i="5"/>
  <c r="G249" i="5"/>
  <c r="H249" i="5"/>
  <c r="I249" i="5"/>
  <c r="J249" i="5"/>
  <c r="K249" i="5"/>
  <c r="L249" i="5"/>
  <c r="M249" i="5"/>
  <c r="N249" i="5"/>
  <c r="O249" i="5"/>
  <c r="P249" i="5"/>
  <c r="Q249" i="5"/>
  <c r="S249" i="5"/>
  <c r="T249" i="5"/>
  <c r="U249" i="5"/>
  <c r="V249" i="5"/>
  <c r="W249" i="5"/>
  <c r="X249" i="5"/>
  <c r="Y249" i="5"/>
  <c r="Z249" i="5"/>
  <c r="AA249" i="5"/>
  <c r="AC249" i="5"/>
  <c r="AD249" i="5"/>
  <c r="AE249" i="5"/>
  <c r="G250" i="5"/>
  <c r="H250" i="5"/>
  <c r="I250" i="5"/>
  <c r="J250" i="5"/>
  <c r="K250" i="5"/>
  <c r="L250" i="5"/>
  <c r="M250" i="5"/>
  <c r="N250" i="5"/>
  <c r="O250" i="5"/>
  <c r="P250" i="5"/>
  <c r="Q250" i="5"/>
  <c r="S250" i="5"/>
  <c r="T250" i="5"/>
  <c r="U250" i="5"/>
  <c r="V250" i="5"/>
  <c r="W250" i="5"/>
  <c r="X250" i="5"/>
  <c r="Y250" i="5"/>
  <c r="Z250" i="5"/>
  <c r="AA250" i="5"/>
  <c r="AC250" i="5"/>
  <c r="AD250" i="5"/>
  <c r="AE250" i="5"/>
  <c r="G251" i="5"/>
  <c r="H251" i="5"/>
  <c r="I251" i="5"/>
  <c r="J251" i="5"/>
  <c r="K251" i="5"/>
  <c r="L251" i="5"/>
  <c r="M251" i="5"/>
  <c r="N251" i="5"/>
  <c r="O251" i="5"/>
  <c r="P251" i="5"/>
  <c r="Q251" i="5"/>
  <c r="S251" i="5"/>
  <c r="T251" i="5"/>
  <c r="U251" i="5"/>
  <c r="V251" i="5"/>
  <c r="W251" i="5"/>
  <c r="X251" i="5"/>
  <c r="Y251" i="5"/>
  <c r="Z251" i="5"/>
  <c r="AA251" i="5"/>
  <c r="AC251" i="5"/>
  <c r="AD251" i="5"/>
  <c r="AE251" i="5"/>
  <c r="G252" i="5"/>
  <c r="H252" i="5"/>
  <c r="I252" i="5"/>
  <c r="J252" i="5"/>
  <c r="K252" i="5"/>
  <c r="L252" i="5"/>
  <c r="M252" i="5"/>
  <c r="N252" i="5"/>
  <c r="O252" i="5"/>
  <c r="P252" i="5"/>
  <c r="Q252" i="5"/>
  <c r="S252" i="5"/>
  <c r="T252" i="5"/>
  <c r="U252" i="5"/>
  <c r="V252" i="5"/>
  <c r="W252" i="5"/>
  <c r="X252" i="5"/>
  <c r="Y252" i="5"/>
  <c r="Z252" i="5"/>
  <c r="AA252" i="5"/>
  <c r="AC252" i="5"/>
  <c r="AD252" i="5"/>
  <c r="AE252" i="5"/>
  <c r="G253" i="5"/>
  <c r="H253" i="5"/>
  <c r="I253" i="5"/>
  <c r="J253" i="5"/>
  <c r="K253" i="5"/>
  <c r="L253" i="5"/>
  <c r="M253" i="5"/>
  <c r="N253" i="5"/>
  <c r="O253" i="5"/>
  <c r="P253" i="5"/>
  <c r="Q253" i="5"/>
  <c r="S253" i="5"/>
  <c r="T253" i="5"/>
  <c r="U253" i="5"/>
  <c r="V253" i="5"/>
  <c r="W253" i="5"/>
  <c r="X253" i="5"/>
  <c r="Y253" i="5"/>
  <c r="Z253" i="5"/>
  <c r="AA253" i="5"/>
  <c r="AC253" i="5"/>
  <c r="AD253" i="5"/>
  <c r="AE253" i="5"/>
  <c r="G254" i="5"/>
  <c r="H254" i="5"/>
  <c r="I254" i="5"/>
  <c r="J254" i="5"/>
  <c r="K254" i="5"/>
  <c r="L254" i="5"/>
  <c r="M254" i="5"/>
  <c r="N254" i="5"/>
  <c r="O254" i="5"/>
  <c r="P254" i="5"/>
  <c r="Q254" i="5"/>
  <c r="S254" i="5"/>
  <c r="T254" i="5"/>
  <c r="U254" i="5"/>
  <c r="V254" i="5"/>
  <c r="W254" i="5"/>
  <c r="X254" i="5"/>
  <c r="Y254" i="5"/>
  <c r="Z254" i="5"/>
  <c r="AA254" i="5"/>
  <c r="AC254" i="5"/>
  <c r="AD254" i="5"/>
  <c r="AE254" i="5"/>
  <c r="G255" i="5"/>
  <c r="H255" i="5"/>
  <c r="I255" i="5"/>
  <c r="J255" i="5"/>
  <c r="K255" i="5"/>
  <c r="L255" i="5"/>
  <c r="M255" i="5"/>
  <c r="N255" i="5"/>
  <c r="O255" i="5"/>
  <c r="P255" i="5"/>
  <c r="Q255" i="5"/>
  <c r="S255" i="5"/>
  <c r="T255" i="5"/>
  <c r="U255" i="5"/>
  <c r="V255" i="5"/>
  <c r="W255" i="5"/>
  <c r="X255" i="5"/>
  <c r="Y255" i="5"/>
  <c r="Z255" i="5"/>
  <c r="AA255" i="5"/>
  <c r="AC255" i="5"/>
  <c r="AD255" i="5"/>
  <c r="AE255" i="5"/>
  <c r="G256" i="5"/>
  <c r="H256" i="5"/>
  <c r="I256" i="5"/>
  <c r="J256" i="5"/>
  <c r="K256" i="5"/>
  <c r="L256" i="5"/>
  <c r="M256" i="5"/>
  <c r="N256" i="5"/>
  <c r="O256" i="5"/>
  <c r="P256" i="5"/>
  <c r="Q256" i="5"/>
  <c r="S256" i="5"/>
  <c r="T256" i="5"/>
  <c r="U256" i="5"/>
  <c r="V256" i="5"/>
  <c r="W256" i="5"/>
  <c r="X256" i="5"/>
  <c r="Y256" i="5"/>
  <c r="Z256" i="5"/>
  <c r="AA256" i="5"/>
  <c r="AC256" i="5"/>
  <c r="AD256" i="5"/>
  <c r="AE256" i="5"/>
  <c r="G257" i="5"/>
  <c r="H257" i="5"/>
  <c r="I257" i="5"/>
  <c r="J257" i="5"/>
  <c r="K257" i="5"/>
  <c r="L257" i="5"/>
  <c r="M257" i="5"/>
  <c r="N257" i="5"/>
  <c r="O257" i="5"/>
  <c r="P257" i="5"/>
  <c r="Q257" i="5"/>
  <c r="S257" i="5"/>
  <c r="T257" i="5"/>
  <c r="U257" i="5"/>
  <c r="V257" i="5"/>
  <c r="W257" i="5"/>
  <c r="X257" i="5"/>
  <c r="Y257" i="5"/>
  <c r="Z257" i="5"/>
  <c r="AA257" i="5"/>
  <c r="AC257" i="5"/>
  <c r="AD257" i="5"/>
  <c r="AE257" i="5"/>
  <c r="G258" i="5"/>
  <c r="H258" i="5"/>
  <c r="I258" i="5"/>
  <c r="J258" i="5"/>
  <c r="K258" i="5"/>
  <c r="L258" i="5"/>
  <c r="M258" i="5"/>
  <c r="N258" i="5"/>
  <c r="O258" i="5"/>
  <c r="P258" i="5"/>
  <c r="Q258" i="5"/>
  <c r="S258" i="5"/>
  <c r="T258" i="5"/>
  <c r="U258" i="5"/>
  <c r="V258" i="5"/>
  <c r="W258" i="5"/>
  <c r="X258" i="5"/>
  <c r="Y258" i="5"/>
  <c r="Z258" i="5"/>
  <c r="AA258" i="5"/>
  <c r="AC258" i="5"/>
  <c r="AD258" i="5"/>
  <c r="AE258" i="5"/>
  <c r="G259" i="5"/>
  <c r="H259" i="5"/>
  <c r="I259" i="5"/>
  <c r="J259" i="5"/>
  <c r="K259" i="5"/>
  <c r="L259" i="5"/>
  <c r="M259" i="5"/>
  <c r="N259" i="5"/>
  <c r="O259" i="5"/>
  <c r="P259" i="5"/>
  <c r="Q259" i="5"/>
  <c r="S259" i="5"/>
  <c r="T259" i="5"/>
  <c r="U259" i="5"/>
  <c r="V259" i="5"/>
  <c r="W259" i="5"/>
  <c r="X259" i="5"/>
  <c r="Y259" i="5"/>
  <c r="Z259" i="5"/>
  <c r="AA259" i="5"/>
  <c r="AC259" i="5"/>
  <c r="AD259" i="5"/>
  <c r="AE259" i="5"/>
  <c r="G260" i="5"/>
  <c r="H260" i="5"/>
  <c r="I260" i="5"/>
  <c r="J260" i="5"/>
  <c r="K260" i="5"/>
  <c r="L260" i="5"/>
  <c r="M260" i="5"/>
  <c r="N260" i="5"/>
  <c r="O260" i="5"/>
  <c r="P260" i="5"/>
  <c r="Q260" i="5"/>
  <c r="S260" i="5"/>
  <c r="T260" i="5"/>
  <c r="U260" i="5"/>
  <c r="V260" i="5"/>
  <c r="W260" i="5"/>
  <c r="X260" i="5"/>
  <c r="Y260" i="5"/>
  <c r="Z260" i="5"/>
  <c r="AA260" i="5"/>
  <c r="AC260" i="5"/>
  <c r="AD260" i="5"/>
  <c r="AE260" i="5"/>
  <c r="G261" i="5"/>
  <c r="H261" i="5"/>
  <c r="I261" i="5"/>
  <c r="J261" i="5"/>
  <c r="K261" i="5"/>
  <c r="L261" i="5"/>
  <c r="M261" i="5"/>
  <c r="N261" i="5"/>
  <c r="O261" i="5"/>
  <c r="P261" i="5"/>
  <c r="Q261" i="5"/>
  <c r="S261" i="5"/>
  <c r="T261" i="5"/>
  <c r="U261" i="5"/>
  <c r="V261" i="5"/>
  <c r="W261" i="5"/>
  <c r="X261" i="5"/>
  <c r="Y261" i="5"/>
  <c r="Z261" i="5"/>
  <c r="AA261" i="5"/>
  <c r="AC261" i="5"/>
  <c r="AD261" i="5"/>
  <c r="AE261" i="5"/>
  <c r="G262" i="5"/>
  <c r="H262" i="5"/>
  <c r="I262" i="5"/>
  <c r="J262" i="5"/>
  <c r="K262" i="5"/>
  <c r="L262" i="5"/>
  <c r="M262" i="5"/>
  <c r="N262" i="5"/>
  <c r="O262" i="5"/>
  <c r="P262" i="5"/>
  <c r="Q262" i="5"/>
  <c r="S262" i="5"/>
  <c r="T262" i="5"/>
  <c r="U262" i="5"/>
  <c r="V262" i="5"/>
  <c r="W262" i="5"/>
  <c r="X262" i="5"/>
  <c r="Y262" i="5"/>
  <c r="Z262" i="5"/>
  <c r="AA262" i="5"/>
  <c r="AC262" i="5"/>
  <c r="AD262" i="5"/>
  <c r="AE262" i="5"/>
  <c r="G263" i="5"/>
  <c r="H263" i="5"/>
  <c r="I263" i="5"/>
  <c r="J263" i="5"/>
  <c r="K263" i="5"/>
  <c r="L263" i="5"/>
  <c r="M263" i="5"/>
  <c r="N263" i="5"/>
  <c r="O263" i="5"/>
  <c r="P263" i="5"/>
  <c r="Q263" i="5"/>
  <c r="S263" i="5"/>
  <c r="T263" i="5"/>
  <c r="U263" i="5"/>
  <c r="V263" i="5"/>
  <c r="W263" i="5"/>
  <c r="X263" i="5"/>
  <c r="Y263" i="5"/>
  <c r="Z263" i="5"/>
  <c r="AA263" i="5"/>
  <c r="AC263" i="5"/>
  <c r="AD263" i="5"/>
  <c r="AE263" i="5"/>
  <c r="G264" i="5"/>
  <c r="H264" i="5"/>
  <c r="I264" i="5"/>
  <c r="J264" i="5"/>
  <c r="K264" i="5"/>
  <c r="L264" i="5"/>
  <c r="M264" i="5"/>
  <c r="N264" i="5"/>
  <c r="O264" i="5"/>
  <c r="P264" i="5"/>
  <c r="Q264" i="5"/>
  <c r="S264" i="5"/>
  <c r="T264" i="5"/>
  <c r="U264" i="5"/>
  <c r="V264" i="5"/>
  <c r="W264" i="5"/>
  <c r="X264" i="5"/>
  <c r="Y264" i="5"/>
  <c r="Z264" i="5"/>
  <c r="AA264" i="5"/>
  <c r="AC264" i="5"/>
  <c r="AD264" i="5"/>
  <c r="AE264" i="5"/>
  <c r="G265" i="5"/>
  <c r="H265" i="5"/>
  <c r="I265" i="5"/>
  <c r="J265" i="5"/>
  <c r="K265" i="5"/>
  <c r="L265" i="5"/>
  <c r="M265" i="5"/>
  <c r="N265" i="5"/>
  <c r="O265" i="5"/>
  <c r="P265" i="5"/>
  <c r="Q265" i="5"/>
  <c r="S265" i="5"/>
  <c r="T265" i="5"/>
  <c r="U265" i="5"/>
  <c r="V265" i="5"/>
  <c r="W265" i="5"/>
  <c r="X265" i="5"/>
  <c r="Y265" i="5"/>
  <c r="Z265" i="5"/>
  <c r="AA265" i="5"/>
  <c r="AC265" i="5"/>
  <c r="AD265" i="5"/>
  <c r="AE265" i="5"/>
  <c r="G266" i="5"/>
  <c r="H266" i="5"/>
  <c r="I266" i="5"/>
  <c r="J266" i="5"/>
  <c r="K266" i="5"/>
  <c r="L266" i="5"/>
  <c r="M266" i="5"/>
  <c r="N266" i="5"/>
  <c r="O266" i="5"/>
  <c r="P266" i="5"/>
  <c r="Q266" i="5"/>
  <c r="S266" i="5"/>
  <c r="T266" i="5"/>
  <c r="U266" i="5"/>
  <c r="V266" i="5"/>
  <c r="W266" i="5"/>
  <c r="X266" i="5"/>
  <c r="Y266" i="5"/>
  <c r="Z266" i="5"/>
  <c r="AA266" i="5"/>
  <c r="AC266" i="5"/>
  <c r="AD266" i="5"/>
  <c r="AE266" i="5"/>
  <c r="G267" i="5"/>
  <c r="H267" i="5"/>
  <c r="I267" i="5"/>
  <c r="J267" i="5"/>
  <c r="K267" i="5"/>
  <c r="L267" i="5"/>
  <c r="M267" i="5"/>
  <c r="N267" i="5"/>
  <c r="O267" i="5"/>
  <c r="P267" i="5"/>
  <c r="Q267" i="5"/>
  <c r="S267" i="5"/>
  <c r="T267" i="5"/>
  <c r="U267" i="5"/>
  <c r="V267" i="5"/>
  <c r="W267" i="5"/>
  <c r="X267" i="5"/>
  <c r="Y267" i="5"/>
  <c r="Z267" i="5"/>
  <c r="AA267" i="5"/>
  <c r="AC267" i="5"/>
  <c r="AD267" i="5"/>
  <c r="AE267" i="5"/>
  <c r="G268" i="5"/>
  <c r="H268" i="5"/>
  <c r="I268" i="5"/>
  <c r="J268" i="5"/>
  <c r="K268" i="5"/>
  <c r="L268" i="5"/>
  <c r="M268" i="5"/>
  <c r="N268" i="5"/>
  <c r="O268" i="5"/>
  <c r="P268" i="5"/>
  <c r="Q268" i="5"/>
  <c r="S268" i="5"/>
  <c r="T268" i="5"/>
  <c r="U268" i="5"/>
  <c r="V268" i="5"/>
  <c r="W268" i="5"/>
  <c r="X268" i="5"/>
  <c r="Y268" i="5"/>
  <c r="Z268" i="5"/>
  <c r="AA268" i="5"/>
  <c r="AC268" i="5"/>
  <c r="AD268" i="5"/>
  <c r="AE268" i="5"/>
  <c r="G269" i="5"/>
  <c r="H269" i="5"/>
  <c r="I269" i="5"/>
  <c r="J269" i="5"/>
  <c r="K269" i="5"/>
  <c r="L269" i="5"/>
  <c r="M269" i="5"/>
  <c r="N269" i="5"/>
  <c r="O269" i="5"/>
  <c r="P269" i="5"/>
  <c r="Q269" i="5"/>
  <c r="S269" i="5"/>
  <c r="T269" i="5"/>
  <c r="U269" i="5"/>
  <c r="V269" i="5"/>
  <c r="W269" i="5"/>
  <c r="X269" i="5"/>
  <c r="Y269" i="5"/>
  <c r="Z269" i="5"/>
  <c r="AA269" i="5"/>
  <c r="AC269" i="5"/>
  <c r="AD269" i="5"/>
  <c r="AE269" i="5"/>
  <c r="G270" i="5"/>
  <c r="H270" i="5"/>
  <c r="I270" i="5"/>
  <c r="J270" i="5"/>
  <c r="K270" i="5"/>
  <c r="L270" i="5"/>
  <c r="M270" i="5"/>
  <c r="N270" i="5"/>
  <c r="O270" i="5"/>
  <c r="P270" i="5"/>
  <c r="Q270" i="5"/>
  <c r="S270" i="5"/>
  <c r="T270" i="5"/>
  <c r="U270" i="5"/>
  <c r="V270" i="5"/>
  <c r="W270" i="5"/>
  <c r="X270" i="5"/>
  <c r="Y270" i="5"/>
  <c r="Z270" i="5"/>
  <c r="AA270" i="5"/>
  <c r="AC270" i="5"/>
  <c r="AD270" i="5"/>
  <c r="AE270" i="5"/>
  <c r="G271" i="5"/>
  <c r="H271" i="5"/>
  <c r="I271" i="5"/>
  <c r="J271" i="5"/>
  <c r="K271" i="5"/>
  <c r="L271" i="5"/>
  <c r="M271" i="5"/>
  <c r="N271" i="5"/>
  <c r="O271" i="5"/>
  <c r="P271" i="5"/>
  <c r="Q271" i="5"/>
  <c r="S271" i="5"/>
  <c r="T271" i="5"/>
  <c r="U271" i="5"/>
  <c r="V271" i="5"/>
  <c r="W271" i="5"/>
  <c r="X271" i="5"/>
  <c r="Y271" i="5"/>
  <c r="Z271" i="5"/>
  <c r="AA271" i="5"/>
  <c r="AC271" i="5"/>
  <c r="AD271" i="5"/>
  <c r="AE271" i="5"/>
  <c r="G272" i="5"/>
  <c r="H272" i="5"/>
  <c r="I272" i="5"/>
  <c r="J272" i="5"/>
  <c r="K272" i="5"/>
  <c r="L272" i="5"/>
  <c r="M272" i="5"/>
  <c r="N272" i="5"/>
  <c r="O272" i="5"/>
  <c r="P272" i="5"/>
  <c r="Q272" i="5"/>
  <c r="S272" i="5"/>
  <c r="T272" i="5"/>
  <c r="U272" i="5"/>
  <c r="V272" i="5"/>
  <c r="W272" i="5"/>
  <c r="X272" i="5"/>
  <c r="Y272" i="5"/>
  <c r="Z272" i="5"/>
  <c r="AA272" i="5"/>
  <c r="AC272" i="5"/>
  <c r="AD272" i="5"/>
  <c r="AE272" i="5"/>
  <c r="G273" i="5"/>
  <c r="H273" i="5"/>
  <c r="I273" i="5"/>
  <c r="J273" i="5"/>
  <c r="K273" i="5"/>
  <c r="L273" i="5"/>
  <c r="M273" i="5"/>
  <c r="N273" i="5"/>
  <c r="O273" i="5"/>
  <c r="P273" i="5"/>
  <c r="Q273" i="5"/>
  <c r="S273" i="5"/>
  <c r="T273" i="5"/>
  <c r="U273" i="5"/>
  <c r="V273" i="5"/>
  <c r="W273" i="5"/>
  <c r="X273" i="5"/>
  <c r="Y273" i="5"/>
  <c r="Z273" i="5"/>
  <c r="AA273" i="5"/>
  <c r="AC273" i="5"/>
  <c r="AD273" i="5"/>
  <c r="AE273" i="5"/>
  <c r="G274" i="5"/>
  <c r="H274" i="5"/>
  <c r="I274" i="5"/>
  <c r="J274" i="5"/>
  <c r="K274" i="5"/>
  <c r="L274" i="5"/>
  <c r="M274" i="5"/>
  <c r="N274" i="5"/>
  <c r="O274" i="5"/>
  <c r="P274" i="5"/>
  <c r="Q274" i="5"/>
  <c r="S274" i="5"/>
  <c r="T274" i="5"/>
  <c r="U274" i="5"/>
  <c r="V274" i="5"/>
  <c r="W274" i="5"/>
  <c r="X274" i="5"/>
  <c r="Y274" i="5"/>
  <c r="Z274" i="5"/>
  <c r="AA274" i="5"/>
  <c r="AC274" i="5"/>
  <c r="AD274" i="5"/>
  <c r="AE274" i="5"/>
  <c r="G275" i="5"/>
  <c r="H275" i="5"/>
  <c r="I275" i="5"/>
  <c r="J275" i="5"/>
  <c r="K275" i="5"/>
  <c r="L275" i="5"/>
  <c r="M275" i="5"/>
  <c r="N275" i="5"/>
  <c r="O275" i="5"/>
  <c r="P275" i="5"/>
  <c r="Q275" i="5"/>
  <c r="S275" i="5"/>
  <c r="T275" i="5"/>
  <c r="U275" i="5"/>
  <c r="V275" i="5"/>
  <c r="W275" i="5"/>
  <c r="X275" i="5"/>
  <c r="Y275" i="5"/>
  <c r="Z275" i="5"/>
  <c r="AA275" i="5"/>
  <c r="AC275" i="5"/>
  <c r="AD275" i="5"/>
  <c r="AE275" i="5"/>
  <c r="G276" i="5"/>
  <c r="H276" i="5"/>
  <c r="I276" i="5"/>
  <c r="J276" i="5"/>
  <c r="K276" i="5"/>
  <c r="L276" i="5"/>
  <c r="M276" i="5"/>
  <c r="N276" i="5"/>
  <c r="O276" i="5"/>
  <c r="P276" i="5"/>
  <c r="Q276" i="5"/>
  <c r="S276" i="5"/>
  <c r="T276" i="5"/>
  <c r="U276" i="5"/>
  <c r="V276" i="5"/>
  <c r="W276" i="5"/>
  <c r="X276" i="5"/>
  <c r="Y276" i="5"/>
  <c r="Z276" i="5"/>
  <c r="AA276" i="5"/>
  <c r="AC276" i="5"/>
  <c r="AD276" i="5"/>
  <c r="AE276" i="5"/>
  <c r="G277" i="5"/>
  <c r="H277" i="5"/>
  <c r="I277" i="5"/>
  <c r="J277" i="5"/>
  <c r="K277" i="5"/>
  <c r="L277" i="5"/>
  <c r="M277" i="5"/>
  <c r="N277" i="5"/>
  <c r="O277" i="5"/>
  <c r="P277" i="5"/>
  <c r="Q277" i="5"/>
  <c r="S277" i="5"/>
  <c r="T277" i="5"/>
  <c r="U277" i="5"/>
  <c r="V277" i="5"/>
  <c r="W277" i="5"/>
  <c r="X277" i="5"/>
  <c r="Y277" i="5"/>
  <c r="Z277" i="5"/>
  <c r="AA277" i="5"/>
  <c r="AC277" i="5"/>
  <c r="AD277" i="5"/>
  <c r="AE277" i="5"/>
  <c r="G278" i="5"/>
  <c r="H278" i="5"/>
  <c r="I278" i="5"/>
  <c r="J278" i="5"/>
  <c r="K278" i="5"/>
  <c r="L278" i="5"/>
  <c r="M278" i="5"/>
  <c r="N278" i="5"/>
  <c r="O278" i="5"/>
  <c r="P278" i="5"/>
  <c r="Q278" i="5"/>
  <c r="S278" i="5"/>
  <c r="T278" i="5"/>
  <c r="U278" i="5"/>
  <c r="V278" i="5"/>
  <c r="W278" i="5"/>
  <c r="X278" i="5"/>
  <c r="Y278" i="5"/>
  <c r="Z278" i="5"/>
  <c r="AA278" i="5"/>
  <c r="AC278" i="5"/>
  <c r="AD278" i="5"/>
  <c r="AE278" i="5"/>
  <c r="G279" i="5"/>
  <c r="H279" i="5"/>
  <c r="I279" i="5"/>
  <c r="J279" i="5"/>
  <c r="K279" i="5"/>
  <c r="L279" i="5"/>
  <c r="M279" i="5"/>
  <c r="N279" i="5"/>
  <c r="O279" i="5"/>
  <c r="P279" i="5"/>
  <c r="Q279" i="5"/>
  <c r="S279" i="5"/>
  <c r="T279" i="5"/>
  <c r="U279" i="5"/>
  <c r="V279" i="5"/>
  <c r="W279" i="5"/>
  <c r="X279" i="5"/>
  <c r="Y279" i="5"/>
  <c r="Z279" i="5"/>
  <c r="AA279" i="5"/>
  <c r="AC279" i="5"/>
  <c r="AD279" i="5"/>
  <c r="AE279" i="5"/>
  <c r="G280" i="5"/>
  <c r="H280" i="5"/>
  <c r="I280" i="5"/>
  <c r="J280" i="5"/>
  <c r="K280" i="5"/>
  <c r="L280" i="5"/>
  <c r="M280" i="5"/>
  <c r="N280" i="5"/>
  <c r="O280" i="5"/>
  <c r="P280" i="5"/>
  <c r="Q280" i="5"/>
  <c r="S280" i="5"/>
  <c r="T280" i="5"/>
  <c r="U280" i="5"/>
  <c r="V280" i="5"/>
  <c r="W280" i="5"/>
  <c r="X280" i="5"/>
  <c r="Y280" i="5"/>
  <c r="Z280" i="5"/>
  <c r="AA280" i="5"/>
  <c r="AC280" i="5"/>
  <c r="AD280" i="5"/>
  <c r="AE280" i="5"/>
  <c r="G281" i="5"/>
  <c r="H281" i="5"/>
  <c r="I281" i="5"/>
  <c r="J281" i="5"/>
  <c r="K281" i="5"/>
  <c r="L281" i="5"/>
  <c r="M281" i="5"/>
  <c r="N281" i="5"/>
  <c r="O281" i="5"/>
  <c r="P281" i="5"/>
  <c r="Q281" i="5"/>
  <c r="S281" i="5"/>
  <c r="T281" i="5"/>
  <c r="U281" i="5"/>
  <c r="V281" i="5"/>
  <c r="W281" i="5"/>
  <c r="X281" i="5"/>
  <c r="Y281" i="5"/>
  <c r="Z281" i="5"/>
  <c r="AA281" i="5"/>
  <c r="AC281" i="5"/>
  <c r="AD281" i="5"/>
  <c r="AE281" i="5"/>
  <c r="G282" i="5"/>
  <c r="H282" i="5"/>
  <c r="I282" i="5"/>
  <c r="J282" i="5"/>
  <c r="K282" i="5"/>
  <c r="L282" i="5"/>
  <c r="M282" i="5"/>
  <c r="N282" i="5"/>
  <c r="O282" i="5"/>
  <c r="P282" i="5"/>
  <c r="Q282" i="5"/>
  <c r="S282" i="5"/>
  <c r="T282" i="5"/>
  <c r="U282" i="5"/>
  <c r="V282" i="5"/>
  <c r="W282" i="5"/>
  <c r="X282" i="5"/>
  <c r="Y282" i="5"/>
  <c r="Z282" i="5"/>
  <c r="AA282" i="5"/>
  <c r="AC282" i="5"/>
  <c r="AD282" i="5"/>
  <c r="AE282" i="5"/>
  <c r="G283" i="5"/>
  <c r="H283" i="5"/>
  <c r="I283" i="5"/>
  <c r="J283" i="5"/>
  <c r="K283" i="5"/>
  <c r="L283" i="5"/>
  <c r="M283" i="5"/>
  <c r="N283" i="5"/>
  <c r="O283" i="5"/>
  <c r="P283" i="5"/>
  <c r="Q283" i="5"/>
  <c r="S283" i="5"/>
  <c r="T283" i="5"/>
  <c r="U283" i="5"/>
  <c r="V283" i="5"/>
  <c r="W283" i="5"/>
  <c r="X283" i="5"/>
  <c r="Y283" i="5"/>
  <c r="Z283" i="5"/>
  <c r="AA283" i="5"/>
  <c r="AC283" i="5"/>
  <c r="AD283" i="5"/>
  <c r="AE283" i="5"/>
  <c r="G284" i="5"/>
  <c r="H284" i="5"/>
  <c r="I284" i="5"/>
  <c r="J284" i="5"/>
  <c r="K284" i="5"/>
  <c r="L284" i="5"/>
  <c r="M284" i="5"/>
  <c r="N284" i="5"/>
  <c r="O284" i="5"/>
  <c r="P284" i="5"/>
  <c r="Q284" i="5"/>
  <c r="S284" i="5"/>
  <c r="T284" i="5"/>
  <c r="U284" i="5"/>
  <c r="V284" i="5"/>
  <c r="W284" i="5"/>
  <c r="X284" i="5"/>
  <c r="Y284" i="5"/>
  <c r="Z284" i="5"/>
  <c r="AA284" i="5"/>
  <c r="AC284" i="5"/>
  <c r="AD284" i="5"/>
  <c r="AE284" i="5"/>
  <c r="G285" i="5"/>
  <c r="H285" i="5"/>
  <c r="I285" i="5"/>
  <c r="J285" i="5"/>
  <c r="K285" i="5"/>
  <c r="L285" i="5"/>
  <c r="M285" i="5"/>
  <c r="N285" i="5"/>
  <c r="O285" i="5"/>
  <c r="P285" i="5"/>
  <c r="Q285" i="5"/>
  <c r="S285" i="5"/>
  <c r="T285" i="5"/>
  <c r="U285" i="5"/>
  <c r="V285" i="5"/>
  <c r="W285" i="5"/>
  <c r="X285" i="5"/>
  <c r="Y285" i="5"/>
  <c r="Z285" i="5"/>
  <c r="AA285" i="5"/>
  <c r="AC285" i="5"/>
  <c r="AD285" i="5"/>
  <c r="AE285" i="5"/>
  <c r="G286" i="5"/>
  <c r="H286" i="5"/>
  <c r="I286" i="5"/>
  <c r="J286" i="5"/>
  <c r="K286" i="5"/>
  <c r="L286" i="5"/>
  <c r="M286" i="5"/>
  <c r="N286" i="5"/>
  <c r="O286" i="5"/>
  <c r="P286" i="5"/>
  <c r="Q286" i="5"/>
  <c r="S286" i="5"/>
  <c r="T286" i="5"/>
  <c r="U286" i="5"/>
  <c r="V286" i="5"/>
  <c r="W286" i="5"/>
  <c r="X286" i="5"/>
  <c r="Y286" i="5"/>
  <c r="Z286" i="5"/>
  <c r="AA286" i="5"/>
  <c r="AC286" i="5"/>
  <c r="AD286" i="5"/>
  <c r="AE286" i="5"/>
  <c r="G287" i="5"/>
  <c r="H287" i="5"/>
  <c r="I287" i="5"/>
  <c r="J287" i="5"/>
  <c r="K287" i="5"/>
  <c r="L287" i="5"/>
  <c r="M287" i="5"/>
  <c r="N287" i="5"/>
  <c r="O287" i="5"/>
  <c r="P287" i="5"/>
  <c r="Q287" i="5"/>
  <c r="S287" i="5"/>
  <c r="T287" i="5"/>
  <c r="U287" i="5"/>
  <c r="V287" i="5"/>
  <c r="W287" i="5"/>
  <c r="X287" i="5"/>
  <c r="Y287" i="5"/>
  <c r="Z287" i="5"/>
  <c r="AA287" i="5"/>
  <c r="AC287" i="5"/>
  <c r="AD287" i="5"/>
  <c r="AE287" i="5"/>
  <c r="G288" i="5"/>
  <c r="H288" i="5"/>
  <c r="I288" i="5"/>
  <c r="J288" i="5"/>
  <c r="K288" i="5"/>
  <c r="L288" i="5"/>
  <c r="M288" i="5"/>
  <c r="N288" i="5"/>
  <c r="O288" i="5"/>
  <c r="P288" i="5"/>
  <c r="Q288" i="5"/>
  <c r="S288" i="5"/>
  <c r="T288" i="5"/>
  <c r="U288" i="5"/>
  <c r="V288" i="5"/>
  <c r="W288" i="5"/>
  <c r="X288" i="5"/>
  <c r="Y288" i="5"/>
  <c r="Z288" i="5"/>
  <c r="AA288" i="5"/>
  <c r="AC288" i="5"/>
  <c r="AD288" i="5"/>
  <c r="AE288" i="5"/>
  <c r="G289" i="5"/>
  <c r="H289" i="5"/>
  <c r="I289" i="5"/>
  <c r="J289" i="5"/>
  <c r="K289" i="5"/>
  <c r="L289" i="5"/>
  <c r="M289" i="5"/>
  <c r="N289" i="5"/>
  <c r="O289" i="5"/>
  <c r="P289" i="5"/>
  <c r="Q289" i="5"/>
  <c r="S289" i="5"/>
  <c r="T289" i="5"/>
  <c r="U289" i="5"/>
  <c r="V289" i="5"/>
  <c r="W289" i="5"/>
  <c r="X289" i="5"/>
  <c r="Y289" i="5"/>
  <c r="Z289" i="5"/>
  <c r="AA289" i="5"/>
  <c r="AC289" i="5"/>
  <c r="AD289" i="5"/>
  <c r="AE289" i="5"/>
  <c r="G290" i="5"/>
  <c r="H290" i="5"/>
  <c r="I290" i="5"/>
  <c r="J290" i="5"/>
  <c r="K290" i="5"/>
  <c r="L290" i="5"/>
  <c r="M290" i="5"/>
  <c r="N290" i="5"/>
  <c r="O290" i="5"/>
  <c r="P290" i="5"/>
  <c r="Q290" i="5"/>
  <c r="S290" i="5"/>
  <c r="T290" i="5"/>
  <c r="U290" i="5"/>
  <c r="V290" i="5"/>
  <c r="W290" i="5"/>
  <c r="X290" i="5"/>
  <c r="Y290" i="5"/>
  <c r="Z290" i="5"/>
  <c r="AA290" i="5"/>
  <c r="AC290" i="5"/>
  <c r="AD290" i="5"/>
  <c r="AE290" i="5"/>
  <c r="G291" i="5"/>
  <c r="H291" i="5"/>
  <c r="I291" i="5"/>
  <c r="J291" i="5"/>
  <c r="K291" i="5"/>
  <c r="L291" i="5"/>
  <c r="M291" i="5"/>
  <c r="N291" i="5"/>
  <c r="O291" i="5"/>
  <c r="P291" i="5"/>
  <c r="Q291" i="5"/>
  <c r="S291" i="5"/>
  <c r="T291" i="5"/>
  <c r="U291" i="5"/>
  <c r="V291" i="5"/>
  <c r="W291" i="5"/>
  <c r="X291" i="5"/>
  <c r="Y291" i="5"/>
  <c r="Z291" i="5"/>
  <c r="AA291" i="5"/>
  <c r="AC291" i="5"/>
  <c r="AD291" i="5"/>
  <c r="AE291" i="5"/>
  <c r="G292" i="5"/>
  <c r="H292" i="5"/>
  <c r="I292" i="5"/>
  <c r="J292" i="5"/>
  <c r="K292" i="5"/>
  <c r="L292" i="5"/>
  <c r="M292" i="5"/>
  <c r="N292" i="5"/>
  <c r="O292" i="5"/>
  <c r="P292" i="5"/>
  <c r="Q292" i="5"/>
  <c r="S292" i="5"/>
  <c r="T292" i="5"/>
  <c r="U292" i="5"/>
  <c r="V292" i="5"/>
  <c r="W292" i="5"/>
  <c r="X292" i="5"/>
  <c r="Y292" i="5"/>
  <c r="Z292" i="5"/>
  <c r="AA292" i="5"/>
  <c r="AC292" i="5"/>
  <c r="AD292" i="5"/>
  <c r="AE292" i="5"/>
  <c r="G293" i="5"/>
  <c r="H293" i="5"/>
  <c r="I293" i="5"/>
  <c r="J293" i="5"/>
  <c r="K293" i="5"/>
  <c r="L293" i="5"/>
  <c r="M293" i="5"/>
  <c r="N293" i="5"/>
  <c r="O293" i="5"/>
  <c r="P293" i="5"/>
  <c r="Q293" i="5"/>
  <c r="S293" i="5"/>
  <c r="T293" i="5"/>
  <c r="U293" i="5"/>
  <c r="V293" i="5"/>
  <c r="W293" i="5"/>
  <c r="X293" i="5"/>
  <c r="Y293" i="5"/>
  <c r="Z293" i="5"/>
  <c r="AA293" i="5"/>
  <c r="AC293" i="5"/>
  <c r="AD293" i="5"/>
  <c r="AE293" i="5"/>
  <c r="G294" i="5"/>
  <c r="H294" i="5"/>
  <c r="I294" i="5"/>
  <c r="J294" i="5"/>
  <c r="K294" i="5"/>
  <c r="L294" i="5"/>
  <c r="M294" i="5"/>
  <c r="N294" i="5"/>
  <c r="O294" i="5"/>
  <c r="P294" i="5"/>
  <c r="Q294" i="5"/>
  <c r="S294" i="5"/>
  <c r="T294" i="5"/>
  <c r="U294" i="5"/>
  <c r="V294" i="5"/>
  <c r="W294" i="5"/>
  <c r="X294" i="5"/>
  <c r="Y294" i="5"/>
  <c r="Z294" i="5"/>
  <c r="AA294" i="5"/>
  <c r="AC294" i="5"/>
  <c r="AD294" i="5"/>
  <c r="AE294" i="5"/>
  <c r="H295" i="5"/>
  <c r="I295" i="5"/>
  <c r="J295" i="5"/>
  <c r="K295" i="5"/>
  <c r="L295" i="5"/>
  <c r="M295" i="5"/>
  <c r="N295" i="5"/>
  <c r="O295" i="5"/>
  <c r="P295" i="5"/>
  <c r="Q295" i="5"/>
  <c r="S295" i="5"/>
  <c r="T295" i="5"/>
  <c r="U295" i="5"/>
  <c r="V295" i="5"/>
  <c r="W295" i="5"/>
  <c r="X295" i="5"/>
  <c r="Y295" i="5"/>
  <c r="Z295" i="5"/>
  <c r="AA295" i="5"/>
  <c r="AC295" i="5"/>
  <c r="AD295" i="5"/>
  <c r="AE295" i="5"/>
  <c r="G296" i="5"/>
  <c r="H296" i="5"/>
  <c r="I296" i="5"/>
  <c r="J296" i="5"/>
  <c r="K296" i="5"/>
  <c r="L296" i="5"/>
  <c r="M296" i="5"/>
  <c r="N296" i="5"/>
  <c r="O296" i="5"/>
  <c r="P296" i="5"/>
  <c r="Q296" i="5"/>
  <c r="S296" i="5"/>
  <c r="T296" i="5"/>
  <c r="U296" i="5"/>
  <c r="V296" i="5"/>
  <c r="W296" i="5"/>
  <c r="X296" i="5"/>
  <c r="Y296" i="5"/>
  <c r="Z296" i="5"/>
  <c r="AA296" i="5"/>
  <c r="AC296" i="5"/>
  <c r="AD296" i="5"/>
  <c r="AE296" i="5"/>
  <c r="G297" i="5"/>
  <c r="H297" i="5"/>
  <c r="I297" i="5"/>
  <c r="J297" i="5"/>
  <c r="K297" i="5"/>
  <c r="L297" i="5"/>
  <c r="M297" i="5"/>
  <c r="N297" i="5"/>
  <c r="O297" i="5"/>
  <c r="P297" i="5"/>
  <c r="Q297" i="5"/>
  <c r="S297" i="5"/>
  <c r="T297" i="5"/>
  <c r="U297" i="5"/>
  <c r="V297" i="5"/>
  <c r="W297" i="5"/>
  <c r="X297" i="5"/>
  <c r="Y297" i="5"/>
  <c r="Z297" i="5"/>
  <c r="AA297" i="5"/>
  <c r="AC297" i="5"/>
  <c r="AD297" i="5"/>
  <c r="AE297" i="5"/>
  <c r="G298" i="5"/>
  <c r="H298" i="5"/>
  <c r="I298" i="5"/>
  <c r="J298" i="5"/>
  <c r="K298" i="5"/>
  <c r="L298" i="5"/>
  <c r="M298" i="5"/>
  <c r="N298" i="5"/>
  <c r="O298" i="5"/>
  <c r="P298" i="5"/>
  <c r="Q298" i="5"/>
  <c r="S298" i="5"/>
  <c r="T298" i="5"/>
  <c r="U298" i="5"/>
  <c r="V298" i="5"/>
  <c r="W298" i="5"/>
  <c r="X298" i="5"/>
  <c r="Y298" i="5"/>
  <c r="Z298" i="5"/>
  <c r="AA298" i="5"/>
  <c r="AC298" i="5"/>
  <c r="AD298" i="5"/>
  <c r="AE298" i="5"/>
  <c r="G299" i="5"/>
  <c r="H299" i="5"/>
  <c r="I299" i="5"/>
  <c r="J299" i="5"/>
  <c r="K299" i="5"/>
  <c r="L299" i="5"/>
  <c r="M299" i="5"/>
  <c r="N299" i="5"/>
  <c r="O299" i="5"/>
  <c r="P299" i="5"/>
  <c r="Q299" i="5"/>
  <c r="S299" i="5"/>
  <c r="T299" i="5"/>
  <c r="U299" i="5"/>
  <c r="V299" i="5"/>
  <c r="W299" i="5"/>
  <c r="X299" i="5"/>
  <c r="Y299" i="5"/>
  <c r="Z299" i="5"/>
  <c r="AA299" i="5"/>
  <c r="AC299" i="5"/>
  <c r="AD299" i="5"/>
  <c r="AE299" i="5"/>
  <c r="G300" i="5"/>
  <c r="H300" i="5"/>
  <c r="I300" i="5"/>
  <c r="J300" i="5"/>
  <c r="K300" i="5"/>
  <c r="L300" i="5"/>
  <c r="M300" i="5"/>
  <c r="N300" i="5"/>
  <c r="O300" i="5"/>
  <c r="P300" i="5"/>
  <c r="Q300" i="5"/>
  <c r="S300" i="5"/>
  <c r="T300" i="5"/>
  <c r="U300" i="5"/>
  <c r="V300" i="5"/>
  <c r="W300" i="5"/>
  <c r="X300" i="5"/>
  <c r="Y300" i="5"/>
  <c r="Z300" i="5"/>
  <c r="AA300" i="5"/>
  <c r="AC300" i="5"/>
  <c r="AD300" i="5"/>
  <c r="AE300" i="5"/>
  <c r="H12" i="2"/>
  <c r="F8" i="3"/>
  <c r="F9" i="3"/>
  <c r="F10" i="3"/>
  <c r="F11" i="3"/>
  <c r="F12" i="3"/>
  <c r="F13" i="3"/>
  <c r="F14" i="3"/>
  <c r="F18" i="3"/>
  <c r="F19" i="3"/>
  <c r="F20" i="3"/>
  <c r="F21" i="3"/>
  <c r="F22" i="3"/>
  <c r="F23" i="3"/>
  <c r="F24" i="3"/>
  <c r="F25" i="3"/>
  <c r="F26" i="3"/>
  <c r="F27" i="3"/>
  <c r="H28" i="3"/>
  <c r="H29" i="3"/>
  <c r="F33" i="3"/>
  <c r="F34" i="3"/>
  <c r="F35" i="3"/>
  <c r="F36" i="3"/>
  <c r="F40" i="3"/>
  <c r="F44" i="3"/>
  <c r="H44" i="3" s="1"/>
  <c r="F45" i="3"/>
  <c r="H45" i="3" s="1"/>
  <c r="F50" i="3"/>
  <c r="F51" i="3"/>
  <c r="F52" i="3"/>
  <c r="F53" i="3"/>
  <c r="F54" i="3"/>
  <c r="F55" i="3"/>
  <c r="F56" i="3"/>
  <c r="H56" i="3" s="1"/>
  <c r="F57" i="3"/>
  <c r="H57" i="3" s="1"/>
  <c r="F58" i="3"/>
  <c r="F59" i="3"/>
  <c r="H59" i="3" s="1"/>
  <c r="D2" i="3"/>
  <c r="D3" i="3"/>
  <c r="D4" i="3"/>
  <c r="D5" i="3"/>
  <c r="F49" i="3"/>
  <c r="J14" i="5"/>
  <c r="J15" i="5"/>
  <c r="V15" i="5"/>
  <c r="Z13" i="5"/>
  <c r="T13" i="5"/>
  <c r="H13" i="5"/>
  <c r="H14" i="5"/>
  <c r="H46" i="3" l="1"/>
  <c r="V17" i="5"/>
  <c r="V18" i="5"/>
  <c r="Z6" i="5"/>
  <c r="Z5" i="5"/>
  <c r="E121" i="5" s="1"/>
  <c r="Z3" i="5"/>
  <c r="C201" i="5" s="1"/>
  <c r="Z7" i="5"/>
  <c r="F51" i="5" s="1"/>
  <c r="H302" i="5"/>
  <c r="H304" i="5" s="1"/>
  <c r="E19" i="3" s="1"/>
  <c r="H19" i="3" s="1"/>
  <c r="Z302" i="5"/>
  <c r="Z304" i="5" s="1"/>
  <c r="E27" i="3" s="1"/>
  <c r="H27" i="3" s="1"/>
  <c r="P302" i="5"/>
  <c r="P304" i="5" s="1"/>
  <c r="Q53" i="5"/>
  <c r="Q302" i="5" s="1"/>
  <c r="Q304" i="5" s="1"/>
  <c r="AB302" i="5"/>
  <c r="AB304" i="5" s="1"/>
  <c r="E53" i="3" s="1"/>
  <c r="H53" i="3" s="1"/>
  <c r="Z4" i="5"/>
  <c r="M302" i="5"/>
  <c r="M304" i="5" s="1"/>
  <c r="I302" i="5"/>
  <c r="I304" i="5" s="1"/>
  <c r="E18" i="3" s="1"/>
  <c r="T302" i="5"/>
  <c r="T304" i="5" s="1"/>
  <c r="AD302" i="5"/>
  <c r="AD304" i="5" s="1"/>
  <c r="AC302" i="5"/>
  <c r="AC304" i="5" s="1"/>
  <c r="N302" i="5"/>
  <c r="N304" i="5" s="1"/>
  <c r="E50" i="3" s="1"/>
  <c r="Y302" i="5"/>
  <c r="Y304" i="5" s="1"/>
  <c r="S302" i="5"/>
  <c r="S304" i="5" s="1"/>
  <c r="AA302" i="5"/>
  <c r="AA304" i="5" s="1"/>
  <c r="E52" i="3" s="1"/>
  <c r="H52" i="3" s="1"/>
  <c r="O302" i="5"/>
  <c r="O304" i="5" s="1"/>
  <c r="E51" i="3" s="1"/>
  <c r="H51" i="3" s="1"/>
  <c r="X302" i="5"/>
  <c r="X304" i="5" s="1"/>
  <c r="W302" i="5"/>
  <c r="W304" i="5" s="1"/>
  <c r="AE302" i="5"/>
  <c r="AE304" i="5" s="1"/>
  <c r="U302" i="5"/>
  <c r="U304" i="5" s="1"/>
  <c r="K302" i="5"/>
  <c r="K304" i="5" s="1"/>
  <c r="E21" i="3" s="1"/>
  <c r="H21" i="3" s="1"/>
  <c r="L302" i="5"/>
  <c r="L304" i="5" s="1"/>
  <c r="E22" i="3" s="1"/>
  <c r="H22" i="3" s="1"/>
  <c r="V302" i="5" l="1"/>
  <c r="V304" i="5" s="1"/>
  <c r="E233" i="5"/>
  <c r="F44" i="5"/>
  <c r="F178" i="5"/>
  <c r="F250" i="5"/>
  <c r="F120" i="5"/>
  <c r="F220" i="5"/>
  <c r="F261" i="5"/>
  <c r="F171" i="5"/>
  <c r="F42" i="5"/>
  <c r="F131" i="5"/>
  <c r="F201" i="5"/>
  <c r="F71" i="5"/>
  <c r="F211" i="5"/>
  <c r="E290" i="5"/>
  <c r="F193" i="5"/>
  <c r="F43" i="5"/>
  <c r="F145" i="5"/>
  <c r="F134" i="5"/>
  <c r="F64" i="5"/>
  <c r="F217" i="5"/>
  <c r="F209" i="5"/>
  <c r="F108" i="5"/>
  <c r="F88" i="5"/>
  <c r="F242" i="5"/>
  <c r="F232" i="5"/>
  <c r="F115" i="5"/>
  <c r="F27" i="5"/>
  <c r="F37" i="5"/>
  <c r="E23" i="5"/>
  <c r="B120" i="5"/>
  <c r="E278" i="5"/>
  <c r="C72" i="5"/>
  <c r="E160" i="5"/>
  <c r="E205" i="5"/>
  <c r="B166" i="5"/>
  <c r="F234" i="5"/>
  <c r="F68" i="5"/>
  <c r="F141" i="5"/>
  <c r="F20" i="5"/>
  <c r="F60" i="5"/>
  <c r="F49" i="5"/>
  <c r="F48" i="5"/>
  <c r="F17" i="5"/>
  <c r="F190" i="5"/>
  <c r="F273" i="5"/>
  <c r="F23" i="5"/>
  <c r="F16" i="5"/>
  <c r="F225" i="5"/>
  <c r="F204" i="5"/>
  <c r="F24" i="5"/>
  <c r="F63" i="5"/>
  <c r="C289" i="5"/>
  <c r="B18" i="5"/>
  <c r="F56" i="5"/>
  <c r="F75" i="5"/>
  <c r="F140" i="5"/>
  <c r="F66" i="5"/>
  <c r="F200" i="5"/>
  <c r="F149" i="5"/>
  <c r="F29" i="5"/>
  <c r="F76" i="5"/>
  <c r="F77" i="5"/>
  <c r="F270" i="5"/>
  <c r="F282" i="5"/>
  <c r="F275" i="5"/>
  <c r="F293" i="5"/>
  <c r="F135" i="5"/>
  <c r="F148" i="5"/>
  <c r="F136" i="5"/>
  <c r="E58" i="3"/>
  <c r="H58" i="3" s="1"/>
  <c r="B152" i="5"/>
  <c r="B134" i="5"/>
  <c r="E297" i="5"/>
  <c r="E87" i="5"/>
  <c r="B295" i="5"/>
  <c r="B145" i="5"/>
  <c r="C33" i="5"/>
  <c r="B62" i="5"/>
  <c r="C258" i="5"/>
  <c r="E107" i="5"/>
  <c r="E174" i="5"/>
  <c r="E151" i="5"/>
  <c r="C210" i="5"/>
  <c r="B25" i="5"/>
  <c r="B113" i="5"/>
  <c r="B84" i="5"/>
  <c r="B97" i="5"/>
  <c r="B223" i="5"/>
  <c r="B243" i="5"/>
  <c r="C251" i="5"/>
  <c r="B197" i="5"/>
  <c r="C142" i="5"/>
  <c r="B191" i="5"/>
  <c r="E157" i="5"/>
  <c r="B35" i="5"/>
  <c r="C242" i="5"/>
  <c r="C128" i="5"/>
  <c r="B261" i="5"/>
  <c r="C267" i="5"/>
  <c r="C145" i="5"/>
  <c r="C193" i="5"/>
  <c r="C274" i="5"/>
  <c r="C221" i="5"/>
  <c r="B92" i="5"/>
  <c r="C21" i="5"/>
  <c r="C203" i="5"/>
  <c r="C123" i="5"/>
  <c r="B57" i="5"/>
  <c r="B215" i="5"/>
  <c r="C48" i="5"/>
  <c r="C143" i="5"/>
  <c r="C255" i="5"/>
  <c r="B209" i="5"/>
  <c r="B247" i="5"/>
  <c r="B294" i="5"/>
  <c r="C114" i="5"/>
  <c r="C212" i="5"/>
  <c r="B150" i="5"/>
  <c r="C165" i="5"/>
  <c r="B28" i="5"/>
  <c r="B156" i="5"/>
  <c r="C178" i="5"/>
  <c r="B136" i="5"/>
  <c r="C133" i="5"/>
  <c r="B42" i="5"/>
  <c r="C230" i="5"/>
  <c r="E150" i="5"/>
  <c r="B17" i="5"/>
  <c r="C300" i="5"/>
  <c r="E43" i="5"/>
  <c r="E93" i="5"/>
  <c r="E269" i="5"/>
  <c r="E202" i="5"/>
  <c r="C106" i="5"/>
  <c r="B88" i="5"/>
  <c r="C189" i="5"/>
  <c r="C153" i="5"/>
  <c r="C241" i="5"/>
  <c r="C111" i="5"/>
  <c r="C235" i="5"/>
  <c r="B70" i="5"/>
  <c r="C253" i="5"/>
  <c r="B163" i="5"/>
  <c r="C259" i="5"/>
  <c r="C37" i="5"/>
  <c r="C73" i="5"/>
  <c r="C298" i="5"/>
  <c r="B37" i="5"/>
  <c r="B142" i="5"/>
  <c r="C124" i="5"/>
  <c r="C185" i="5"/>
  <c r="B99" i="5"/>
  <c r="C88" i="5"/>
  <c r="C159" i="5"/>
  <c r="C195" i="5"/>
  <c r="E241" i="5"/>
  <c r="E22" i="5"/>
  <c r="E51" i="5"/>
  <c r="E115" i="5"/>
  <c r="E274" i="5"/>
  <c r="E128" i="5"/>
  <c r="E101" i="5"/>
  <c r="E286" i="5"/>
  <c r="E152" i="5"/>
  <c r="E213" i="5"/>
  <c r="E277" i="5"/>
  <c r="E31" i="5"/>
  <c r="E95" i="5"/>
  <c r="E159" i="5"/>
  <c r="E186" i="5"/>
  <c r="E166" i="5"/>
  <c r="E82" i="5"/>
  <c r="E33" i="5"/>
  <c r="E201" i="5"/>
  <c r="E265" i="5"/>
  <c r="E46" i="5"/>
  <c r="E75" i="5"/>
  <c r="E139" i="5"/>
  <c r="E226" i="5"/>
  <c r="E61" i="5"/>
  <c r="E125" i="5"/>
  <c r="E238" i="5"/>
  <c r="E173" i="5"/>
  <c r="E237" i="5"/>
  <c r="E26" i="5"/>
  <c r="E55" i="5"/>
  <c r="E119" i="5"/>
  <c r="E266" i="5"/>
  <c r="E112" i="5"/>
  <c r="E247" i="5"/>
  <c r="E209" i="5"/>
  <c r="E273" i="5"/>
  <c r="E19" i="5"/>
  <c r="E83" i="5"/>
  <c r="E147" i="5"/>
  <c r="E210" i="5"/>
  <c r="E69" i="5"/>
  <c r="E133" i="5"/>
  <c r="E222" i="5"/>
  <c r="E181" i="5"/>
  <c r="E245" i="5"/>
  <c r="E34" i="5"/>
  <c r="E63" i="5"/>
  <c r="E127" i="5"/>
  <c r="E250" i="5"/>
  <c r="E80" i="5"/>
  <c r="F257" i="5"/>
  <c r="F127" i="5"/>
  <c r="F205" i="5"/>
  <c r="F246" i="5"/>
  <c r="F52" i="5"/>
  <c r="F25" i="5"/>
  <c r="F100" i="5"/>
  <c r="F70" i="5"/>
  <c r="F39" i="5"/>
  <c r="F277" i="5"/>
  <c r="F254" i="5"/>
  <c r="F244" i="5"/>
  <c r="F265" i="5"/>
  <c r="F252" i="5"/>
  <c r="F112" i="5"/>
  <c r="F15" i="5"/>
  <c r="F249" i="5"/>
  <c r="F223" i="5"/>
  <c r="E73" i="5"/>
  <c r="E185" i="5"/>
  <c r="E249" i="5"/>
  <c r="E281" i="5"/>
  <c r="E27" i="5"/>
  <c r="E59" i="5"/>
  <c r="E123" i="5"/>
  <c r="E155" i="5"/>
  <c r="E194" i="5"/>
  <c r="E96" i="5"/>
  <c r="E109" i="5"/>
  <c r="E141" i="5"/>
  <c r="E206" i="5"/>
  <c r="E189" i="5"/>
  <c r="E221" i="5"/>
  <c r="E285" i="5"/>
  <c r="E42" i="5"/>
  <c r="E71" i="5"/>
  <c r="E103" i="5"/>
  <c r="E298" i="5"/>
  <c r="E234" i="5"/>
  <c r="E52" i="5"/>
  <c r="E193" i="5"/>
  <c r="E225" i="5"/>
  <c r="E257" i="5"/>
  <c r="E289" i="5"/>
  <c r="E38" i="5"/>
  <c r="E35" i="5"/>
  <c r="E67" i="5"/>
  <c r="E99" i="5"/>
  <c r="E131" i="5"/>
  <c r="E163" i="5"/>
  <c r="E242" i="5"/>
  <c r="E178" i="5"/>
  <c r="E53" i="5"/>
  <c r="E85" i="5"/>
  <c r="E117" i="5"/>
  <c r="E149" i="5"/>
  <c r="E254" i="5"/>
  <c r="E190" i="5"/>
  <c r="E88" i="5"/>
  <c r="E197" i="5"/>
  <c r="E229" i="5"/>
  <c r="E261" i="5"/>
  <c r="E293" i="5"/>
  <c r="E50" i="5"/>
  <c r="E47" i="5"/>
  <c r="E79" i="5"/>
  <c r="E111" i="5"/>
  <c r="E143" i="5"/>
  <c r="E282" i="5"/>
  <c r="E218" i="5"/>
  <c r="E144" i="5"/>
  <c r="E214" i="5"/>
  <c r="B36" i="5"/>
  <c r="C214" i="5"/>
  <c r="B119" i="5"/>
  <c r="B47" i="5"/>
  <c r="B81" i="5"/>
  <c r="C92" i="5"/>
  <c r="C276" i="5"/>
  <c r="B273" i="5"/>
  <c r="C50" i="5"/>
  <c r="C76" i="5"/>
  <c r="B229" i="5"/>
  <c r="C169" i="5"/>
  <c r="C144" i="5"/>
  <c r="C74" i="5"/>
  <c r="C39" i="5"/>
  <c r="C14" i="5"/>
  <c r="E262" i="5"/>
  <c r="B27" i="5"/>
  <c r="B126" i="5"/>
  <c r="B213" i="5"/>
  <c r="E171" i="5"/>
  <c r="E295" i="5"/>
  <c r="E54" i="5"/>
  <c r="E235" i="5"/>
  <c r="B153" i="5"/>
  <c r="C150" i="5"/>
  <c r="C179" i="5"/>
  <c r="C122" i="5"/>
  <c r="E294" i="5"/>
  <c r="E76" i="5"/>
  <c r="E183" i="5"/>
  <c r="E45" i="5"/>
  <c r="E118" i="5"/>
  <c r="E283" i="5"/>
  <c r="E217" i="5"/>
  <c r="E30" i="5"/>
  <c r="E91" i="5"/>
  <c r="E258" i="5"/>
  <c r="E77" i="5"/>
  <c r="E270" i="5"/>
  <c r="E120" i="5"/>
  <c r="E253" i="5"/>
  <c r="E39" i="5"/>
  <c r="E135" i="5"/>
  <c r="E170" i="5"/>
  <c r="E246" i="5"/>
  <c r="E182" i="5"/>
  <c r="E130" i="5"/>
  <c r="E263" i="5"/>
  <c r="E20" i="5"/>
  <c r="E219" i="5"/>
  <c r="E81" i="5"/>
  <c r="C132" i="5"/>
  <c r="C82" i="5"/>
  <c r="B219" i="5"/>
  <c r="C277" i="5"/>
  <c r="C170" i="5"/>
  <c r="B56" i="5"/>
  <c r="C64" i="5"/>
  <c r="B231" i="5"/>
  <c r="C89" i="5"/>
  <c r="C278" i="5"/>
  <c r="B55" i="5"/>
  <c r="C38" i="5"/>
  <c r="C175" i="5"/>
  <c r="C299" i="5"/>
  <c r="C156" i="5"/>
  <c r="B102" i="5"/>
  <c r="C110" i="5"/>
  <c r="B131" i="5"/>
  <c r="B287" i="5"/>
  <c r="C217" i="5"/>
  <c r="C244" i="5"/>
  <c r="C172" i="5"/>
  <c r="F89" i="5"/>
  <c r="F170" i="5"/>
  <c r="F191" i="5"/>
  <c r="F151" i="5"/>
  <c r="C22" i="5"/>
  <c r="B108" i="5"/>
  <c r="C20" i="5"/>
  <c r="B176" i="5"/>
  <c r="C218" i="5"/>
  <c r="C69" i="5"/>
  <c r="B275" i="5"/>
  <c r="E198" i="5"/>
  <c r="C260" i="5"/>
  <c r="B67" i="5"/>
  <c r="C291" i="5"/>
  <c r="B76" i="5"/>
  <c r="F237" i="5"/>
  <c r="F214" i="5"/>
  <c r="F139" i="5"/>
  <c r="F196" i="5"/>
  <c r="F175" i="5"/>
  <c r="F167" i="5"/>
  <c r="F247" i="5"/>
  <c r="F219" i="5"/>
  <c r="F61" i="5"/>
  <c r="F181" i="5"/>
  <c r="F160" i="5"/>
  <c r="F83" i="5"/>
  <c r="F73" i="5"/>
  <c r="F111" i="5"/>
  <c r="F299" i="5"/>
  <c r="F165" i="5"/>
  <c r="F238" i="5"/>
  <c r="F195" i="5"/>
  <c r="F79" i="5"/>
  <c r="F125" i="5"/>
  <c r="F164" i="5"/>
  <c r="F224" i="5"/>
  <c r="F117" i="5"/>
  <c r="E114" i="5"/>
  <c r="E199" i="5"/>
  <c r="E48" i="5"/>
  <c r="E64" i="5"/>
  <c r="E165" i="5"/>
  <c r="E36" i="5"/>
  <c r="C58" i="5"/>
  <c r="C167" i="5"/>
  <c r="B26" i="5"/>
  <c r="B188" i="5"/>
  <c r="B130" i="5"/>
  <c r="C213" i="5"/>
  <c r="B272" i="5"/>
  <c r="C152" i="5"/>
  <c r="B34" i="5"/>
  <c r="F198" i="5"/>
  <c r="F292" i="5"/>
  <c r="B60" i="5"/>
  <c r="C30" i="5"/>
  <c r="C62" i="5"/>
  <c r="C97" i="5"/>
  <c r="B77" i="5"/>
  <c r="B291" i="5"/>
  <c r="C273" i="5"/>
  <c r="B33" i="5"/>
  <c r="C134" i="5"/>
  <c r="C206" i="5"/>
  <c r="C91" i="5"/>
  <c r="B110" i="5"/>
  <c r="C219" i="5"/>
  <c r="B137" i="5"/>
  <c r="F298" i="5"/>
  <c r="F291" i="5"/>
  <c r="F57" i="5"/>
  <c r="F185" i="5"/>
  <c r="C79" i="5"/>
  <c r="B135" i="5"/>
  <c r="C262" i="5"/>
  <c r="C27" i="5"/>
  <c r="C205" i="5"/>
  <c r="B96" i="5"/>
  <c r="C154" i="5"/>
  <c r="C101" i="5"/>
  <c r="B48" i="5"/>
  <c r="B211" i="5"/>
  <c r="B65" i="5"/>
  <c r="B86" i="5"/>
  <c r="C120" i="5"/>
  <c r="B54" i="5"/>
  <c r="B129" i="5"/>
  <c r="B87" i="5"/>
  <c r="B16" i="5"/>
  <c r="F97" i="5"/>
  <c r="F269" i="5"/>
  <c r="F182" i="5"/>
  <c r="F297" i="5"/>
  <c r="F203" i="5"/>
  <c r="F241" i="5"/>
  <c r="F95" i="5"/>
  <c r="F84" i="5"/>
  <c r="F98" i="5"/>
  <c r="F215" i="5"/>
  <c r="F283" i="5"/>
  <c r="F290" i="5"/>
  <c r="F284" i="5"/>
  <c r="F213" i="5"/>
  <c r="F128" i="5"/>
  <c r="F285" i="5"/>
  <c r="F147" i="5"/>
  <c r="F177" i="5"/>
  <c r="F41" i="5"/>
  <c r="F162" i="5"/>
  <c r="F188" i="5"/>
  <c r="F197" i="5"/>
  <c r="F144" i="5"/>
  <c r="F99" i="5"/>
  <c r="F137" i="5"/>
  <c r="F159" i="5"/>
  <c r="F230" i="5"/>
  <c r="F192" i="5"/>
  <c r="F114" i="5"/>
  <c r="F105" i="5"/>
  <c r="F85" i="5"/>
  <c r="F231" i="5"/>
  <c r="F194" i="5"/>
  <c r="E66" i="5"/>
  <c r="E146" i="5"/>
  <c r="E231" i="5"/>
  <c r="E32" i="5"/>
  <c r="E105" i="5"/>
  <c r="E86" i="5"/>
  <c r="E203" i="5"/>
  <c r="E299" i="5"/>
  <c r="E136" i="5"/>
  <c r="B280" i="5"/>
  <c r="B189" i="5"/>
  <c r="B69" i="5"/>
  <c r="C252" i="5"/>
  <c r="C296" i="5"/>
  <c r="C293" i="5"/>
  <c r="C32" i="5"/>
  <c r="C151" i="5"/>
  <c r="B255" i="5"/>
  <c r="B184" i="5"/>
  <c r="B300" i="5"/>
  <c r="B168" i="5"/>
  <c r="B267" i="5"/>
  <c r="C138" i="5"/>
  <c r="B117" i="5"/>
  <c r="C282" i="5"/>
  <c r="C135" i="5"/>
  <c r="F240" i="5"/>
  <c r="F263" i="5"/>
  <c r="F87" i="5"/>
  <c r="F172" i="5"/>
  <c r="F94" i="5"/>
  <c r="F50" i="5"/>
  <c r="B251" i="5"/>
  <c r="B111" i="5"/>
  <c r="B165" i="5"/>
  <c r="C68" i="5"/>
  <c r="B49" i="5"/>
  <c r="B249" i="5"/>
  <c r="B238" i="5"/>
  <c r="C187" i="5"/>
  <c r="B115" i="5"/>
  <c r="C35" i="5"/>
  <c r="C140" i="5"/>
  <c r="C194" i="5"/>
  <c r="B177" i="5"/>
  <c r="B245" i="5"/>
  <c r="C164" i="5"/>
  <c r="C55" i="5"/>
  <c r="C254" i="5"/>
  <c r="F133" i="5"/>
  <c r="F26" i="5"/>
  <c r="F174" i="5"/>
  <c r="F67" i="5"/>
  <c r="F180" i="5"/>
  <c r="F38" i="5"/>
  <c r="F295" i="5"/>
  <c r="F59" i="5"/>
  <c r="F101" i="5"/>
  <c r="F86" i="5"/>
  <c r="F154" i="5"/>
  <c r="F186" i="5"/>
  <c r="F65" i="5"/>
  <c r="F184" i="5"/>
  <c r="F271" i="5"/>
  <c r="F22" i="5"/>
  <c r="F55" i="5"/>
  <c r="B44" i="5"/>
  <c r="C226" i="5"/>
  <c r="B23" i="5"/>
  <c r="B66" i="5"/>
  <c r="C51" i="5"/>
  <c r="B290" i="5"/>
  <c r="B236" i="5"/>
  <c r="B299" i="5"/>
  <c r="C196" i="5"/>
  <c r="C31" i="5"/>
  <c r="C183" i="5"/>
  <c r="C49" i="5"/>
  <c r="B21" i="5"/>
  <c r="B193" i="5"/>
  <c r="B149" i="5"/>
  <c r="F92" i="5"/>
  <c r="E102" i="5"/>
  <c r="E175" i="5"/>
  <c r="E267" i="5"/>
  <c r="E13" i="5"/>
  <c r="B118" i="5"/>
  <c r="B210" i="5"/>
  <c r="B172" i="5"/>
  <c r="B39" i="5"/>
  <c r="C287" i="5"/>
  <c r="B122" i="5"/>
  <c r="C238" i="5"/>
  <c r="C163" i="5"/>
  <c r="C229" i="5"/>
  <c r="B173" i="5"/>
  <c r="C294" i="5"/>
  <c r="C209" i="5"/>
  <c r="C199" i="5"/>
  <c r="B52" i="5"/>
  <c r="B201" i="5"/>
  <c r="B226" i="5"/>
  <c r="C146" i="5"/>
  <c r="B198" i="5"/>
  <c r="C157" i="5"/>
  <c r="C243" i="5"/>
  <c r="B218" i="5"/>
  <c r="C80" i="5"/>
  <c r="C98" i="5"/>
  <c r="C182" i="5"/>
  <c r="C161" i="5"/>
  <c r="B171" i="5"/>
  <c r="B233" i="5"/>
  <c r="C70" i="5"/>
  <c r="C34" i="5"/>
  <c r="C45" i="5"/>
  <c r="E113" i="5"/>
  <c r="E145" i="5"/>
  <c r="B121" i="5"/>
  <c r="C108" i="5"/>
  <c r="C78" i="5"/>
  <c r="C81" i="5"/>
  <c r="C174" i="5"/>
  <c r="C227" i="5"/>
  <c r="B31" i="5"/>
  <c r="C225" i="5"/>
  <c r="C57" i="5"/>
  <c r="F268" i="5"/>
  <c r="F173" i="5"/>
  <c r="F34" i="5"/>
  <c r="F152" i="5"/>
  <c r="F278" i="5"/>
  <c r="F107" i="5"/>
  <c r="F212" i="5"/>
  <c r="F161" i="5"/>
  <c r="F218" i="5"/>
  <c r="F288" i="5"/>
  <c r="F121" i="5"/>
  <c r="F130" i="5"/>
  <c r="F279" i="5"/>
  <c r="F102" i="5"/>
  <c r="F251" i="5"/>
  <c r="F264" i="5"/>
  <c r="F93" i="5"/>
  <c r="F113" i="5"/>
  <c r="F245" i="5"/>
  <c r="F96" i="5"/>
  <c r="F222" i="5"/>
  <c r="F21" i="5"/>
  <c r="F179" i="5"/>
  <c r="F260" i="5"/>
  <c r="F156" i="5"/>
  <c r="F207" i="5"/>
  <c r="F199" i="5"/>
  <c r="F109" i="5"/>
  <c r="F81" i="5"/>
  <c r="F229" i="5"/>
  <c r="F80" i="5"/>
  <c r="F206" i="5"/>
  <c r="F45" i="5"/>
  <c r="F163" i="5"/>
  <c r="F129" i="5"/>
  <c r="F124" i="5"/>
  <c r="F116" i="5"/>
  <c r="F266" i="5"/>
  <c r="F104" i="5"/>
  <c r="F280" i="5"/>
  <c r="F300" i="5"/>
  <c r="F36" i="5"/>
  <c r="F132" i="5"/>
  <c r="F35" i="5"/>
  <c r="F72" i="5"/>
  <c r="F272" i="5"/>
  <c r="F54" i="5"/>
  <c r="F296" i="5"/>
  <c r="F276" i="5"/>
  <c r="F157" i="5"/>
  <c r="B19" i="5"/>
  <c r="B216" i="5"/>
  <c r="C297" i="5"/>
  <c r="B13" i="5"/>
  <c r="B133" i="5"/>
  <c r="C191" i="5"/>
  <c r="B90" i="5"/>
  <c r="B225" i="5"/>
  <c r="C200" i="5"/>
  <c r="C26" i="5"/>
  <c r="B164" i="5"/>
  <c r="B244" i="5"/>
  <c r="C93" i="5"/>
  <c r="B158" i="5"/>
  <c r="B237" i="5"/>
  <c r="C263" i="5"/>
  <c r="C204" i="5"/>
  <c r="C166" i="5"/>
  <c r="B59" i="5"/>
  <c r="B232" i="5"/>
  <c r="C290" i="5"/>
  <c r="C285" i="5"/>
  <c r="B230" i="5"/>
  <c r="C77" i="5"/>
  <c r="C121" i="5"/>
  <c r="B148" i="5"/>
  <c r="B298" i="5"/>
  <c r="B72" i="5"/>
  <c r="B161" i="5"/>
  <c r="B292" i="5"/>
  <c r="C28" i="5"/>
  <c r="B22" i="5"/>
  <c r="C139" i="5"/>
  <c r="C216" i="5"/>
  <c r="C29" i="5"/>
  <c r="C105" i="5"/>
  <c r="B43" i="5"/>
  <c r="F91" i="5"/>
  <c r="F286" i="5"/>
  <c r="F289" i="5"/>
  <c r="F82" i="5"/>
  <c r="F142" i="5"/>
  <c r="F243" i="5"/>
  <c r="F31" i="5"/>
  <c r="F221" i="5"/>
  <c r="F155" i="5"/>
  <c r="F228" i="5"/>
  <c r="F103" i="5"/>
  <c r="F74" i="5"/>
  <c r="F126" i="5"/>
  <c r="F235" i="5"/>
  <c r="F47" i="5"/>
  <c r="F253" i="5"/>
  <c r="F187" i="5"/>
  <c r="F226" i="5"/>
  <c r="F153" i="5"/>
  <c r="F202" i="5"/>
  <c r="C40" i="5"/>
  <c r="C234" i="5"/>
  <c r="C180" i="5"/>
  <c r="C147" i="5"/>
  <c r="B190" i="5"/>
  <c r="C220" i="5"/>
  <c r="C119" i="5"/>
  <c r="C112" i="5"/>
  <c r="B40" i="5"/>
  <c r="B79" i="5"/>
  <c r="B106" i="5"/>
  <c r="B20" i="5"/>
  <c r="B283" i="5"/>
  <c r="B174" i="5"/>
  <c r="C43" i="5"/>
  <c r="C85" i="5"/>
  <c r="B266" i="5"/>
  <c r="B224" i="5"/>
  <c r="B30" i="5"/>
  <c r="B64" i="5"/>
  <c r="C23" i="5"/>
  <c r="B262" i="5"/>
  <c r="B268" i="5"/>
  <c r="B293" i="5"/>
  <c r="C149" i="5"/>
  <c r="B296" i="5"/>
  <c r="C190" i="5"/>
  <c r="C42" i="5"/>
  <c r="C240" i="5"/>
  <c r="C107" i="5"/>
  <c r="C84" i="5"/>
  <c r="B141" i="5"/>
  <c r="B95" i="5"/>
  <c r="B15" i="5"/>
  <c r="C96" i="5"/>
  <c r="B175" i="5"/>
  <c r="B212" i="5"/>
  <c r="C130" i="5"/>
  <c r="B185" i="5"/>
  <c r="C99" i="5"/>
  <c r="C232" i="5"/>
  <c r="B83" i="5"/>
  <c r="C188" i="5"/>
  <c r="B154" i="5"/>
  <c r="C223" i="5"/>
  <c r="B101" i="5"/>
  <c r="C103" i="5"/>
  <c r="B253" i="5"/>
  <c r="C233" i="5"/>
  <c r="C136" i="5"/>
  <c r="B274" i="5"/>
  <c r="B104" i="5"/>
  <c r="C118" i="5"/>
  <c r="E60" i="5"/>
  <c r="E98" i="5"/>
  <c r="E162" i="5"/>
  <c r="E215" i="5"/>
  <c r="E279" i="5"/>
  <c r="E29" i="5"/>
  <c r="E137" i="5"/>
  <c r="E70" i="5"/>
  <c r="E134" i="5"/>
  <c r="E187" i="5"/>
  <c r="E251" i="5"/>
  <c r="E18" i="5"/>
  <c r="E49" i="5"/>
  <c r="E230" i="5"/>
  <c r="B206" i="5"/>
  <c r="B235" i="5"/>
  <c r="C181" i="5"/>
  <c r="B41" i="5"/>
  <c r="C283" i="5"/>
  <c r="C292" i="5"/>
  <c r="B140" i="5"/>
  <c r="B159" i="5"/>
  <c r="C87" i="5"/>
  <c r="B109" i="5"/>
  <c r="C231" i="5"/>
  <c r="B162" i="5"/>
  <c r="C268" i="5"/>
  <c r="B257" i="5"/>
  <c r="C113" i="5"/>
  <c r="C208" i="5"/>
  <c r="C115" i="5"/>
  <c r="B265" i="5"/>
  <c r="C245" i="5"/>
  <c r="C129" i="5"/>
  <c r="B204" i="5"/>
  <c r="B194" i="5"/>
  <c r="B203" i="5"/>
  <c r="C186" i="5"/>
  <c r="C36" i="5"/>
  <c r="B105" i="5"/>
  <c r="B220" i="5"/>
  <c r="B284" i="5"/>
  <c r="B214" i="5"/>
  <c r="B278" i="5"/>
  <c r="B259" i="5"/>
  <c r="B29" i="5"/>
  <c r="C90" i="5"/>
  <c r="B112" i="5"/>
  <c r="C198" i="5"/>
  <c r="B89" i="5"/>
  <c r="C18" i="5"/>
  <c r="B240" i="5"/>
  <c r="B202" i="5"/>
  <c r="B282" i="5"/>
  <c r="C24" i="5"/>
  <c r="C173" i="5"/>
  <c r="B128" i="5"/>
  <c r="C137" i="5"/>
  <c r="C127" i="5"/>
  <c r="B78" i="5"/>
  <c r="B151" i="5"/>
  <c r="B222" i="5"/>
  <c r="C222" i="5"/>
  <c r="C67" i="5"/>
  <c r="B147" i="5"/>
  <c r="B170" i="5"/>
  <c r="B239" i="5"/>
  <c r="B289" i="5"/>
  <c r="C288" i="5"/>
  <c r="B143" i="5"/>
  <c r="B169" i="5"/>
  <c r="B279" i="5"/>
  <c r="B281" i="5"/>
  <c r="B114" i="5"/>
  <c r="C65" i="5"/>
  <c r="B51" i="5"/>
  <c r="C261" i="5"/>
  <c r="B195" i="5"/>
  <c r="B91" i="5"/>
  <c r="B100" i="5"/>
  <c r="C256" i="5"/>
  <c r="B146" i="5"/>
  <c r="C83" i="5"/>
  <c r="B58" i="5"/>
  <c r="C75" i="5"/>
  <c r="C184" i="5"/>
  <c r="C264" i="5"/>
  <c r="C86" i="5"/>
  <c r="B50" i="5"/>
  <c r="B107" i="5"/>
  <c r="C286" i="5"/>
  <c r="B178" i="5"/>
  <c r="B276" i="5"/>
  <c r="B270" i="5"/>
  <c r="C47" i="5"/>
  <c r="B80" i="5"/>
  <c r="B103" i="5"/>
  <c r="C155" i="5"/>
  <c r="B277" i="5"/>
  <c r="C281" i="5"/>
  <c r="B38" i="5"/>
  <c r="B179" i="5"/>
  <c r="C295" i="5"/>
  <c r="C148" i="5"/>
  <c r="B98" i="5"/>
  <c r="C94" i="5"/>
  <c r="C237" i="5"/>
  <c r="C272" i="5"/>
  <c r="C102" i="5"/>
  <c r="C25" i="5"/>
  <c r="B123" i="5"/>
  <c r="B68" i="5"/>
  <c r="B271" i="5"/>
  <c r="B264" i="5"/>
  <c r="B258" i="5"/>
  <c r="C61" i="5"/>
  <c r="B160" i="5"/>
  <c r="C257" i="5"/>
  <c r="C228" i="5"/>
  <c r="B252" i="5"/>
  <c r="B182" i="5"/>
  <c r="B246" i="5"/>
  <c r="B167" i="5"/>
  <c r="B24" i="5"/>
  <c r="C117" i="5"/>
  <c r="C250" i="5"/>
  <c r="B199" i="5"/>
  <c r="B181" i="5"/>
  <c r="C60" i="5"/>
  <c r="B208" i="5"/>
  <c r="B288" i="5"/>
  <c r="B234" i="5"/>
  <c r="B227" i="5"/>
  <c r="B45" i="5"/>
  <c r="C202" i="5"/>
  <c r="B263" i="5"/>
  <c r="B71" i="5"/>
  <c r="B73" i="5"/>
  <c r="C270" i="5"/>
  <c r="C53" i="5"/>
  <c r="B228" i="5"/>
  <c r="B217" i="5"/>
  <c r="C248" i="5"/>
  <c r="C126" i="5"/>
  <c r="B53" i="5"/>
  <c r="B221" i="5"/>
  <c r="B285" i="5"/>
  <c r="B260" i="5"/>
  <c r="C192" i="5"/>
  <c r="B187" i="5"/>
  <c r="C171" i="5"/>
  <c r="C249" i="5"/>
  <c r="C280" i="5"/>
  <c r="C52" i="5"/>
  <c r="C131" i="5"/>
  <c r="C44" i="5"/>
  <c r="B157" i="5"/>
  <c r="C100" i="5"/>
  <c r="B125" i="5"/>
  <c r="B207" i="5"/>
  <c r="C269" i="5"/>
  <c r="B242" i="5"/>
  <c r="E24" i="5"/>
  <c r="E65" i="5"/>
  <c r="E212" i="5"/>
  <c r="C66" i="5"/>
  <c r="E211" i="5"/>
  <c r="E78" i="5"/>
  <c r="E255" i="5"/>
  <c r="E180" i="5"/>
  <c r="E192" i="5"/>
  <c r="E204" i="5"/>
  <c r="E14" i="5"/>
  <c r="E248" i="5"/>
  <c r="E196" i="5"/>
  <c r="E122" i="5"/>
  <c r="E291" i="5"/>
  <c r="E72" i="5"/>
  <c r="E188" i="5"/>
  <c r="E216" i="5"/>
  <c r="E164" i="5"/>
  <c r="E223" i="5"/>
  <c r="E15" i="5"/>
  <c r="E132" i="5"/>
  <c r="E179" i="5"/>
  <c r="E17" i="5"/>
  <c r="E207" i="5"/>
  <c r="E195" i="5"/>
  <c r="E268" i="5"/>
  <c r="E116" i="5"/>
  <c r="E140" i="5"/>
  <c r="E97" i="5"/>
  <c r="E138" i="5"/>
  <c r="E184" i="5"/>
  <c r="E37" i="5"/>
  <c r="E94" i="5"/>
  <c r="E154" i="5"/>
  <c r="E90" i="5"/>
  <c r="E104" i="5"/>
  <c r="E169" i="5"/>
  <c r="E252" i="5"/>
  <c r="E84" i="5"/>
  <c r="E56" i="5"/>
  <c r="E41" i="5"/>
  <c r="E106" i="5"/>
  <c r="E108" i="5"/>
  <c r="E40" i="5"/>
  <c r="E62" i="5"/>
  <c r="E240" i="5"/>
  <c r="E272" i="5"/>
  <c r="E25" i="5"/>
  <c r="E92" i="5"/>
  <c r="E57" i="5"/>
  <c r="E259" i="5"/>
  <c r="E142" i="5"/>
  <c r="E300" i="5"/>
  <c r="E236" i="5"/>
  <c r="E172" i="5"/>
  <c r="E296" i="5"/>
  <c r="E200" i="5"/>
  <c r="E292" i="5"/>
  <c r="E100" i="5"/>
  <c r="E44" i="5"/>
  <c r="E191" i="5"/>
  <c r="E74" i="5"/>
  <c r="E280" i="5"/>
  <c r="E276" i="5"/>
  <c r="E153" i="5"/>
  <c r="E275" i="5"/>
  <c r="E158" i="5"/>
  <c r="E16" i="5"/>
  <c r="E28" i="5"/>
  <c r="E176" i="5"/>
  <c r="E288" i="5"/>
  <c r="E129" i="5"/>
  <c r="E208" i="5"/>
  <c r="E177" i="5"/>
  <c r="E58" i="5"/>
  <c r="E21" i="5"/>
  <c r="E227" i="5"/>
  <c r="E110" i="5"/>
  <c r="E284" i="5"/>
  <c r="E220" i="5"/>
  <c r="E148" i="5"/>
  <c r="E264" i="5"/>
  <c r="E168" i="5"/>
  <c r="E244" i="5"/>
  <c r="E161" i="5"/>
  <c r="E287" i="5"/>
  <c r="E167" i="5"/>
  <c r="E68" i="5"/>
  <c r="E232" i="5"/>
  <c r="E228" i="5"/>
  <c r="E89" i="5"/>
  <c r="E243" i="5"/>
  <c r="E126" i="5"/>
  <c r="E260" i="5"/>
  <c r="E271" i="5"/>
  <c r="E239" i="5"/>
  <c r="E224" i="5"/>
  <c r="E156" i="5"/>
  <c r="E124" i="5"/>
  <c r="E256" i="5"/>
  <c r="C160" i="5"/>
  <c r="B124" i="5"/>
  <c r="C95" i="5"/>
  <c r="B94" i="5"/>
  <c r="B192" i="5"/>
  <c r="B256" i="5"/>
  <c r="B186" i="5"/>
  <c r="B250" i="5"/>
  <c r="B183" i="5"/>
  <c r="B32" i="5"/>
  <c r="C125" i="5"/>
  <c r="C266" i="5"/>
  <c r="C176" i="5"/>
  <c r="C246" i="5"/>
  <c r="B46" i="5"/>
  <c r="C211" i="5"/>
  <c r="B241" i="5"/>
  <c r="B144" i="5"/>
  <c r="B286" i="5"/>
  <c r="B180" i="5"/>
  <c r="B75" i="5"/>
  <c r="C54" i="5"/>
  <c r="B116" i="5"/>
  <c r="C284" i="5"/>
  <c r="C239" i="5"/>
  <c r="C71" i="5"/>
  <c r="C168" i="5"/>
  <c r="B85" i="5"/>
  <c r="C247" i="5"/>
  <c r="B132" i="5"/>
  <c r="C215" i="5"/>
  <c r="B196" i="5"/>
  <c r="C109" i="5"/>
  <c r="C116" i="5"/>
  <c r="B254" i="5"/>
  <c r="B61" i="5"/>
  <c r="C41" i="5"/>
  <c r="C279" i="5"/>
  <c r="C177" i="5"/>
  <c r="B155" i="5"/>
  <c r="B200" i="5"/>
  <c r="C197" i="5"/>
  <c r="C56" i="5"/>
  <c r="C46" i="5"/>
  <c r="C162" i="5"/>
  <c r="B205" i="5"/>
  <c r="B82" i="5"/>
  <c r="B269" i="5"/>
  <c r="C271" i="5"/>
  <c r="C158" i="5"/>
  <c r="C224" i="5"/>
  <c r="B139" i="5"/>
  <c r="B248" i="5"/>
  <c r="C59" i="5"/>
  <c r="C141" i="5"/>
  <c r="B138" i="5"/>
  <c r="C275" i="5"/>
  <c r="C236" i="5"/>
  <c r="C265" i="5"/>
  <c r="C207" i="5"/>
  <c r="B63" i="5"/>
  <c r="B93" i="5"/>
  <c r="B74" i="5"/>
  <c r="C19" i="5"/>
  <c r="B297" i="5"/>
  <c r="B14" i="5"/>
  <c r="C63" i="5"/>
  <c r="C17" i="5"/>
  <c r="C16" i="5"/>
  <c r="F14" i="5"/>
  <c r="F13" i="5"/>
  <c r="F53" i="5"/>
  <c r="F216" i="5"/>
  <c r="F259" i="5"/>
  <c r="F62" i="5"/>
  <c r="F150" i="5"/>
  <c r="F18" i="5"/>
  <c r="F90" i="5"/>
  <c r="F146" i="5"/>
  <c r="F33" i="5"/>
  <c r="F46" i="5"/>
  <c r="F210" i="5"/>
  <c r="F189" i="5"/>
  <c r="F208" i="5"/>
  <c r="F78" i="5"/>
  <c r="F28" i="5"/>
  <c r="F119" i="5"/>
  <c r="F258" i="5"/>
  <c r="F166" i="5"/>
  <c r="F227" i="5"/>
  <c r="F255" i="5"/>
  <c r="F168" i="5"/>
  <c r="F274" i="5"/>
  <c r="F123" i="5"/>
  <c r="F294" i="5"/>
  <c r="F267" i="5"/>
  <c r="F158" i="5"/>
  <c r="F106" i="5"/>
  <c r="F30" i="5"/>
  <c r="F69" i="5"/>
  <c r="F118" i="5"/>
  <c r="F138" i="5"/>
  <c r="F169" i="5"/>
  <c r="F262" i="5"/>
  <c r="F236" i="5"/>
  <c r="F256" i="5"/>
  <c r="F176" i="5"/>
  <c r="F32" i="5"/>
  <c r="F110" i="5"/>
  <c r="F239" i="5"/>
  <c r="F19" i="5"/>
  <c r="F122" i="5"/>
  <c r="F183" i="5"/>
  <c r="F281" i="5"/>
  <c r="F233" i="5"/>
  <c r="F143" i="5"/>
  <c r="F248" i="5"/>
  <c r="F40" i="5"/>
  <c r="F58" i="5"/>
  <c r="F287" i="5"/>
  <c r="C104" i="5"/>
  <c r="B127" i="5"/>
  <c r="C13" i="5"/>
  <c r="C15" i="5"/>
  <c r="E26" i="3"/>
  <c r="H26" i="3" s="1"/>
  <c r="D139" i="5"/>
  <c r="D107" i="5"/>
  <c r="D75" i="5"/>
  <c r="D43" i="5"/>
  <c r="D50" i="5"/>
  <c r="D18" i="5"/>
  <c r="D112" i="5"/>
  <c r="D164" i="5"/>
  <c r="D196" i="5"/>
  <c r="D228" i="5"/>
  <c r="D260" i="5"/>
  <c r="D288" i="5"/>
  <c r="D54" i="5"/>
  <c r="D86" i="5"/>
  <c r="D118" i="5"/>
  <c r="D150" i="5"/>
  <c r="D167" i="5"/>
  <c r="D183" i="5"/>
  <c r="D199" i="5"/>
  <c r="D215" i="5"/>
  <c r="D231" i="5"/>
  <c r="D247" i="5"/>
  <c r="D263" i="5"/>
  <c r="D279" i="5"/>
  <c r="D295" i="5"/>
  <c r="D141" i="5"/>
  <c r="D125" i="5"/>
  <c r="D109" i="5"/>
  <c r="D93" i="5"/>
  <c r="D77" i="5"/>
  <c r="D123" i="5"/>
  <c r="D91" i="5"/>
  <c r="D59" i="5"/>
  <c r="D27" i="5"/>
  <c r="D34" i="5"/>
  <c r="D80" i="5"/>
  <c r="D144" i="5"/>
  <c r="D180" i="5"/>
  <c r="D212" i="5"/>
  <c r="D244" i="5"/>
  <c r="D276" i="5"/>
  <c r="D296" i="5"/>
  <c r="D70" i="5"/>
  <c r="D102" i="5"/>
  <c r="D134" i="5"/>
  <c r="D159" i="5"/>
  <c r="D175" i="5"/>
  <c r="D191" i="5"/>
  <c r="D207" i="5"/>
  <c r="D223" i="5"/>
  <c r="D239" i="5"/>
  <c r="D255" i="5"/>
  <c r="D271" i="5"/>
  <c r="D287" i="5"/>
  <c r="D149" i="5"/>
  <c r="D133" i="5"/>
  <c r="D117" i="5"/>
  <c r="D101" i="5"/>
  <c r="D85" i="5"/>
  <c r="D69" i="5"/>
  <c r="D53" i="5"/>
  <c r="D37" i="5"/>
  <c r="D21" i="5"/>
  <c r="D44" i="5"/>
  <c r="D28" i="5"/>
  <c r="D52" i="5"/>
  <c r="D84" i="5"/>
  <c r="D116" i="5"/>
  <c r="D148" i="5"/>
  <c r="D166" i="5"/>
  <c r="D182" i="5"/>
  <c r="D198" i="5"/>
  <c r="D214" i="5"/>
  <c r="D230" i="5"/>
  <c r="D246" i="5"/>
  <c r="D262" i="5"/>
  <c r="D278" i="5"/>
  <c r="D294" i="5"/>
  <c r="D66" i="5"/>
  <c r="D98" i="5"/>
  <c r="D130" i="5"/>
  <c r="D157" i="5"/>
  <c r="D173" i="5"/>
  <c r="D189" i="5"/>
  <c r="D205" i="5"/>
  <c r="D221" i="5"/>
  <c r="D237" i="5"/>
  <c r="D253" i="5"/>
  <c r="D269" i="5"/>
  <c r="D285" i="5"/>
  <c r="D99" i="5"/>
  <c r="D35" i="5"/>
  <c r="D64" i="5"/>
  <c r="D172" i="5"/>
  <c r="D236" i="5"/>
  <c r="D292" i="5"/>
  <c r="D94" i="5"/>
  <c r="D155" i="5"/>
  <c r="D187" i="5"/>
  <c r="D219" i="5"/>
  <c r="D251" i="5"/>
  <c r="D283" i="5"/>
  <c r="D137" i="5"/>
  <c r="D105" i="5"/>
  <c r="D73" i="5"/>
  <c r="D49" i="5"/>
  <c r="D29" i="5"/>
  <c r="D48" i="5"/>
  <c r="D24" i="5"/>
  <c r="D68" i="5"/>
  <c r="D108" i="5"/>
  <c r="D154" i="5"/>
  <c r="D174" i="5"/>
  <c r="D194" i="5"/>
  <c r="D218" i="5"/>
  <c r="D238" i="5"/>
  <c r="D258" i="5"/>
  <c r="D282" i="5"/>
  <c r="D14" i="5"/>
  <c r="D90" i="5"/>
  <c r="D138" i="5"/>
  <c r="D165" i="5"/>
  <c r="D185" i="5"/>
  <c r="D209" i="5"/>
  <c r="D229" i="5"/>
  <c r="D249" i="5"/>
  <c r="D273" i="5"/>
  <c r="D293" i="5"/>
  <c r="D131" i="5"/>
  <c r="D67" i="5"/>
  <c r="D42" i="5"/>
  <c r="D128" i="5"/>
  <c r="D204" i="5"/>
  <c r="D268" i="5"/>
  <c r="D62" i="5"/>
  <c r="D126" i="5"/>
  <c r="D171" i="5"/>
  <c r="D203" i="5"/>
  <c r="D235" i="5"/>
  <c r="D267" i="5"/>
  <c r="D299" i="5"/>
  <c r="D121" i="5"/>
  <c r="D89" i="5"/>
  <c r="D61" i="5"/>
  <c r="D41" i="5"/>
  <c r="D17" i="5"/>
  <c r="D36" i="5"/>
  <c r="D16" i="5"/>
  <c r="D92" i="5"/>
  <c r="D132" i="5"/>
  <c r="D162" i="5"/>
  <c r="D186" i="5"/>
  <c r="D206" i="5"/>
  <c r="D226" i="5"/>
  <c r="D250" i="5"/>
  <c r="D270" i="5"/>
  <c r="D290" i="5"/>
  <c r="D74" i="5"/>
  <c r="D114" i="5"/>
  <c r="D153" i="5"/>
  <c r="D177" i="5"/>
  <c r="D197" i="5"/>
  <c r="D217" i="5"/>
  <c r="D241" i="5"/>
  <c r="D261" i="5"/>
  <c r="D281" i="5"/>
  <c r="D115" i="5"/>
  <c r="D51" i="5"/>
  <c r="D26" i="5"/>
  <c r="D156" i="5"/>
  <c r="D220" i="5"/>
  <c r="D284" i="5"/>
  <c r="D78" i="5"/>
  <c r="D142" i="5"/>
  <c r="D179" i="5"/>
  <c r="D211" i="5"/>
  <c r="D243" i="5"/>
  <c r="D275" i="5"/>
  <c r="D145" i="5"/>
  <c r="D113" i="5"/>
  <c r="D81" i="5"/>
  <c r="D57" i="5"/>
  <c r="D33" i="5"/>
  <c r="D13" i="5"/>
  <c r="D32" i="5"/>
  <c r="D60" i="5"/>
  <c r="D100" i="5"/>
  <c r="D140" i="5"/>
  <c r="D170" i="5"/>
  <c r="D190" i="5"/>
  <c r="D210" i="5"/>
  <c r="D234" i="5"/>
  <c r="D254" i="5"/>
  <c r="D274" i="5"/>
  <c r="D298" i="5"/>
  <c r="D82" i="5"/>
  <c r="D122" i="5"/>
  <c r="D161" i="5"/>
  <c r="D181" i="5"/>
  <c r="D201" i="5"/>
  <c r="D225" i="5"/>
  <c r="D245" i="5"/>
  <c r="D265" i="5"/>
  <c r="D289" i="5"/>
  <c r="D147" i="5"/>
  <c r="D188" i="5"/>
  <c r="D163" i="5"/>
  <c r="D291" i="5"/>
  <c r="D45" i="5"/>
  <c r="D76" i="5"/>
  <c r="D202" i="5"/>
  <c r="D286" i="5"/>
  <c r="D169" i="5"/>
  <c r="D257" i="5"/>
  <c r="D151" i="5"/>
  <c r="D30" i="5"/>
  <c r="D248" i="5"/>
  <c r="D129" i="5"/>
  <c r="D277" i="5"/>
  <c r="D79" i="5"/>
  <c r="D104" i="5"/>
  <c r="D224" i="5"/>
  <c r="D124" i="5"/>
  <c r="D47" i="5"/>
  <c r="D192" i="5"/>
  <c r="D19" i="5"/>
  <c r="D300" i="5"/>
  <c r="D227" i="5"/>
  <c r="D97" i="5"/>
  <c r="D40" i="5"/>
  <c r="D158" i="5"/>
  <c r="D242" i="5"/>
  <c r="D106" i="5"/>
  <c r="D213" i="5"/>
  <c r="D297" i="5"/>
  <c r="D135" i="5"/>
  <c r="D103" i="5"/>
  <c r="D71" i="5"/>
  <c r="D39" i="5"/>
  <c r="D46" i="5"/>
  <c r="D56" i="5"/>
  <c r="D120" i="5"/>
  <c r="D168" i="5"/>
  <c r="D200" i="5"/>
  <c r="D232" i="5"/>
  <c r="D264" i="5"/>
  <c r="D208" i="5"/>
  <c r="D119" i="5"/>
  <c r="D23" i="5"/>
  <c r="D152" i="5"/>
  <c r="D216" i="5"/>
  <c r="D83" i="5"/>
  <c r="D58" i="5"/>
  <c r="D143" i="5"/>
  <c r="D22" i="5"/>
  <c r="D256" i="5"/>
  <c r="D96" i="5"/>
  <c r="D110" i="5"/>
  <c r="D259" i="5"/>
  <c r="D65" i="5"/>
  <c r="D20" i="5"/>
  <c r="D178" i="5"/>
  <c r="D266" i="5"/>
  <c r="D146" i="5"/>
  <c r="D233" i="5"/>
  <c r="D127" i="5"/>
  <c r="D95" i="5"/>
  <c r="D63" i="5"/>
  <c r="D31" i="5"/>
  <c r="D38" i="5"/>
  <c r="D72" i="5"/>
  <c r="D136" i="5"/>
  <c r="D176" i="5"/>
  <c r="D240" i="5"/>
  <c r="D272" i="5"/>
  <c r="D87" i="5"/>
  <c r="D55" i="5"/>
  <c r="D88" i="5"/>
  <c r="D184" i="5"/>
  <c r="D280" i="5"/>
  <c r="D252" i="5"/>
  <c r="D195" i="5"/>
  <c r="D25" i="5"/>
  <c r="D222" i="5"/>
  <c r="D193" i="5"/>
  <c r="D111" i="5"/>
  <c r="D15" i="5"/>
  <c r="D160" i="5"/>
  <c r="E13" i="3"/>
  <c r="H13" i="3" s="1"/>
  <c r="E54" i="3"/>
  <c r="H54" i="3" s="1"/>
  <c r="E55" i="3"/>
  <c r="H55" i="3" s="1"/>
  <c r="H50" i="3"/>
  <c r="E25" i="3"/>
  <c r="H25" i="3" s="1"/>
  <c r="E24" i="3"/>
  <c r="H24" i="3" s="1"/>
  <c r="H18" i="3"/>
  <c r="E14" i="3"/>
  <c r="H14" i="3" s="1"/>
  <c r="E37" i="3"/>
  <c r="J17" i="5" l="1"/>
  <c r="J21" i="5"/>
  <c r="J16" i="5"/>
  <c r="J20" i="5"/>
  <c r="J19" i="5"/>
  <c r="J18" i="5"/>
  <c r="E302" i="5"/>
  <c r="E303" i="5" s="1"/>
  <c r="B302" i="5"/>
  <c r="B303" i="5" s="1"/>
  <c r="F302" i="5"/>
  <c r="F303" i="5" s="1"/>
  <c r="C302" i="5"/>
  <c r="C303" i="5" s="1"/>
  <c r="D302" i="5"/>
  <c r="D303" i="5" s="1"/>
  <c r="H60" i="3"/>
  <c r="E33" i="3"/>
  <c r="E34" i="3"/>
  <c r="H34" i="3" s="1"/>
  <c r="J302" i="5" l="1"/>
  <c r="J304" i="5" s="1"/>
  <c r="E20" i="3" s="1"/>
  <c r="G303" i="5"/>
  <c r="G16" i="1" s="1"/>
  <c r="D304" i="5" s="1"/>
  <c r="E10" i="3" s="1"/>
  <c r="H10" i="3" s="1"/>
  <c r="H33" i="3"/>
  <c r="E35" i="3"/>
  <c r="H35" i="3" s="1"/>
  <c r="E36" i="3"/>
  <c r="H36" i="3" s="1"/>
  <c r="H20" i="3" l="1"/>
  <c r="E23" i="3"/>
  <c r="H23" i="3" s="1"/>
  <c r="E30" i="3"/>
  <c r="B304" i="5"/>
  <c r="E8" i="3" s="1"/>
  <c r="H8" i="3" s="1"/>
  <c r="E304" i="5"/>
  <c r="E11" i="3" s="1"/>
  <c r="H11" i="3" s="1"/>
  <c r="F304" i="5"/>
  <c r="E12" i="3" s="1"/>
  <c r="H12" i="3" s="1"/>
  <c r="C304" i="5"/>
  <c r="E9" i="3" s="1"/>
  <c r="H9" i="3" s="1"/>
  <c r="H37" i="3"/>
  <c r="H30" i="3" l="1"/>
  <c r="H15" i="3"/>
  <c r="E15" i="3"/>
  <c r="J12" i="1" s="1"/>
  <c r="E40" i="3" l="1"/>
  <c r="H40" i="3" s="1"/>
  <c r="H41" i="3" s="1"/>
  <c r="H62" i="3" s="1"/>
  <c r="H68" i="3" s="1"/>
  <c r="H64" i="3"/>
  <c r="J18" i="1" s="1"/>
  <c r="J16" i="1" l="1"/>
  <c r="E41" i="3"/>
  <c r="H66" i="3"/>
  <c r="H69" i="3"/>
  <c r="H70" i="3" s="1"/>
</calcChain>
</file>

<file path=xl/sharedStrings.xml><?xml version="1.0" encoding="utf-8"?>
<sst xmlns="http://schemas.openxmlformats.org/spreadsheetml/2006/main" count="1823" uniqueCount="147">
  <si>
    <t xml:space="preserve">Cliente : </t>
  </si>
  <si>
    <t xml:space="preserve">Obra : </t>
  </si>
  <si>
    <t xml:space="preserve">Sistema : </t>
  </si>
  <si>
    <t xml:space="preserve">Orçamento nº : </t>
  </si>
  <si>
    <t>Levantamento</t>
  </si>
  <si>
    <t>Resumo</t>
  </si>
  <si>
    <t>Tabelas de Preços</t>
  </si>
  <si>
    <t>ORÇAMENTO - REDE DE DUTOS</t>
  </si>
  <si>
    <t xml:space="preserve">Norma : </t>
  </si>
  <si>
    <t xml:space="preserve">Folga - chapa : </t>
  </si>
  <si>
    <t>%</t>
  </si>
  <si>
    <t>ABNT</t>
  </si>
  <si>
    <t xml:space="preserve">Folga - isolamento : </t>
  </si>
  <si>
    <t xml:space="preserve">Folga - suportes : </t>
  </si>
  <si>
    <t>Chapa</t>
  </si>
  <si>
    <t># 26</t>
  </si>
  <si>
    <t># 24</t>
  </si>
  <si>
    <t># 22</t>
  </si>
  <si>
    <t># 20</t>
  </si>
  <si>
    <t># 18</t>
  </si>
  <si>
    <t>Peso (kg/m²)</t>
  </si>
  <si>
    <t>até</t>
  </si>
  <si>
    <t>acima de</t>
  </si>
  <si>
    <t>Isolamento</t>
  </si>
  <si>
    <t>Comprimento (m)</t>
  </si>
  <si>
    <t>L = Manta lã vidro</t>
  </si>
  <si>
    <t>I = Isopor</t>
  </si>
  <si>
    <t>P = Placa lã vidro</t>
  </si>
  <si>
    <t>T = Pintura</t>
  </si>
  <si>
    <t>S = sem isolamento</t>
  </si>
  <si>
    <t>Isolamento  Interno</t>
  </si>
  <si>
    <t>B = Bidim</t>
  </si>
  <si>
    <t>F = Flexiliner</t>
  </si>
  <si>
    <t>Flange</t>
  </si>
  <si>
    <t>P = Powermatic</t>
  </si>
  <si>
    <t>C = Cantoneira</t>
  </si>
  <si>
    <t>Lado Menor (cm)</t>
  </si>
  <si>
    <t>10,5 kg/m²</t>
  </si>
  <si>
    <t>(m²)</t>
  </si>
  <si>
    <t>4,5 kg/m²</t>
  </si>
  <si>
    <t>5,7 kg/m²</t>
  </si>
  <si>
    <t>6,8 kg/m²</t>
  </si>
  <si>
    <t>8,1 kg/m²</t>
  </si>
  <si>
    <t>S = sem isol.</t>
  </si>
  <si>
    <t>S = sem flange</t>
  </si>
  <si>
    <t>Manta</t>
  </si>
  <si>
    <t>lã de vidro</t>
  </si>
  <si>
    <t>Isopor</t>
  </si>
  <si>
    <t>Placa</t>
  </si>
  <si>
    <t>Bidim</t>
  </si>
  <si>
    <t>Flexiliner</t>
  </si>
  <si>
    <t>Pintura</t>
  </si>
  <si>
    <t>perimetro</t>
  </si>
  <si>
    <t>(m)</t>
  </si>
  <si>
    <t>Powermatic</t>
  </si>
  <si>
    <t>PW1</t>
  </si>
  <si>
    <t>espaçamento (m)</t>
  </si>
  <si>
    <t>cantoneira</t>
  </si>
  <si>
    <t>PW2</t>
  </si>
  <si>
    <t>Retorna</t>
  </si>
  <si>
    <t>V. 1.0 - junho/2000</t>
  </si>
  <si>
    <t>Rechapeado</t>
  </si>
  <si>
    <t>S = sim</t>
  </si>
  <si>
    <t>N = não</t>
  </si>
  <si>
    <t>espessura (mm)</t>
  </si>
  <si>
    <t>Pintura no Rechapeado</t>
  </si>
  <si>
    <t>kg</t>
  </si>
  <si>
    <t>m</t>
  </si>
  <si>
    <t>Chapas Galvanizadas</t>
  </si>
  <si>
    <t># 26 (rechapeamento)</t>
  </si>
  <si>
    <t># 26 (cantoneira)</t>
  </si>
  <si>
    <t>Unid.</t>
  </si>
  <si>
    <t>Qtde</t>
  </si>
  <si>
    <t>Preço unitário (R$)</t>
  </si>
  <si>
    <t>Preço total (R$)</t>
  </si>
  <si>
    <t>Isopor F1</t>
  </si>
  <si>
    <t>Manta lã de vidro</t>
  </si>
  <si>
    <t>Bidim OP-60</t>
  </si>
  <si>
    <t>Cola HI-17 ou Over-cola</t>
  </si>
  <si>
    <t>Frio Asfalto</t>
  </si>
  <si>
    <t>Fita de Nylon ½"</t>
  </si>
  <si>
    <t>Fecho p/ fita de nylon ½"</t>
  </si>
  <si>
    <t>Fita aluminizada</t>
  </si>
  <si>
    <t>m²</t>
  </si>
  <si>
    <t>gl</t>
  </si>
  <si>
    <t>bd</t>
  </si>
  <si>
    <t>pç</t>
  </si>
  <si>
    <t>Placa lã de vidro</t>
  </si>
  <si>
    <t>Tinta de fundo - Zarcão</t>
  </si>
  <si>
    <t>Tinta Acabamento</t>
  </si>
  <si>
    <t>Trincha / rolinho</t>
  </si>
  <si>
    <t>Tinner</t>
  </si>
  <si>
    <t>l</t>
  </si>
  <si>
    <t>Suportes</t>
  </si>
  <si>
    <t>Acessórios</t>
  </si>
  <si>
    <t>Spliters</t>
  </si>
  <si>
    <t>Captor c/ Haste Articulada</t>
  </si>
  <si>
    <t>Flanges</t>
  </si>
  <si>
    <t>Powermatic (PW2 leve)</t>
  </si>
  <si>
    <t>Powermatic (PW2)</t>
  </si>
  <si>
    <t>Cantos Powermatic</t>
  </si>
  <si>
    <t>Grampo Powermatic</t>
  </si>
  <si>
    <t>Rebite</t>
  </si>
  <si>
    <t>Fita Adesiva Powermatic</t>
  </si>
  <si>
    <t>Flange Cantoneira</t>
  </si>
  <si>
    <t>Flange em Fº Cantoneira</t>
  </si>
  <si>
    <t>Total Materiais</t>
  </si>
  <si>
    <t>Total Mão de Obra</t>
  </si>
  <si>
    <t>Total Geral</t>
  </si>
  <si>
    <t>Preço Materiais / kg</t>
  </si>
  <si>
    <t>Preço M. Obra / kg</t>
  </si>
  <si>
    <t>Preço Total / kg</t>
  </si>
  <si>
    <t>Material</t>
  </si>
  <si>
    <t>R$</t>
  </si>
  <si>
    <t>M. Obra</t>
  </si>
  <si>
    <t>---</t>
  </si>
  <si>
    <t xml:space="preserve">Valor M. O. /kg : </t>
  </si>
  <si>
    <t>(acima de 500 kg)</t>
  </si>
  <si>
    <t>Rechap</t>
  </si>
  <si>
    <t>Fita Plast</t>
  </si>
  <si>
    <t>manta</t>
  </si>
  <si>
    <t>isopor</t>
  </si>
  <si>
    <t>Selo</t>
  </si>
  <si>
    <t>(pç)</t>
  </si>
  <si>
    <t>placa</t>
  </si>
  <si>
    <t>fita Alum</t>
  </si>
  <si>
    <t>Canto</t>
  </si>
  <si>
    <t>Powerm</t>
  </si>
  <si>
    <t>Grampo</t>
  </si>
  <si>
    <t>Flange cant</t>
  </si>
  <si>
    <t>(acima 2,20 m)</t>
  </si>
  <si>
    <t>Cantoneira</t>
  </si>
  <si>
    <t>isopor # 26</t>
  </si>
  <si>
    <t>placa # 26</t>
  </si>
  <si>
    <t xml:space="preserve"> </t>
  </si>
  <si>
    <t>TAG</t>
  </si>
  <si>
    <t>Lado Maior (cm)</t>
  </si>
  <si>
    <t>ABNT                     (c/ reforço TR)</t>
  </si>
  <si>
    <t>V. 2.0 - agosto/2022</t>
  </si>
  <si>
    <t>ABNT (c/ reforço TR)</t>
  </si>
  <si>
    <t>Calculos</t>
  </si>
  <si>
    <t>ABNT v.2008</t>
  </si>
  <si>
    <t>ABNT                     (v.2008)</t>
  </si>
  <si>
    <t>CONSTRUCOMPANY</t>
  </si>
  <si>
    <t>PEDROSO DE MORAES</t>
  </si>
  <si>
    <t>23.31107PRC</t>
  </si>
  <si>
    <t>EXAUSTÃO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</si>
</sst>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_(* #,##0.0_);_(* \(#,##0.0\);_(* &quot;-&quot;?_);_(@_)"/>
  </numFmts>
  <fonts count="11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7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</cellStyleXfs>
  <cellXfs count="177">
    <xf numFmtId="0" fontId="0" fillId="0" borderId="0" xfId="0"/>
    <xf numFmtId="165" fontId="0" fillId="2" borderId="1" xfId="0" applyNumberFormat="1" applyFill="1" applyBorder="1" applyProtection="1">
      <protection locked="0"/>
    </xf>
    <xf numFmtId="3" fontId="0" fillId="2" borderId="1" xfId="0" applyNumberFormat="1" applyFill="1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166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66" fontId="0" fillId="0" borderId="3" xfId="0" applyNumberFormat="1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2" borderId="1" xfId="0" applyNumberFormat="1" applyFill="1" applyBorder="1" applyProtection="1">
      <protection locked="0"/>
    </xf>
    <xf numFmtId="0" fontId="5" fillId="2" borderId="0" xfId="1" applyFill="1" applyAlignment="1" applyProtection="1"/>
    <xf numFmtId="0" fontId="0" fillId="2" borderId="0" xfId="0" applyFill="1"/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" fillId="2" borderId="1" xfId="0" applyNumberFormat="1" applyFont="1" applyFill="1" applyBorder="1"/>
    <xf numFmtId="0" fontId="1" fillId="2" borderId="0" xfId="0" applyFont="1" applyFill="1"/>
    <xf numFmtId="166" fontId="1" fillId="2" borderId="3" xfId="0" applyNumberFormat="1" applyFont="1" applyFill="1" applyBorder="1"/>
    <xf numFmtId="0" fontId="1" fillId="2" borderId="1" xfId="0" quotePrefix="1" applyFont="1" applyFill="1" applyBorder="1" applyAlignment="1">
      <alignment horizontal="center"/>
    </xf>
    <xf numFmtId="166" fontId="1" fillId="2" borderId="3" xfId="0" quotePrefix="1" applyNumberFormat="1" applyFont="1" applyFill="1" applyBorder="1" applyAlignment="1">
      <alignment horizontal="center"/>
    </xf>
    <xf numFmtId="164" fontId="1" fillId="2" borderId="0" xfId="0" applyNumberFormat="1" applyFont="1" applyFill="1"/>
    <xf numFmtId="165" fontId="0" fillId="2" borderId="1" xfId="0" applyNumberFormat="1" applyFill="1" applyBorder="1"/>
    <xf numFmtId="0" fontId="2" fillId="3" borderId="0" xfId="0" applyFont="1" applyFill="1"/>
    <xf numFmtId="0" fontId="0" fillId="3" borderId="0" xfId="0" applyFill="1"/>
    <xf numFmtId="0" fontId="3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3" fillId="2" borderId="1" xfId="0" applyFont="1" applyFill="1" applyBorder="1"/>
    <xf numFmtId="0" fontId="3" fillId="3" borderId="0" xfId="0" applyFont="1" applyFill="1"/>
    <xf numFmtId="0" fontId="6" fillId="3" borderId="0" xfId="0" applyFont="1" applyFill="1"/>
    <xf numFmtId="0" fontId="0" fillId="3" borderId="0" xfId="0" applyFill="1" applyAlignment="1">
      <alignment horizontal="right"/>
    </xf>
    <xf numFmtId="4" fontId="3" fillId="2" borderId="1" xfId="0" applyNumberFormat="1" applyFont="1" applyFill="1" applyBorder="1"/>
    <xf numFmtId="4" fontId="3" fillId="3" borderId="0" xfId="0" applyNumberFormat="1" applyFont="1" applyFill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2" borderId="6" xfId="0" applyFill="1" applyBorder="1"/>
    <xf numFmtId="0" fontId="0" fillId="2" borderId="7" xfId="0" applyFill="1" applyBorder="1" applyAlignment="1">
      <alignment horizontal="right"/>
    </xf>
    <xf numFmtId="0" fontId="0" fillId="2" borderId="8" xfId="0" applyFill="1" applyBorder="1"/>
    <xf numFmtId="0" fontId="0" fillId="2" borderId="2" xfId="0" applyFill="1" applyBorder="1"/>
    <xf numFmtId="0" fontId="0" fillId="2" borderId="9" xfId="0" applyFill="1" applyBorder="1" applyAlignment="1">
      <alignment horizontal="right"/>
    </xf>
    <xf numFmtId="0" fontId="0" fillId="2" borderId="10" xfId="0" applyFill="1" applyBorder="1"/>
    <xf numFmtId="0" fontId="0" fillId="2" borderId="3" xfId="0" applyFill="1" applyBorder="1"/>
    <xf numFmtId="0" fontId="0" fillId="2" borderId="11" xfId="0" applyFill="1" applyBorder="1" applyAlignment="1">
      <alignment horizontal="right"/>
    </xf>
    <xf numFmtId="0" fontId="0" fillId="2" borderId="12" xfId="0" applyFill="1" applyBorder="1"/>
    <xf numFmtId="0" fontId="3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7" xfId="0" applyBorder="1"/>
    <xf numFmtId="0" fontId="0" fillId="0" borderId="13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0" fontId="0" fillId="0" borderId="14" xfId="0" applyBorder="1"/>
    <xf numFmtId="0" fontId="0" fillId="0" borderId="12" xfId="0" applyBorder="1"/>
    <xf numFmtId="0" fontId="0" fillId="0" borderId="3" xfId="0" applyBorder="1"/>
    <xf numFmtId="0" fontId="0" fillId="0" borderId="1" xfId="0" applyBorder="1"/>
    <xf numFmtId="0" fontId="3" fillId="0" borderId="6" xfId="0" applyFont="1" applyBorder="1" applyAlignment="1">
      <alignment horizontal="center" wrapText="1"/>
    </xf>
    <xf numFmtId="0" fontId="4" fillId="2" borderId="2" xfId="0" applyFont="1" applyFill="1" applyBorder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right"/>
    </xf>
    <xf numFmtId="4" fontId="0" fillId="4" borderId="2" xfId="0" applyNumberFormat="1" applyFill="1" applyBorder="1" applyProtection="1">
      <protection locked="0"/>
    </xf>
    <xf numFmtId="0" fontId="4" fillId="4" borderId="2" xfId="0" applyFont="1" applyFill="1" applyBorder="1" applyProtection="1">
      <protection locked="0"/>
    </xf>
    <xf numFmtId="4" fontId="8" fillId="4" borderId="2" xfId="0" applyNumberFormat="1" applyFont="1" applyFill="1" applyBorder="1" applyProtection="1">
      <protection locked="0"/>
    </xf>
    <xf numFmtId="0" fontId="4" fillId="4" borderId="6" xfId="0" applyFont="1" applyFill="1" applyBorder="1" applyProtection="1"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4" fillId="4" borderId="3" xfId="0" applyFont="1" applyFill="1" applyBorder="1" applyProtection="1">
      <protection locked="0"/>
    </xf>
    <xf numFmtId="0" fontId="0" fillId="4" borderId="0" xfId="0" applyFill="1"/>
    <xf numFmtId="0" fontId="3" fillId="0" borderId="1" xfId="0" applyFont="1" applyBorder="1" applyAlignment="1">
      <alignment horizontal="center" wrapText="1"/>
    </xf>
    <xf numFmtId="4" fontId="0" fillId="4" borderId="2" xfId="0" applyNumberFormat="1" applyFill="1" applyBorder="1" applyAlignment="1" applyProtection="1">
      <alignment horizontal="right"/>
      <protection locked="0"/>
    </xf>
    <xf numFmtId="0" fontId="4" fillId="4" borderId="9" xfId="0" applyFont="1" applyFill="1" applyBorder="1" applyProtection="1">
      <protection locked="0"/>
    </xf>
    <xf numFmtId="4" fontId="0" fillId="4" borderId="10" xfId="0" applyNumberFormat="1" applyFill="1" applyBorder="1" applyProtection="1">
      <protection locked="0"/>
    </xf>
    <xf numFmtId="4" fontId="0" fillId="4" borderId="0" xfId="0" applyNumberFormat="1" applyFill="1" applyProtection="1">
      <protection locked="0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8" xfId="0" applyFont="1" applyFill="1" applyBorder="1"/>
    <xf numFmtId="0" fontId="4" fillId="4" borderId="10" xfId="0" applyFont="1" applyFill="1" applyBorder="1" applyProtection="1">
      <protection locked="0"/>
    </xf>
    <xf numFmtId="0" fontId="4" fillId="4" borderId="0" xfId="0" applyFont="1" applyFill="1" applyProtection="1">
      <protection locked="0"/>
    </xf>
    <xf numFmtId="4" fontId="0" fillId="4" borderId="0" xfId="0" applyNumberFormat="1" applyFill="1" applyAlignment="1" applyProtection="1">
      <alignment horizontal="right"/>
      <protection locked="0"/>
    </xf>
    <xf numFmtId="4" fontId="8" fillId="4" borderId="0" xfId="0" applyNumberFormat="1" applyFont="1" applyFill="1" applyProtection="1">
      <protection locked="0"/>
    </xf>
    <xf numFmtId="0" fontId="3" fillId="0" borderId="14" xfId="0" applyFont="1" applyBorder="1" applyAlignment="1">
      <alignment horizontal="right"/>
    </xf>
    <xf numFmtId="4" fontId="0" fillId="4" borderId="8" xfId="0" applyNumberFormat="1" applyFill="1" applyBorder="1" applyAlignment="1" applyProtection="1">
      <alignment horizontal="right"/>
      <protection locked="0"/>
    </xf>
    <xf numFmtId="4" fontId="0" fillId="4" borderId="10" xfId="0" applyNumberFormat="1" applyFill="1" applyBorder="1" applyAlignment="1" applyProtection="1">
      <alignment horizontal="right"/>
      <protection locked="0"/>
    </xf>
    <xf numFmtId="4" fontId="8" fillId="4" borderId="10" xfId="0" applyNumberFormat="1" applyFont="1" applyFill="1" applyBorder="1" applyProtection="1">
      <protection locked="0"/>
    </xf>
    <xf numFmtId="0" fontId="1" fillId="4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8" fillId="3" borderId="0" xfId="0" applyFont="1" applyFill="1"/>
    <xf numFmtId="0" fontId="3" fillId="3" borderId="0" xfId="0" applyFont="1" applyFill="1" applyAlignment="1">
      <alignment horizontal="left"/>
    </xf>
    <xf numFmtId="0" fontId="7" fillId="3" borderId="15" xfId="1" applyFont="1" applyFill="1" applyBorder="1" applyAlignment="1" applyProtection="1">
      <alignment horizontal="center" vertical="center"/>
    </xf>
    <xf numFmtId="0" fontId="7" fillId="3" borderId="16" xfId="1" applyFont="1" applyFill="1" applyBorder="1" applyAlignment="1" applyProtection="1">
      <alignment horizontal="center" vertical="center"/>
    </xf>
    <xf numFmtId="0" fontId="7" fillId="3" borderId="17" xfId="1" applyFont="1" applyFill="1" applyBorder="1" applyAlignment="1" applyProtection="1">
      <alignment horizontal="center" vertical="center"/>
    </xf>
    <xf numFmtId="0" fontId="7" fillId="3" borderId="10" xfId="1" applyFont="1" applyFill="1" applyBorder="1" applyAlignment="1" applyProtection="1">
      <alignment horizontal="center" vertical="center"/>
    </xf>
    <xf numFmtId="0" fontId="7" fillId="3" borderId="18" xfId="1" applyFont="1" applyFill="1" applyBorder="1" applyAlignment="1" applyProtection="1">
      <alignment horizontal="center" vertical="center"/>
    </xf>
    <xf numFmtId="0" fontId="7" fillId="3" borderId="12" xfId="1" applyFont="1" applyFill="1" applyBorder="1" applyAlignment="1" applyProtection="1">
      <alignment horizontal="center" vertical="center"/>
    </xf>
    <xf numFmtId="0" fontId="1" fillId="0" borderId="7" xfId="0" applyFont="1" applyBorder="1" applyProtection="1">
      <protection locked="0"/>
    </xf>
    <xf numFmtId="0" fontId="1" fillId="0" borderId="13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1" fillId="0" borderId="9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10" xfId="0" applyFont="1" applyBorder="1" applyProtection="1">
      <protection locked="0"/>
    </xf>
    <xf numFmtId="0" fontId="1" fillId="0" borderId="11" xfId="0" applyFont="1" applyBorder="1" applyProtection="1">
      <protection locked="0"/>
    </xf>
    <xf numFmtId="0" fontId="1" fillId="0" borderId="14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1" fillId="3" borderId="0" xfId="0" applyFont="1" applyFill="1" applyAlignment="1">
      <alignment horizontal="right"/>
    </xf>
    <xf numFmtId="0" fontId="3" fillId="0" borderId="7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14" xfId="0" applyFont="1" applyBorder="1"/>
    <xf numFmtId="0" fontId="1" fillId="0" borderId="12" xfId="0" applyFont="1" applyBorder="1"/>
    <xf numFmtId="0" fontId="5" fillId="0" borderId="14" xfId="1" applyBorder="1" applyAlignment="1" applyProtection="1">
      <alignment horizontal="center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164" fontId="0" fillId="0" borderId="11" xfId="0" applyNumberFormat="1" applyBorder="1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/>
      <protection locked="0"/>
    </xf>
    <xf numFmtId="164" fontId="0" fillId="0" borderId="10" xfId="0" applyNumberForma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5" fillId="2" borderId="14" xfId="1" applyFill="1" applyBorder="1" applyAlignment="1" applyProtection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164" fontId="0" fillId="0" borderId="2" xfId="0" applyNumberFormat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8" xfId="0" applyNumberFormat="1" applyBorder="1" applyAlignment="1" applyProtection="1">
      <alignment horizontal="center"/>
      <protection locked="0"/>
    </xf>
    <xf numFmtId="0" fontId="5" fillId="0" borderId="0" xfId="1" applyAlignment="1" applyProtection="1">
      <alignment horizontal="center"/>
    </xf>
  </cellXfs>
  <cellStyles count="3">
    <cellStyle name="Hyperlink" xfId="1" builtinId="8"/>
    <cellStyle name="Hyperlink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2"/>
  <sheetViews>
    <sheetView tabSelected="1" workbookViewId="0">
      <selection activeCell="E40" sqref="E40"/>
    </sheetView>
  </sheetViews>
  <sheetFormatPr defaultRowHeight="12.75" x14ac:dyDescent="0.2"/>
  <cols>
    <col min="1" max="1" width="2.42578125" style="24" customWidth="1"/>
    <col min="2" max="5" width="9.140625" style="24"/>
    <col min="6" max="6" width="10.7109375" style="24" customWidth="1"/>
    <col min="7" max="7" width="6.7109375" style="24" bestFit="1" customWidth="1"/>
    <col min="8" max="8" width="10.7109375" style="24" customWidth="1"/>
    <col min="9" max="9" width="8" style="24" customWidth="1"/>
    <col min="10" max="10" width="10.140625" style="24" bestFit="1" customWidth="1"/>
    <col min="11" max="16384" width="9.140625" style="24"/>
  </cols>
  <sheetData>
    <row r="2" spans="2:12" ht="20.25" x14ac:dyDescent="0.3">
      <c r="B2" s="23"/>
      <c r="C2" s="23" t="s">
        <v>7</v>
      </c>
    </row>
    <row r="3" spans="2:12" x14ac:dyDescent="0.2">
      <c r="I3" s="25" t="s">
        <v>60</v>
      </c>
    </row>
    <row r="4" spans="2:12" x14ac:dyDescent="0.2">
      <c r="I4" s="25" t="s">
        <v>138</v>
      </c>
    </row>
    <row r="6" spans="2:12" x14ac:dyDescent="0.2">
      <c r="B6" s="117" t="s">
        <v>0</v>
      </c>
      <c r="C6" s="117"/>
      <c r="D6" s="108" t="s">
        <v>143</v>
      </c>
      <c r="E6" s="109"/>
      <c r="F6" s="109"/>
      <c r="G6" s="109"/>
      <c r="H6" s="109"/>
      <c r="I6" s="110"/>
    </row>
    <row r="7" spans="2:12" x14ac:dyDescent="0.2">
      <c r="B7" s="117" t="s">
        <v>1</v>
      </c>
      <c r="C7" s="117"/>
      <c r="D7" s="111" t="s">
        <v>144</v>
      </c>
      <c r="E7" s="112"/>
      <c r="F7" s="112"/>
      <c r="G7" s="112"/>
      <c r="H7" s="112"/>
      <c r="I7" s="113"/>
    </row>
    <row r="8" spans="2:12" x14ac:dyDescent="0.2">
      <c r="B8" s="117" t="s">
        <v>2</v>
      </c>
      <c r="C8" s="117"/>
      <c r="D8" s="111" t="s">
        <v>146</v>
      </c>
      <c r="E8" s="112"/>
      <c r="F8" s="112"/>
      <c r="G8" s="112"/>
      <c r="H8" s="112"/>
      <c r="I8" s="113"/>
    </row>
    <row r="9" spans="2:12" x14ac:dyDescent="0.2">
      <c r="B9" s="117" t="s">
        <v>3</v>
      </c>
      <c r="C9" s="117"/>
      <c r="D9" s="114" t="s">
        <v>145</v>
      </c>
      <c r="E9" s="115"/>
      <c r="F9" s="115"/>
      <c r="G9" s="115"/>
      <c r="H9" s="115"/>
      <c r="I9" s="116"/>
    </row>
    <row r="11" spans="2:12" ht="5.25" customHeight="1" x14ac:dyDescent="0.2">
      <c r="C11" s="102" t="s">
        <v>4</v>
      </c>
      <c r="D11" s="103"/>
    </row>
    <row r="12" spans="2:12" x14ac:dyDescent="0.2">
      <c r="C12" s="104"/>
      <c r="D12" s="105"/>
      <c r="F12" s="27" t="s">
        <v>8</v>
      </c>
      <c r="G12" s="2">
        <v>1</v>
      </c>
      <c r="H12" s="101" t="str">
        <f>IF(G12&lt;&gt;"",(VLOOKUP(G12,norma,2,FALSE)),"")</f>
        <v>ABNT</v>
      </c>
      <c r="J12" s="28">
        <f>Resumo!$E$15</f>
        <v>27</v>
      </c>
      <c r="K12" s="24" t="s">
        <v>66</v>
      </c>
    </row>
    <row r="13" spans="2:12" ht="5.25" customHeight="1" x14ac:dyDescent="0.2">
      <c r="C13" s="106"/>
      <c r="D13" s="107"/>
      <c r="J13" s="29"/>
    </row>
    <row r="14" spans="2:12" x14ac:dyDescent="0.2">
      <c r="C14" s="27"/>
      <c r="D14" s="27"/>
      <c r="F14" s="26" t="s">
        <v>116</v>
      </c>
      <c r="G14" s="9">
        <v>18</v>
      </c>
      <c r="H14" s="30" t="s">
        <v>117</v>
      </c>
      <c r="J14" s="29"/>
      <c r="L14" s="27"/>
    </row>
    <row r="15" spans="2:12" ht="5.25" customHeight="1" x14ac:dyDescent="0.2">
      <c r="C15" s="102" t="s">
        <v>5</v>
      </c>
      <c r="D15" s="103"/>
      <c r="J15" s="29"/>
    </row>
    <row r="16" spans="2:12" x14ac:dyDescent="0.2">
      <c r="C16" s="104"/>
      <c r="D16" s="105"/>
      <c r="F16" s="26" t="s">
        <v>9</v>
      </c>
      <c r="G16" s="22">
        <f>IF(Calculos!$G$303&gt;10000,15,20)</f>
        <v>20</v>
      </c>
      <c r="H16" s="27" t="s">
        <v>10</v>
      </c>
      <c r="I16" s="31" t="s">
        <v>113</v>
      </c>
      <c r="J16" s="32">
        <f>Resumo!$H$62</f>
        <v>564</v>
      </c>
      <c r="K16" s="24" t="s">
        <v>112</v>
      </c>
    </row>
    <row r="17" spans="3:11" ht="5.25" customHeight="1" x14ac:dyDescent="0.2">
      <c r="C17" s="106"/>
      <c r="D17" s="107"/>
      <c r="J17" s="33"/>
    </row>
    <row r="18" spans="3:11" x14ac:dyDescent="0.2">
      <c r="C18" s="27"/>
      <c r="D18" s="27"/>
      <c r="I18" s="31" t="s">
        <v>113</v>
      </c>
      <c r="J18" s="32">
        <f>Resumo!$H$64</f>
        <v>972</v>
      </c>
      <c r="K18" s="24" t="s">
        <v>114</v>
      </c>
    </row>
    <row r="19" spans="3:11" ht="5.25" customHeight="1" x14ac:dyDescent="0.2">
      <c r="C19" s="102" t="s">
        <v>140</v>
      </c>
      <c r="D19" s="103"/>
    </row>
    <row r="20" spans="3:11" x14ac:dyDescent="0.2">
      <c r="C20" s="104"/>
      <c r="D20" s="105"/>
      <c r="F20" s="26" t="s">
        <v>12</v>
      </c>
      <c r="G20" s="1">
        <v>15</v>
      </c>
      <c r="H20" s="27" t="s">
        <v>10</v>
      </c>
    </row>
    <row r="21" spans="3:11" ht="5.25" customHeight="1" x14ac:dyDescent="0.2">
      <c r="C21" s="106"/>
      <c r="D21" s="107"/>
    </row>
    <row r="22" spans="3:11" x14ac:dyDescent="0.2">
      <c r="C22" s="27"/>
      <c r="D22" s="27"/>
    </row>
    <row r="23" spans="3:11" ht="5.25" customHeight="1" x14ac:dyDescent="0.2">
      <c r="C23" s="102" t="s">
        <v>6</v>
      </c>
      <c r="D23" s="103"/>
    </row>
    <row r="24" spans="3:11" x14ac:dyDescent="0.2">
      <c r="C24" s="104"/>
      <c r="D24" s="105"/>
      <c r="F24" s="26" t="s">
        <v>13</v>
      </c>
      <c r="G24" s="1">
        <v>30</v>
      </c>
      <c r="H24" s="27" t="s">
        <v>10</v>
      </c>
    </row>
    <row r="25" spans="3:11" ht="5.25" customHeight="1" x14ac:dyDescent="0.2">
      <c r="C25" s="106"/>
      <c r="D25" s="107"/>
    </row>
    <row r="90" spans="1:2" x14ac:dyDescent="0.2">
      <c r="A90" s="24">
        <v>1</v>
      </c>
      <c r="B90" s="24" t="s">
        <v>11</v>
      </c>
    </row>
    <row r="91" spans="1:2" x14ac:dyDescent="0.2">
      <c r="A91" s="24">
        <v>2</v>
      </c>
      <c r="B91" s="100" t="s">
        <v>141</v>
      </c>
    </row>
    <row r="92" spans="1:2" x14ac:dyDescent="0.2">
      <c r="A92" s="24">
        <v>3</v>
      </c>
      <c r="B92" s="24" t="s">
        <v>139</v>
      </c>
    </row>
  </sheetData>
  <sheetProtection sheet="1" objects="1" scenarios="1"/>
  <mergeCells count="12">
    <mergeCell ref="C23:D25"/>
    <mergeCell ref="C11:D13"/>
    <mergeCell ref="C15:D17"/>
    <mergeCell ref="C19:D21"/>
    <mergeCell ref="D6:I6"/>
    <mergeCell ref="D7:I7"/>
    <mergeCell ref="D8:I8"/>
    <mergeCell ref="D9:I9"/>
    <mergeCell ref="B6:C6"/>
    <mergeCell ref="B7:C7"/>
    <mergeCell ref="B8:C8"/>
    <mergeCell ref="B9:C9"/>
  </mergeCells>
  <phoneticPr fontId="0" type="noConversion"/>
  <dataValidations xWindow="416" yWindow="320" count="1">
    <dataValidation type="list" allowBlank="1" showInputMessage="1" showErrorMessage="1" errorTitle="Entrada incorreta..." error="Escolha uma opção válida..." promptTitle="Entrada de Dados" prompt="Escolha a opção:_x000a_1 = ABNT (antigo)_x000a_2 = ABNT v.2008 _x000a_3 = ABNT c/ reforço TR_x000a_" sqref="G12" xr:uid="{00000000-0002-0000-0000-000000000000}">
      <formula1>$A$90:$A$93</formula1>
    </dataValidation>
  </dataValidations>
  <hyperlinks>
    <hyperlink ref="C11:D13" location="'Levantamento dutos'!A1" display="Levantamento" xr:uid="{00000000-0004-0000-0000-000000000000}"/>
    <hyperlink ref="C15:D17" location="Resumo!B1" display="Resumo" xr:uid="{00000000-0004-0000-0000-000001000000}"/>
    <hyperlink ref="C23:D25" location="Tab_Precos!B1" display="Tabelas de Preços" xr:uid="{00000000-0004-0000-0000-000002000000}"/>
    <hyperlink ref="C19:D21" location="Calculos!B1" display="Calculos" xr:uid="{E82FF0F1-D23A-4A6F-A4B4-B1210EC420CA}"/>
  </hyperlink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55"/>
  <sheetViews>
    <sheetView showGridLines="0" zoomScale="90" zoomScaleNormal="100" workbookViewId="0">
      <selection activeCell="D13" sqref="D13"/>
    </sheetView>
  </sheetViews>
  <sheetFormatPr defaultRowHeight="12.75" x14ac:dyDescent="0.2"/>
  <cols>
    <col min="1" max="1" width="20.5703125" customWidth="1"/>
    <col min="2" max="2" width="8.85546875" customWidth="1"/>
    <col min="4" max="4" width="12.140625" customWidth="1"/>
    <col min="5" max="5" width="15.28515625" bestFit="1" customWidth="1"/>
    <col min="6" max="6" width="10.7109375" customWidth="1"/>
    <col min="7" max="7" width="16.42578125" bestFit="1" customWidth="1"/>
    <col min="8" max="8" width="14.5703125" customWidth="1"/>
    <col min="9" max="9" width="13.85546875" customWidth="1"/>
  </cols>
  <sheetData>
    <row r="1" spans="1:14" x14ac:dyDescent="0.2">
      <c r="B1" s="131" t="s">
        <v>59</v>
      </c>
      <c r="C1" s="131"/>
      <c r="D1" s="62"/>
      <c r="E1" s="62"/>
      <c r="F1" s="62"/>
      <c r="G1" s="62"/>
      <c r="H1" s="91" t="str">
        <f>Principal!I4</f>
        <v>V. 2.0 - agosto/2022</v>
      </c>
      <c r="I1" s="62"/>
    </row>
    <row r="2" spans="1:14" x14ac:dyDescent="0.2">
      <c r="B2" s="134" t="s">
        <v>0</v>
      </c>
      <c r="C2" s="135"/>
      <c r="D2" s="109" t="str">
        <f>Principal!D6</f>
        <v>CONSTRUCOMPANY</v>
      </c>
      <c r="E2" s="109"/>
      <c r="F2" s="109"/>
      <c r="G2" s="109"/>
      <c r="H2" s="109"/>
      <c r="I2" s="110"/>
    </row>
    <row r="3" spans="1:14" x14ac:dyDescent="0.2">
      <c r="B3" s="132" t="s">
        <v>1</v>
      </c>
      <c r="C3" s="133"/>
      <c r="D3" s="111" t="str">
        <f>Principal!D7</f>
        <v>PEDROSO DE MORAES</v>
      </c>
      <c r="E3" s="112"/>
      <c r="F3" s="112"/>
      <c r="G3" s="112"/>
      <c r="H3" s="112"/>
      <c r="I3" s="113"/>
    </row>
    <row r="4" spans="1:14" x14ac:dyDescent="0.2">
      <c r="B4" s="132" t="s">
        <v>2</v>
      </c>
      <c r="C4" s="133"/>
      <c r="D4" s="111" t="str">
        <f>Principal!D8</f>
        <v>EXAUSTÃO</v>
      </c>
      <c r="E4" s="112"/>
      <c r="F4" s="112"/>
      <c r="G4" s="112"/>
      <c r="H4" s="112"/>
      <c r="I4" s="113"/>
    </row>
    <row r="5" spans="1:14" x14ac:dyDescent="0.2">
      <c r="B5" s="126" t="s">
        <v>3</v>
      </c>
      <c r="C5" s="127"/>
      <c r="D5" s="128" t="str">
        <f>IF(Principal!D9&lt;&gt;"",Principal!D9,"")</f>
        <v>23.31107PRC</v>
      </c>
      <c r="E5" s="129"/>
      <c r="F5" s="129"/>
      <c r="G5" s="129"/>
      <c r="H5" s="129"/>
      <c r="I5" s="130"/>
    </row>
    <row r="6" spans="1:14" ht="7.5" customHeight="1" x14ac:dyDescent="0.2">
      <c r="E6" s="79"/>
    </row>
    <row r="7" spans="1:14" s="68" customFormat="1" ht="22.5" x14ac:dyDescent="0.2">
      <c r="A7" s="118" t="s">
        <v>135</v>
      </c>
      <c r="B7" s="120" t="s">
        <v>136</v>
      </c>
      <c r="C7" s="123" t="s">
        <v>36</v>
      </c>
      <c r="D7" s="120" t="s">
        <v>24</v>
      </c>
      <c r="E7" s="67" t="s">
        <v>25</v>
      </c>
      <c r="F7" s="66" t="s">
        <v>30</v>
      </c>
      <c r="G7" s="66" t="s">
        <v>33</v>
      </c>
      <c r="H7" s="66" t="s">
        <v>61</v>
      </c>
      <c r="I7" s="66" t="s">
        <v>65</v>
      </c>
    </row>
    <row r="8" spans="1:14" s="69" customFormat="1" ht="11.25" x14ac:dyDescent="0.2">
      <c r="A8" s="119"/>
      <c r="B8" s="121"/>
      <c r="C8" s="124"/>
      <c r="D8" s="121"/>
      <c r="E8" s="67" t="s">
        <v>26</v>
      </c>
      <c r="F8" s="67" t="s">
        <v>31</v>
      </c>
      <c r="G8" s="67" t="s">
        <v>34</v>
      </c>
      <c r="H8" s="67" t="s">
        <v>62</v>
      </c>
      <c r="I8" s="67" t="s">
        <v>62</v>
      </c>
    </row>
    <row r="9" spans="1:14" s="69" customFormat="1" x14ac:dyDescent="0.2">
      <c r="A9" s="119"/>
      <c r="B9" s="121"/>
      <c r="C9" s="124"/>
      <c r="D9" s="121"/>
      <c r="E9" s="67" t="s">
        <v>27</v>
      </c>
      <c r="F9" s="67" t="s">
        <v>32</v>
      </c>
      <c r="G9" s="67" t="s">
        <v>35</v>
      </c>
      <c r="H9" s="67" t="s">
        <v>63</v>
      </c>
      <c r="I9" s="67" t="s">
        <v>63</v>
      </c>
      <c r="J9"/>
      <c r="K9"/>
      <c r="L9"/>
      <c r="M9"/>
      <c r="N9"/>
    </row>
    <row r="10" spans="1:14" s="69" customFormat="1" x14ac:dyDescent="0.2">
      <c r="A10" s="119"/>
      <c r="B10" s="121"/>
      <c r="C10" s="124"/>
      <c r="D10" s="121"/>
      <c r="E10" s="67" t="s">
        <v>28</v>
      </c>
      <c r="F10" s="67" t="s">
        <v>43</v>
      </c>
      <c r="G10" s="67" t="s">
        <v>44</v>
      </c>
      <c r="H10" s="67"/>
      <c r="I10" s="67"/>
      <c r="J10"/>
      <c r="K10"/>
      <c r="L10"/>
      <c r="M10"/>
      <c r="N10"/>
    </row>
    <row r="11" spans="1:14" s="69" customFormat="1" x14ac:dyDescent="0.2">
      <c r="A11" s="119"/>
      <c r="B11" s="121"/>
      <c r="C11" s="124"/>
      <c r="D11" s="121"/>
      <c r="E11" s="70" t="s">
        <v>64</v>
      </c>
      <c r="F11" s="67"/>
      <c r="G11" s="70" t="s">
        <v>56</v>
      </c>
      <c r="H11" s="70" t="s">
        <v>64</v>
      </c>
      <c r="I11" s="70"/>
      <c r="J11"/>
      <c r="K11"/>
      <c r="L11"/>
      <c r="M11"/>
      <c r="N11"/>
    </row>
    <row r="12" spans="1:14" s="69" customFormat="1" x14ac:dyDescent="0.2">
      <c r="A12" s="119"/>
      <c r="B12" s="122"/>
      <c r="C12" s="125"/>
      <c r="D12" s="122"/>
      <c r="E12" s="76">
        <v>25</v>
      </c>
      <c r="F12" s="67"/>
      <c r="G12" s="76">
        <v>1</v>
      </c>
      <c r="H12" s="70">
        <f>E12</f>
        <v>25</v>
      </c>
      <c r="I12" s="70"/>
      <c r="J12"/>
      <c r="K12"/>
      <c r="L12"/>
      <c r="M12"/>
      <c r="N12"/>
    </row>
    <row r="13" spans="1:14" x14ac:dyDescent="0.2">
      <c r="A13" s="98"/>
      <c r="B13" s="92">
        <v>40</v>
      </c>
      <c r="C13" s="89">
        <v>25</v>
      </c>
      <c r="D13" s="80">
        <v>3</v>
      </c>
      <c r="E13" s="86" t="s">
        <v>29</v>
      </c>
      <c r="F13" s="75" t="s">
        <v>43</v>
      </c>
      <c r="G13" s="75" t="s">
        <v>34</v>
      </c>
      <c r="H13" s="75" t="s">
        <v>63</v>
      </c>
      <c r="I13" s="75" t="s">
        <v>63</v>
      </c>
    </row>
    <row r="14" spans="1:14" x14ac:dyDescent="0.2">
      <c r="A14" s="95"/>
      <c r="B14" s="93"/>
      <c r="C14" s="89"/>
      <c r="D14" s="80"/>
      <c r="E14" s="87" t="s">
        <v>29</v>
      </c>
      <c r="F14" s="73" t="s">
        <v>43</v>
      </c>
      <c r="G14" s="73" t="s">
        <v>34</v>
      </c>
      <c r="H14" s="73" t="s">
        <v>63</v>
      </c>
      <c r="I14" s="73" t="s">
        <v>63</v>
      </c>
    </row>
    <row r="15" spans="1:14" x14ac:dyDescent="0.2">
      <c r="A15" s="95"/>
      <c r="B15" s="93"/>
      <c r="C15" s="89"/>
      <c r="D15" s="80"/>
      <c r="E15" s="87" t="s">
        <v>29</v>
      </c>
      <c r="F15" s="73" t="s">
        <v>43</v>
      </c>
      <c r="G15" s="73" t="s">
        <v>34</v>
      </c>
      <c r="H15" s="73" t="s">
        <v>63</v>
      </c>
      <c r="I15" s="73" t="s">
        <v>63</v>
      </c>
    </row>
    <row r="16" spans="1:14" x14ac:dyDescent="0.2">
      <c r="A16" s="95"/>
      <c r="B16" s="93"/>
      <c r="C16" s="89"/>
      <c r="D16" s="80"/>
      <c r="E16" s="87" t="s">
        <v>29</v>
      </c>
      <c r="F16" s="73" t="s">
        <v>43</v>
      </c>
      <c r="G16" s="73" t="s">
        <v>34</v>
      </c>
      <c r="H16" s="73" t="s">
        <v>63</v>
      </c>
      <c r="I16" s="73" t="s">
        <v>63</v>
      </c>
    </row>
    <row r="17" spans="1:14" x14ac:dyDescent="0.2">
      <c r="A17" s="95"/>
      <c r="B17" s="82"/>
      <c r="C17" s="72"/>
      <c r="D17" s="72"/>
      <c r="E17" s="73" t="s">
        <v>29</v>
      </c>
      <c r="F17" s="73" t="s">
        <v>43</v>
      </c>
      <c r="G17" s="73" t="s">
        <v>34</v>
      </c>
      <c r="H17" s="73" t="s">
        <v>63</v>
      </c>
      <c r="I17" s="87" t="s">
        <v>63</v>
      </c>
    </row>
    <row r="18" spans="1:14" x14ac:dyDescent="0.2">
      <c r="A18" s="99"/>
      <c r="B18" s="72"/>
      <c r="C18" s="72"/>
      <c r="D18" s="72"/>
      <c r="E18" s="73" t="s">
        <v>29</v>
      </c>
      <c r="F18" s="73" t="s">
        <v>43</v>
      </c>
      <c r="G18" s="73" t="s">
        <v>34</v>
      </c>
      <c r="H18" s="73" t="s">
        <v>63</v>
      </c>
      <c r="I18" s="87" t="s">
        <v>63</v>
      </c>
    </row>
    <row r="19" spans="1:14" x14ac:dyDescent="0.2">
      <c r="A19" s="95"/>
      <c r="B19" s="82"/>
      <c r="C19" s="72"/>
      <c r="D19" s="72"/>
      <c r="E19" s="73" t="s">
        <v>29</v>
      </c>
      <c r="F19" s="73" t="s">
        <v>43</v>
      </c>
      <c r="G19" s="73" t="s">
        <v>34</v>
      </c>
      <c r="H19" s="73" t="s">
        <v>63</v>
      </c>
      <c r="I19" s="87" t="s">
        <v>63</v>
      </c>
    </row>
    <row r="20" spans="1:14" x14ac:dyDescent="0.2">
      <c r="A20" s="95"/>
      <c r="B20" s="82"/>
      <c r="C20" s="83"/>
      <c r="D20" s="72"/>
      <c r="E20" s="87" t="s">
        <v>29</v>
      </c>
      <c r="F20" s="73" t="s">
        <v>43</v>
      </c>
      <c r="G20" s="73" t="s">
        <v>34</v>
      </c>
      <c r="H20" s="73" t="s">
        <v>63</v>
      </c>
      <c r="I20" s="73" t="s">
        <v>63</v>
      </c>
    </row>
    <row r="21" spans="1:14" x14ac:dyDescent="0.2">
      <c r="A21" s="95"/>
      <c r="B21" s="94"/>
      <c r="C21" s="90"/>
      <c r="D21" s="74"/>
      <c r="E21" s="87" t="s">
        <v>29</v>
      </c>
      <c r="F21" s="73" t="s">
        <v>43</v>
      </c>
      <c r="G21" s="73" t="s">
        <v>34</v>
      </c>
      <c r="H21" s="73" t="s">
        <v>63</v>
      </c>
      <c r="I21" s="73" t="s">
        <v>63</v>
      </c>
    </row>
    <row r="22" spans="1:14" x14ac:dyDescent="0.2">
      <c r="A22" s="95"/>
      <c r="B22" s="94"/>
      <c r="C22" s="90"/>
      <c r="D22" s="74"/>
      <c r="E22" s="87" t="s">
        <v>29</v>
      </c>
      <c r="F22" s="73" t="s">
        <v>43</v>
      </c>
      <c r="G22" s="73" t="s">
        <v>34</v>
      </c>
      <c r="H22" s="73" t="s">
        <v>63</v>
      </c>
      <c r="I22" s="73" t="s">
        <v>63</v>
      </c>
    </row>
    <row r="23" spans="1:14" x14ac:dyDescent="0.2">
      <c r="A23" s="95"/>
      <c r="B23" s="94"/>
      <c r="C23" s="90"/>
      <c r="D23" s="74"/>
      <c r="E23" s="87" t="s">
        <v>29</v>
      </c>
      <c r="F23" s="73" t="s">
        <v>43</v>
      </c>
      <c r="G23" s="73" t="s">
        <v>34</v>
      </c>
      <c r="H23" s="73" t="s">
        <v>63</v>
      </c>
      <c r="I23" s="73" t="s">
        <v>63</v>
      </c>
    </row>
    <row r="24" spans="1:14" x14ac:dyDescent="0.2">
      <c r="A24" s="95"/>
      <c r="B24" s="94"/>
      <c r="C24" s="90"/>
      <c r="D24" s="74"/>
      <c r="E24" s="87" t="s">
        <v>29</v>
      </c>
      <c r="F24" s="73" t="s">
        <v>43</v>
      </c>
      <c r="G24" s="73" t="s">
        <v>34</v>
      </c>
      <c r="H24" s="73" t="s">
        <v>63</v>
      </c>
      <c r="I24" s="73" t="s">
        <v>63</v>
      </c>
      <c r="N24" t="s">
        <v>134</v>
      </c>
    </row>
    <row r="25" spans="1:14" x14ac:dyDescent="0.2">
      <c r="A25" s="95"/>
      <c r="B25" s="94"/>
      <c r="C25" s="90"/>
      <c r="D25" s="74"/>
      <c r="E25" s="87" t="s">
        <v>29</v>
      </c>
      <c r="F25" s="73" t="s">
        <v>43</v>
      </c>
      <c r="G25" s="73" t="s">
        <v>34</v>
      </c>
      <c r="H25" s="73" t="s">
        <v>63</v>
      </c>
      <c r="I25" s="73" t="s">
        <v>63</v>
      </c>
    </row>
    <row r="26" spans="1:14" x14ac:dyDescent="0.2">
      <c r="A26" s="95"/>
      <c r="B26" s="94"/>
      <c r="C26" s="90"/>
      <c r="D26" s="74"/>
      <c r="E26" s="87" t="s">
        <v>29</v>
      </c>
      <c r="F26" s="73" t="s">
        <v>43</v>
      </c>
      <c r="G26" s="73" t="s">
        <v>34</v>
      </c>
      <c r="H26" s="73" t="s">
        <v>63</v>
      </c>
      <c r="I26" s="73" t="s">
        <v>63</v>
      </c>
    </row>
    <row r="27" spans="1:14" x14ac:dyDescent="0.2">
      <c r="A27" s="95"/>
      <c r="B27" s="94"/>
      <c r="C27" s="90"/>
      <c r="D27" s="74"/>
      <c r="E27" s="87" t="s">
        <v>29</v>
      </c>
      <c r="F27" s="73" t="s">
        <v>43</v>
      </c>
      <c r="G27" s="73" t="s">
        <v>34</v>
      </c>
      <c r="H27" s="73" t="s">
        <v>63</v>
      </c>
      <c r="I27" s="73" t="s">
        <v>63</v>
      </c>
    </row>
    <row r="28" spans="1:14" x14ac:dyDescent="0.2">
      <c r="A28" s="95"/>
      <c r="B28" s="94"/>
      <c r="C28" s="90"/>
      <c r="D28" s="74"/>
      <c r="E28" s="87" t="s">
        <v>29</v>
      </c>
      <c r="F28" s="73" t="s">
        <v>43</v>
      </c>
      <c r="G28" s="73" t="s">
        <v>34</v>
      </c>
      <c r="H28" s="73" t="s">
        <v>63</v>
      </c>
      <c r="I28" s="73" t="s">
        <v>63</v>
      </c>
    </row>
    <row r="29" spans="1:14" x14ac:dyDescent="0.2">
      <c r="A29" s="95"/>
      <c r="B29" s="94"/>
      <c r="C29" s="90"/>
      <c r="D29" s="74"/>
      <c r="E29" s="87" t="s">
        <v>29</v>
      </c>
      <c r="F29" s="73" t="s">
        <v>43</v>
      </c>
      <c r="G29" s="73" t="s">
        <v>34</v>
      </c>
      <c r="H29" s="73" t="s">
        <v>63</v>
      </c>
      <c r="I29" s="73" t="s">
        <v>63</v>
      </c>
    </row>
    <row r="30" spans="1:14" x14ac:dyDescent="0.2">
      <c r="A30" s="95"/>
      <c r="B30" s="94"/>
      <c r="C30" s="90"/>
      <c r="D30" s="74"/>
      <c r="E30" s="87" t="s">
        <v>29</v>
      </c>
      <c r="F30" s="73" t="s">
        <v>43</v>
      </c>
      <c r="G30" s="73" t="s">
        <v>34</v>
      </c>
      <c r="H30" s="73" t="s">
        <v>63</v>
      </c>
      <c r="I30" s="73" t="s">
        <v>63</v>
      </c>
    </row>
    <row r="31" spans="1:14" x14ac:dyDescent="0.2">
      <c r="A31" s="97"/>
      <c r="B31" s="94"/>
      <c r="C31" s="90"/>
      <c r="D31" s="74"/>
      <c r="E31" s="87" t="s">
        <v>29</v>
      </c>
      <c r="F31" s="73" t="s">
        <v>43</v>
      </c>
      <c r="G31" s="73" t="s">
        <v>34</v>
      </c>
      <c r="H31" s="73" t="s">
        <v>63</v>
      </c>
      <c r="I31" s="73" t="s">
        <v>63</v>
      </c>
    </row>
    <row r="32" spans="1:14" x14ac:dyDescent="0.2">
      <c r="A32" s="97"/>
      <c r="B32" s="94"/>
      <c r="C32" s="90"/>
      <c r="D32" s="74"/>
      <c r="E32" s="87" t="s">
        <v>29</v>
      </c>
      <c r="F32" s="73" t="s">
        <v>43</v>
      </c>
      <c r="G32" s="73" t="s">
        <v>34</v>
      </c>
      <c r="H32" s="73" t="s">
        <v>63</v>
      </c>
      <c r="I32" s="73" t="s">
        <v>63</v>
      </c>
    </row>
    <row r="33" spans="1:10" x14ac:dyDescent="0.2">
      <c r="A33" s="96"/>
      <c r="B33" s="94"/>
      <c r="C33" s="90"/>
      <c r="D33" s="74"/>
      <c r="E33" s="87" t="s">
        <v>29</v>
      </c>
      <c r="F33" s="73" t="s">
        <v>43</v>
      </c>
      <c r="G33" s="73" t="s">
        <v>34</v>
      </c>
      <c r="H33" s="73" t="s">
        <v>63</v>
      </c>
      <c r="I33" s="73" t="s">
        <v>63</v>
      </c>
    </row>
    <row r="34" spans="1:10" x14ac:dyDescent="0.2">
      <c r="A34" s="96"/>
      <c r="B34" s="94"/>
      <c r="C34" s="90"/>
      <c r="D34" s="74"/>
      <c r="E34" s="87" t="s">
        <v>29</v>
      </c>
      <c r="F34" s="73" t="s">
        <v>43</v>
      </c>
      <c r="G34" s="73" t="s">
        <v>34</v>
      </c>
      <c r="H34" s="73" t="s">
        <v>63</v>
      </c>
      <c r="I34" s="73" t="s">
        <v>63</v>
      </c>
    </row>
    <row r="35" spans="1:10" x14ac:dyDescent="0.2">
      <c r="A35" s="96"/>
      <c r="B35" s="94"/>
      <c r="C35" s="90"/>
      <c r="D35" s="74"/>
      <c r="E35" s="87" t="s">
        <v>29</v>
      </c>
      <c r="F35" s="73" t="s">
        <v>43</v>
      </c>
      <c r="G35" s="73" t="s">
        <v>34</v>
      </c>
      <c r="H35" s="73" t="s">
        <v>63</v>
      </c>
      <c r="I35" s="73" t="s">
        <v>63</v>
      </c>
    </row>
    <row r="36" spans="1:10" x14ac:dyDescent="0.2">
      <c r="A36" s="84"/>
      <c r="B36" s="72"/>
      <c r="C36" s="83"/>
      <c r="D36" s="72"/>
      <c r="E36" s="87" t="s">
        <v>29</v>
      </c>
      <c r="F36" s="73" t="s">
        <v>43</v>
      </c>
      <c r="G36" s="73" t="s">
        <v>34</v>
      </c>
      <c r="H36" s="73" t="s">
        <v>63</v>
      </c>
      <c r="I36" s="73" t="s">
        <v>63</v>
      </c>
    </row>
    <row r="37" spans="1:10" x14ac:dyDescent="0.2">
      <c r="A37" s="84"/>
      <c r="B37" s="72"/>
      <c r="C37" s="83"/>
      <c r="D37" s="72"/>
      <c r="E37" s="87" t="s">
        <v>29</v>
      </c>
      <c r="F37" s="73" t="s">
        <v>43</v>
      </c>
      <c r="G37" s="81" t="s">
        <v>34</v>
      </c>
      <c r="H37" s="73" t="s">
        <v>63</v>
      </c>
      <c r="I37" s="73" t="s">
        <v>63</v>
      </c>
    </row>
    <row r="38" spans="1:10" x14ac:dyDescent="0.2">
      <c r="A38" s="85"/>
      <c r="B38" s="72"/>
      <c r="C38" s="83"/>
      <c r="D38" s="72"/>
      <c r="E38" s="87" t="s">
        <v>29</v>
      </c>
      <c r="F38" s="73" t="s">
        <v>43</v>
      </c>
      <c r="G38" s="81" t="s">
        <v>34</v>
      </c>
      <c r="H38" s="81" t="s">
        <v>63</v>
      </c>
      <c r="I38" s="73" t="s">
        <v>63</v>
      </c>
    </row>
    <row r="39" spans="1:10" x14ac:dyDescent="0.2">
      <c r="A39" s="84"/>
      <c r="B39" s="72"/>
      <c r="C39" s="83"/>
      <c r="D39" s="72"/>
      <c r="E39" s="88" t="s">
        <v>29</v>
      </c>
      <c r="F39" s="81" t="s">
        <v>43</v>
      </c>
      <c r="G39" s="81" t="s">
        <v>34</v>
      </c>
      <c r="H39" s="81" t="s">
        <v>63</v>
      </c>
      <c r="I39" s="73" t="s">
        <v>63</v>
      </c>
    </row>
    <row r="40" spans="1:10" x14ac:dyDescent="0.2">
      <c r="A40" s="84"/>
      <c r="B40" s="72"/>
      <c r="C40" s="83"/>
      <c r="D40" s="72"/>
      <c r="E40" s="88" t="s">
        <v>29</v>
      </c>
      <c r="F40" s="81" t="s">
        <v>43</v>
      </c>
      <c r="G40" s="81" t="s">
        <v>34</v>
      </c>
      <c r="H40" s="81" t="s">
        <v>63</v>
      </c>
      <c r="I40" s="81" t="s">
        <v>63</v>
      </c>
      <c r="J40" s="58"/>
    </row>
    <row r="41" spans="1:10" x14ac:dyDescent="0.2">
      <c r="A41" s="84"/>
      <c r="B41" s="72"/>
      <c r="C41" s="83"/>
      <c r="D41" s="72"/>
      <c r="E41" s="88" t="s">
        <v>29</v>
      </c>
      <c r="F41" s="81" t="s">
        <v>43</v>
      </c>
      <c r="G41" s="81" t="s">
        <v>34</v>
      </c>
      <c r="H41" s="81" t="s">
        <v>63</v>
      </c>
      <c r="I41" s="81" t="s">
        <v>63</v>
      </c>
      <c r="J41" s="58"/>
    </row>
    <row r="42" spans="1:10" x14ac:dyDescent="0.2">
      <c r="A42" s="84"/>
      <c r="B42" s="72"/>
      <c r="C42" s="83"/>
      <c r="D42" s="72"/>
      <c r="E42" s="88" t="s">
        <v>29</v>
      </c>
      <c r="F42" s="81" t="s">
        <v>43</v>
      </c>
      <c r="G42" s="81" t="s">
        <v>34</v>
      </c>
      <c r="H42" s="81" t="s">
        <v>63</v>
      </c>
      <c r="I42" s="81" t="s">
        <v>63</v>
      </c>
      <c r="J42" s="58"/>
    </row>
    <row r="43" spans="1:10" x14ac:dyDescent="0.2">
      <c r="A43" s="84"/>
      <c r="B43" s="72"/>
      <c r="C43" s="83"/>
      <c r="D43" s="72"/>
      <c r="E43" s="88" t="s">
        <v>29</v>
      </c>
      <c r="F43" s="81" t="s">
        <v>43</v>
      </c>
      <c r="G43" s="81" t="s">
        <v>34</v>
      </c>
      <c r="H43" s="81" t="s">
        <v>63</v>
      </c>
      <c r="I43" s="81" t="s">
        <v>63</v>
      </c>
      <c r="J43" s="58"/>
    </row>
    <row r="44" spans="1:10" x14ac:dyDescent="0.2">
      <c r="A44" s="84"/>
      <c r="B44" s="72"/>
      <c r="C44" s="83"/>
      <c r="D44" s="72"/>
      <c r="E44" s="88" t="s">
        <v>29</v>
      </c>
      <c r="F44" s="81" t="s">
        <v>43</v>
      </c>
      <c r="G44" s="81" t="s">
        <v>34</v>
      </c>
      <c r="H44" s="81" t="s">
        <v>63</v>
      </c>
      <c r="I44" s="81" t="s">
        <v>63</v>
      </c>
      <c r="J44" s="58"/>
    </row>
    <row r="45" spans="1:10" x14ac:dyDescent="0.2">
      <c r="A45" s="84"/>
      <c r="B45" s="72"/>
      <c r="C45" s="83"/>
      <c r="D45" s="72"/>
      <c r="E45" s="88" t="s">
        <v>29</v>
      </c>
      <c r="F45" s="81" t="s">
        <v>43</v>
      </c>
      <c r="G45" s="81" t="s">
        <v>34</v>
      </c>
      <c r="H45" s="81" t="s">
        <v>63</v>
      </c>
      <c r="I45" s="81" t="s">
        <v>63</v>
      </c>
      <c r="J45" s="58"/>
    </row>
    <row r="46" spans="1:10" x14ac:dyDescent="0.2">
      <c r="A46" s="84"/>
      <c r="B46" s="72"/>
      <c r="C46" s="83"/>
      <c r="D46" s="72"/>
      <c r="E46" s="88" t="s">
        <v>29</v>
      </c>
      <c r="F46" s="81" t="s">
        <v>43</v>
      </c>
      <c r="G46" s="81" t="s">
        <v>34</v>
      </c>
      <c r="H46" s="81" t="s">
        <v>63</v>
      </c>
      <c r="I46" s="81" t="s">
        <v>63</v>
      </c>
      <c r="J46" s="58"/>
    </row>
    <row r="47" spans="1:10" x14ac:dyDescent="0.2">
      <c r="A47" s="85"/>
      <c r="B47" s="72"/>
      <c r="C47" s="83"/>
      <c r="D47" s="72"/>
      <c r="E47" s="88" t="s">
        <v>29</v>
      </c>
      <c r="F47" s="81" t="s">
        <v>43</v>
      </c>
      <c r="G47" s="81" t="s">
        <v>34</v>
      </c>
      <c r="H47" s="81" t="s">
        <v>63</v>
      </c>
      <c r="I47" s="81" t="s">
        <v>63</v>
      </c>
      <c r="J47" s="58"/>
    </row>
    <row r="48" spans="1:10" x14ac:dyDescent="0.2">
      <c r="A48" s="84"/>
      <c r="B48" s="72"/>
      <c r="C48" s="83"/>
      <c r="D48" s="72"/>
      <c r="E48" s="88" t="s">
        <v>29</v>
      </c>
      <c r="F48" s="81" t="s">
        <v>43</v>
      </c>
      <c r="G48" s="81" t="s">
        <v>34</v>
      </c>
      <c r="H48" s="81" t="s">
        <v>63</v>
      </c>
      <c r="I48" s="81" t="s">
        <v>63</v>
      </c>
      <c r="J48" s="58"/>
    </row>
    <row r="49" spans="1:10" x14ac:dyDescent="0.2">
      <c r="A49" s="84"/>
      <c r="B49" s="72"/>
      <c r="C49" s="83"/>
      <c r="D49" s="72"/>
      <c r="E49" s="88" t="s">
        <v>29</v>
      </c>
      <c r="F49" s="81" t="s">
        <v>43</v>
      </c>
      <c r="G49" s="81" t="s">
        <v>34</v>
      </c>
      <c r="H49" s="81" t="s">
        <v>63</v>
      </c>
      <c r="I49" s="81" t="s">
        <v>63</v>
      </c>
      <c r="J49" s="58"/>
    </row>
    <row r="50" spans="1:10" x14ac:dyDescent="0.2">
      <c r="A50" s="84"/>
      <c r="B50" s="72"/>
      <c r="C50" s="83"/>
      <c r="D50" s="72"/>
      <c r="E50" s="88" t="s">
        <v>29</v>
      </c>
      <c r="F50" s="81" t="s">
        <v>43</v>
      </c>
      <c r="G50" s="81" t="s">
        <v>34</v>
      </c>
      <c r="H50" s="81" t="s">
        <v>63</v>
      </c>
      <c r="I50" s="81" t="s">
        <v>63</v>
      </c>
      <c r="J50" s="58"/>
    </row>
    <row r="51" spans="1:10" x14ac:dyDescent="0.2">
      <c r="A51" s="78"/>
      <c r="B51" s="72">
        <v>0</v>
      </c>
      <c r="C51" s="83">
        <v>0</v>
      </c>
      <c r="D51" s="72">
        <v>0</v>
      </c>
      <c r="E51" s="88" t="s">
        <v>29</v>
      </c>
      <c r="F51" s="81" t="s">
        <v>43</v>
      </c>
      <c r="G51" s="81" t="s">
        <v>44</v>
      </c>
      <c r="H51" s="81" t="s">
        <v>63</v>
      </c>
      <c r="I51" s="81" t="s">
        <v>63</v>
      </c>
      <c r="J51" s="58"/>
    </row>
    <row r="52" spans="1:10" x14ac:dyDescent="0.2">
      <c r="A52" s="78"/>
      <c r="B52" s="72">
        <v>0</v>
      </c>
      <c r="C52" s="83">
        <v>0</v>
      </c>
      <c r="D52" s="72">
        <v>0</v>
      </c>
      <c r="E52" s="88" t="s">
        <v>29</v>
      </c>
      <c r="F52" s="81" t="s">
        <v>43</v>
      </c>
      <c r="G52" s="81" t="s">
        <v>44</v>
      </c>
      <c r="H52" s="81" t="s">
        <v>63</v>
      </c>
      <c r="I52" s="81" t="s">
        <v>63</v>
      </c>
      <c r="J52" s="58"/>
    </row>
    <row r="53" spans="1:10" x14ac:dyDescent="0.2">
      <c r="A53" s="78"/>
      <c r="B53" s="72">
        <v>0</v>
      </c>
      <c r="C53" s="83">
        <v>0</v>
      </c>
      <c r="D53" s="72">
        <v>0</v>
      </c>
      <c r="E53" s="87" t="s">
        <v>29</v>
      </c>
      <c r="F53" s="81" t="s">
        <v>43</v>
      </c>
      <c r="G53" s="81" t="s">
        <v>44</v>
      </c>
      <c r="H53" s="81" t="s">
        <v>63</v>
      </c>
      <c r="I53" s="81" t="s">
        <v>63</v>
      </c>
      <c r="J53" s="58"/>
    </row>
    <row r="54" spans="1:10" x14ac:dyDescent="0.2">
      <c r="A54" s="78"/>
      <c r="B54" s="72">
        <v>0</v>
      </c>
      <c r="C54" s="82">
        <v>0</v>
      </c>
      <c r="D54" s="72">
        <v>0</v>
      </c>
      <c r="E54" s="73" t="s">
        <v>29</v>
      </c>
      <c r="F54" s="81" t="s">
        <v>43</v>
      </c>
      <c r="G54" s="81" t="s">
        <v>44</v>
      </c>
      <c r="H54" s="81" t="s">
        <v>63</v>
      </c>
      <c r="I54" s="73" t="s">
        <v>63</v>
      </c>
    </row>
    <row r="55" spans="1:10" x14ac:dyDescent="0.2">
      <c r="A55" s="78"/>
      <c r="B55" s="72">
        <v>0</v>
      </c>
      <c r="C55" s="82">
        <v>0</v>
      </c>
      <c r="D55" s="72">
        <v>0</v>
      </c>
      <c r="E55" s="73" t="s">
        <v>29</v>
      </c>
      <c r="F55" s="81" t="s">
        <v>43</v>
      </c>
      <c r="G55" s="81" t="s">
        <v>44</v>
      </c>
      <c r="H55" s="81" t="s">
        <v>63</v>
      </c>
      <c r="I55" s="73" t="s">
        <v>63</v>
      </c>
    </row>
    <row r="56" spans="1:10" x14ac:dyDescent="0.2">
      <c r="A56" s="78"/>
      <c r="B56" s="72">
        <v>0</v>
      </c>
      <c r="C56" s="82">
        <v>0</v>
      </c>
      <c r="D56" s="72">
        <v>0</v>
      </c>
      <c r="E56" s="73" t="s">
        <v>29</v>
      </c>
      <c r="F56" s="81" t="s">
        <v>43</v>
      </c>
      <c r="G56" s="81" t="s">
        <v>44</v>
      </c>
      <c r="H56" s="73" t="s">
        <v>63</v>
      </c>
      <c r="I56" s="73" t="s">
        <v>63</v>
      </c>
    </row>
    <row r="57" spans="1:10" x14ac:dyDescent="0.2">
      <c r="A57" s="78"/>
      <c r="B57" s="72">
        <v>0</v>
      </c>
      <c r="C57" s="82">
        <v>0</v>
      </c>
      <c r="D57" s="72">
        <v>0</v>
      </c>
      <c r="E57" s="73" t="s">
        <v>29</v>
      </c>
      <c r="F57" s="81" t="s">
        <v>43</v>
      </c>
      <c r="G57" s="73" t="s">
        <v>44</v>
      </c>
      <c r="H57" s="73" t="s">
        <v>63</v>
      </c>
      <c r="I57" s="73" t="s">
        <v>63</v>
      </c>
    </row>
    <row r="58" spans="1:10" x14ac:dyDescent="0.2">
      <c r="A58" s="78"/>
      <c r="B58" s="72">
        <v>0</v>
      </c>
      <c r="C58" s="82">
        <v>0</v>
      </c>
      <c r="D58" s="72">
        <v>0</v>
      </c>
      <c r="E58" s="73" t="s">
        <v>29</v>
      </c>
      <c r="F58" s="73" t="s">
        <v>43</v>
      </c>
      <c r="G58" s="73" t="s">
        <v>44</v>
      </c>
      <c r="H58" s="73" t="s">
        <v>63</v>
      </c>
      <c r="I58" s="73" t="s">
        <v>63</v>
      </c>
    </row>
    <row r="59" spans="1:10" x14ac:dyDescent="0.2">
      <c r="A59" s="78"/>
      <c r="B59" s="72">
        <v>0</v>
      </c>
      <c r="C59" s="82">
        <v>0</v>
      </c>
      <c r="D59" s="72">
        <v>0</v>
      </c>
      <c r="E59" s="73" t="s">
        <v>29</v>
      </c>
      <c r="F59" s="73" t="s">
        <v>43</v>
      </c>
      <c r="G59" s="73" t="s">
        <v>44</v>
      </c>
      <c r="H59" s="73" t="s">
        <v>63</v>
      </c>
      <c r="I59" s="73" t="s">
        <v>63</v>
      </c>
    </row>
    <row r="60" spans="1:10" x14ac:dyDescent="0.2">
      <c r="A60" s="78"/>
      <c r="B60" s="72">
        <v>0</v>
      </c>
      <c r="C60" s="82">
        <v>0</v>
      </c>
      <c r="D60" s="72">
        <v>0</v>
      </c>
      <c r="E60" s="73" t="s">
        <v>29</v>
      </c>
      <c r="F60" s="73" t="s">
        <v>43</v>
      </c>
      <c r="G60" s="73" t="s">
        <v>44</v>
      </c>
      <c r="H60" s="73" t="s">
        <v>63</v>
      </c>
      <c r="I60" s="73" t="s">
        <v>63</v>
      </c>
    </row>
    <row r="61" spans="1:10" x14ac:dyDescent="0.2">
      <c r="A61" s="78"/>
      <c r="B61" s="72">
        <v>0</v>
      </c>
      <c r="C61" s="82">
        <v>0</v>
      </c>
      <c r="D61" s="72">
        <v>0</v>
      </c>
      <c r="E61" s="73" t="s">
        <v>29</v>
      </c>
      <c r="F61" s="73" t="s">
        <v>43</v>
      </c>
      <c r="G61" s="73" t="s">
        <v>44</v>
      </c>
      <c r="H61" s="73" t="s">
        <v>63</v>
      </c>
      <c r="I61" s="73" t="s">
        <v>63</v>
      </c>
    </row>
    <row r="62" spans="1:10" x14ac:dyDescent="0.2">
      <c r="A62" s="78"/>
      <c r="B62" s="72">
        <v>0</v>
      </c>
      <c r="C62" s="82">
        <v>0</v>
      </c>
      <c r="D62" s="72">
        <v>0</v>
      </c>
      <c r="E62" s="73" t="s">
        <v>29</v>
      </c>
      <c r="F62" s="73" t="s">
        <v>43</v>
      </c>
      <c r="G62" s="73" t="s">
        <v>44</v>
      </c>
      <c r="H62" s="73" t="s">
        <v>63</v>
      </c>
      <c r="I62" s="73" t="s">
        <v>63</v>
      </c>
    </row>
    <row r="63" spans="1:10" x14ac:dyDescent="0.2">
      <c r="A63" s="78"/>
      <c r="B63" s="72">
        <v>0</v>
      </c>
      <c r="C63" s="82">
        <v>0</v>
      </c>
      <c r="D63" s="72">
        <v>0</v>
      </c>
      <c r="E63" s="73" t="s">
        <v>29</v>
      </c>
      <c r="F63" s="73" t="s">
        <v>43</v>
      </c>
      <c r="G63" s="73" t="s">
        <v>44</v>
      </c>
      <c r="H63" s="73" t="s">
        <v>63</v>
      </c>
      <c r="I63" s="73" t="s">
        <v>63</v>
      </c>
    </row>
    <row r="64" spans="1:10" x14ac:dyDescent="0.2">
      <c r="A64" s="78"/>
      <c r="B64" s="72">
        <v>0</v>
      </c>
      <c r="C64" s="82">
        <v>0</v>
      </c>
      <c r="D64" s="72">
        <v>0</v>
      </c>
      <c r="E64" s="73" t="s">
        <v>29</v>
      </c>
      <c r="F64" s="73" t="s">
        <v>43</v>
      </c>
      <c r="G64" s="73" t="s">
        <v>44</v>
      </c>
      <c r="H64" s="73" t="s">
        <v>63</v>
      </c>
      <c r="I64" s="73" t="s">
        <v>63</v>
      </c>
    </row>
    <row r="65" spans="1:9" x14ac:dyDescent="0.2">
      <c r="A65" s="78"/>
      <c r="B65" s="72">
        <v>0</v>
      </c>
      <c r="C65" s="82">
        <v>0</v>
      </c>
      <c r="D65" s="72">
        <v>0</v>
      </c>
      <c r="E65" s="73" t="s">
        <v>29</v>
      </c>
      <c r="F65" s="73" t="s">
        <v>43</v>
      </c>
      <c r="G65" s="73" t="s">
        <v>44</v>
      </c>
      <c r="H65" s="73" t="s">
        <v>63</v>
      </c>
      <c r="I65" s="73" t="s">
        <v>63</v>
      </c>
    </row>
    <row r="66" spans="1:9" x14ac:dyDescent="0.2">
      <c r="A66" s="78"/>
      <c r="B66" s="72">
        <v>0</v>
      </c>
      <c r="C66" s="82">
        <v>0</v>
      </c>
      <c r="D66" s="72">
        <v>0</v>
      </c>
      <c r="E66" s="73" t="s">
        <v>29</v>
      </c>
      <c r="F66" s="73" t="s">
        <v>43</v>
      </c>
      <c r="G66" s="73" t="s">
        <v>44</v>
      </c>
      <c r="H66" s="73" t="s">
        <v>63</v>
      </c>
      <c r="I66" s="73" t="s">
        <v>63</v>
      </c>
    </row>
    <row r="67" spans="1:9" x14ac:dyDescent="0.2">
      <c r="A67" s="78"/>
      <c r="B67" s="72">
        <v>0</v>
      </c>
      <c r="C67" s="82">
        <v>0</v>
      </c>
      <c r="D67" s="72">
        <v>0</v>
      </c>
      <c r="E67" s="73" t="s">
        <v>29</v>
      </c>
      <c r="F67" s="73" t="s">
        <v>43</v>
      </c>
      <c r="G67" s="73" t="s">
        <v>44</v>
      </c>
      <c r="H67" s="73" t="s">
        <v>63</v>
      </c>
      <c r="I67" s="73" t="s">
        <v>63</v>
      </c>
    </row>
    <row r="68" spans="1:9" x14ac:dyDescent="0.2">
      <c r="A68" s="78"/>
      <c r="B68" s="72">
        <v>0</v>
      </c>
      <c r="C68" s="82">
        <v>0</v>
      </c>
      <c r="D68" s="72">
        <v>0</v>
      </c>
      <c r="E68" s="73" t="s">
        <v>29</v>
      </c>
      <c r="F68" s="73" t="s">
        <v>43</v>
      </c>
      <c r="G68" s="73" t="s">
        <v>44</v>
      </c>
      <c r="H68" s="73" t="s">
        <v>63</v>
      </c>
      <c r="I68" s="73" t="s">
        <v>63</v>
      </c>
    </row>
    <row r="69" spans="1:9" x14ac:dyDescent="0.2">
      <c r="A69" s="78"/>
      <c r="B69" s="72">
        <v>0</v>
      </c>
      <c r="C69" s="82">
        <v>0</v>
      </c>
      <c r="D69" s="72">
        <v>0</v>
      </c>
      <c r="E69" s="73" t="s">
        <v>29</v>
      </c>
      <c r="F69" s="73" t="s">
        <v>43</v>
      </c>
      <c r="G69" s="73" t="s">
        <v>44</v>
      </c>
      <c r="H69" s="73" t="s">
        <v>63</v>
      </c>
      <c r="I69" s="73" t="s">
        <v>63</v>
      </c>
    </row>
    <row r="70" spans="1:9" x14ac:dyDescent="0.2">
      <c r="A70" s="78"/>
      <c r="B70" s="72">
        <v>0</v>
      </c>
      <c r="C70" s="82">
        <v>0</v>
      </c>
      <c r="D70" s="72">
        <v>0</v>
      </c>
      <c r="E70" s="73" t="s">
        <v>29</v>
      </c>
      <c r="F70" s="73" t="s">
        <v>43</v>
      </c>
      <c r="G70" s="73" t="s">
        <v>44</v>
      </c>
      <c r="H70" s="73" t="s">
        <v>63</v>
      </c>
      <c r="I70" s="73" t="s">
        <v>63</v>
      </c>
    </row>
    <row r="71" spans="1:9" x14ac:dyDescent="0.2">
      <c r="A71" s="78"/>
      <c r="B71" s="72">
        <v>0</v>
      </c>
      <c r="C71" s="82">
        <v>0</v>
      </c>
      <c r="D71" s="72">
        <v>0</v>
      </c>
      <c r="E71" s="73" t="s">
        <v>29</v>
      </c>
      <c r="F71" s="73" t="s">
        <v>43</v>
      </c>
      <c r="G71" s="73" t="s">
        <v>44</v>
      </c>
      <c r="H71" s="73" t="s">
        <v>63</v>
      </c>
      <c r="I71" s="73" t="s">
        <v>63</v>
      </c>
    </row>
    <row r="72" spans="1:9" x14ac:dyDescent="0.2">
      <c r="A72" s="78"/>
      <c r="B72" s="72">
        <v>0</v>
      </c>
      <c r="C72" s="82">
        <v>0</v>
      </c>
      <c r="D72" s="72">
        <v>0</v>
      </c>
      <c r="E72" s="73" t="s">
        <v>29</v>
      </c>
      <c r="F72" s="73" t="s">
        <v>43</v>
      </c>
      <c r="G72" s="73" t="s">
        <v>44</v>
      </c>
      <c r="H72" s="73" t="s">
        <v>63</v>
      </c>
      <c r="I72" s="73" t="s">
        <v>63</v>
      </c>
    </row>
    <row r="73" spans="1:9" x14ac:dyDescent="0.2">
      <c r="A73" s="78"/>
      <c r="B73" s="72">
        <v>0</v>
      </c>
      <c r="C73" s="82">
        <v>0</v>
      </c>
      <c r="D73" s="72">
        <v>0</v>
      </c>
      <c r="E73" s="73" t="s">
        <v>29</v>
      </c>
      <c r="F73" s="73" t="s">
        <v>43</v>
      </c>
      <c r="G73" s="73" t="s">
        <v>44</v>
      </c>
      <c r="H73" s="73" t="s">
        <v>63</v>
      </c>
      <c r="I73" s="73" t="s">
        <v>63</v>
      </c>
    </row>
    <row r="74" spans="1:9" x14ac:dyDescent="0.2">
      <c r="A74" s="78"/>
      <c r="B74" s="72">
        <v>0</v>
      </c>
      <c r="C74" s="82">
        <v>0</v>
      </c>
      <c r="D74" s="72">
        <v>0</v>
      </c>
      <c r="E74" s="73" t="s">
        <v>29</v>
      </c>
      <c r="F74" s="73" t="s">
        <v>43</v>
      </c>
      <c r="G74" s="73" t="s">
        <v>44</v>
      </c>
      <c r="H74" s="73" t="s">
        <v>63</v>
      </c>
      <c r="I74" s="73" t="s">
        <v>63</v>
      </c>
    </row>
    <row r="75" spans="1:9" x14ac:dyDescent="0.2">
      <c r="A75" s="78"/>
      <c r="B75" s="72">
        <v>0</v>
      </c>
      <c r="C75" s="82">
        <v>0</v>
      </c>
      <c r="D75" s="72">
        <v>0</v>
      </c>
      <c r="E75" s="73" t="s">
        <v>29</v>
      </c>
      <c r="F75" s="73" t="s">
        <v>43</v>
      </c>
      <c r="G75" s="73" t="s">
        <v>44</v>
      </c>
      <c r="H75" s="73" t="s">
        <v>63</v>
      </c>
      <c r="I75" s="73" t="s">
        <v>63</v>
      </c>
    </row>
    <row r="76" spans="1:9" x14ac:dyDescent="0.2">
      <c r="A76" s="78"/>
      <c r="B76" s="72">
        <v>0</v>
      </c>
      <c r="C76" s="82">
        <v>0</v>
      </c>
      <c r="D76" s="72">
        <v>0</v>
      </c>
      <c r="E76" s="73" t="s">
        <v>29</v>
      </c>
      <c r="F76" s="73" t="s">
        <v>43</v>
      </c>
      <c r="G76" s="73" t="s">
        <v>44</v>
      </c>
      <c r="H76" s="73" t="s">
        <v>63</v>
      </c>
      <c r="I76" s="73" t="s">
        <v>63</v>
      </c>
    </row>
    <row r="77" spans="1:9" x14ac:dyDescent="0.2">
      <c r="A77" s="78"/>
      <c r="B77" s="72">
        <v>0</v>
      </c>
      <c r="C77" s="82">
        <v>0</v>
      </c>
      <c r="D77" s="72">
        <v>0</v>
      </c>
      <c r="E77" s="73" t="s">
        <v>29</v>
      </c>
      <c r="F77" s="73" t="s">
        <v>43</v>
      </c>
      <c r="G77" s="73" t="s">
        <v>44</v>
      </c>
      <c r="H77" s="73" t="s">
        <v>63</v>
      </c>
      <c r="I77" s="73" t="s">
        <v>63</v>
      </c>
    </row>
    <row r="78" spans="1:9" x14ac:dyDescent="0.2">
      <c r="A78" s="78"/>
      <c r="B78" s="72">
        <v>0</v>
      </c>
      <c r="C78" s="82">
        <v>0</v>
      </c>
      <c r="D78" s="72">
        <v>0</v>
      </c>
      <c r="E78" s="73" t="s">
        <v>29</v>
      </c>
      <c r="F78" s="73" t="s">
        <v>43</v>
      </c>
      <c r="G78" s="73" t="s">
        <v>44</v>
      </c>
      <c r="H78" s="73" t="s">
        <v>63</v>
      </c>
      <c r="I78" s="73" t="s">
        <v>63</v>
      </c>
    </row>
    <row r="79" spans="1:9" x14ac:dyDescent="0.2">
      <c r="A79" s="78"/>
      <c r="B79" s="72">
        <v>0</v>
      </c>
      <c r="C79" s="82">
        <v>0</v>
      </c>
      <c r="D79" s="72">
        <v>0</v>
      </c>
      <c r="E79" s="73" t="s">
        <v>29</v>
      </c>
      <c r="F79" s="73" t="s">
        <v>43</v>
      </c>
      <c r="G79" s="73" t="s">
        <v>44</v>
      </c>
      <c r="H79" s="73" t="s">
        <v>63</v>
      </c>
      <c r="I79" s="73" t="s">
        <v>63</v>
      </c>
    </row>
    <row r="80" spans="1:9" x14ac:dyDescent="0.2">
      <c r="A80" s="78"/>
      <c r="B80" s="72">
        <v>0</v>
      </c>
      <c r="C80" s="82">
        <v>0</v>
      </c>
      <c r="D80" s="72">
        <v>0</v>
      </c>
      <c r="E80" s="73" t="s">
        <v>29</v>
      </c>
      <c r="F80" s="73" t="s">
        <v>43</v>
      </c>
      <c r="G80" s="73" t="s">
        <v>44</v>
      </c>
      <c r="H80" s="73" t="s">
        <v>63</v>
      </c>
      <c r="I80" s="73" t="s">
        <v>63</v>
      </c>
    </row>
    <row r="81" spans="1:9" x14ac:dyDescent="0.2">
      <c r="A81" s="78"/>
      <c r="B81" s="72">
        <v>0</v>
      </c>
      <c r="C81" s="82">
        <v>0</v>
      </c>
      <c r="D81" s="72">
        <v>0</v>
      </c>
      <c r="E81" s="73" t="s">
        <v>29</v>
      </c>
      <c r="F81" s="73" t="s">
        <v>43</v>
      </c>
      <c r="G81" s="73" t="s">
        <v>44</v>
      </c>
      <c r="H81" s="73" t="s">
        <v>63</v>
      </c>
      <c r="I81" s="73" t="s">
        <v>63</v>
      </c>
    </row>
    <row r="82" spans="1:9" x14ac:dyDescent="0.2">
      <c r="A82" s="78"/>
      <c r="B82" s="72">
        <v>0</v>
      </c>
      <c r="C82" s="82">
        <v>0</v>
      </c>
      <c r="D82" s="72">
        <v>0</v>
      </c>
      <c r="E82" s="73" t="s">
        <v>29</v>
      </c>
      <c r="F82" s="73" t="s">
        <v>43</v>
      </c>
      <c r="G82" s="73" t="s">
        <v>44</v>
      </c>
      <c r="H82" s="73" t="s">
        <v>63</v>
      </c>
      <c r="I82" s="73" t="s">
        <v>63</v>
      </c>
    </row>
    <row r="83" spans="1:9" x14ac:dyDescent="0.2">
      <c r="A83" s="78"/>
      <c r="B83" s="72">
        <v>0</v>
      </c>
      <c r="C83" s="82">
        <v>0</v>
      </c>
      <c r="D83" s="72">
        <v>0</v>
      </c>
      <c r="E83" s="73" t="s">
        <v>29</v>
      </c>
      <c r="F83" s="73" t="s">
        <v>43</v>
      </c>
      <c r="G83" s="73" t="s">
        <v>44</v>
      </c>
      <c r="H83" s="73" t="s">
        <v>63</v>
      </c>
      <c r="I83" s="73" t="s">
        <v>63</v>
      </c>
    </row>
    <row r="84" spans="1:9" x14ac:dyDescent="0.2">
      <c r="A84" s="78"/>
      <c r="B84" s="72">
        <v>0</v>
      </c>
      <c r="C84" s="82">
        <v>0</v>
      </c>
      <c r="D84" s="72">
        <v>0</v>
      </c>
      <c r="E84" s="73" t="s">
        <v>29</v>
      </c>
      <c r="F84" s="73" t="s">
        <v>43</v>
      </c>
      <c r="G84" s="73" t="s">
        <v>44</v>
      </c>
      <c r="H84" s="73" t="s">
        <v>63</v>
      </c>
      <c r="I84" s="73" t="s">
        <v>63</v>
      </c>
    </row>
    <row r="85" spans="1:9" x14ac:dyDescent="0.2">
      <c r="A85" s="78"/>
      <c r="B85" s="72">
        <v>0</v>
      </c>
      <c r="C85" s="82">
        <v>0</v>
      </c>
      <c r="D85" s="72">
        <v>0</v>
      </c>
      <c r="E85" s="73" t="s">
        <v>29</v>
      </c>
      <c r="F85" s="73" t="s">
        <v>43</v>
      </c>
      <c r="G85" s="73" t="s">
        <v>44</v>
      </c>
      <c r="H85" s="73" t="s">
        <v>63</v>
      </c>
      <c r="I85" s="73" t="s">
        <v>63</v>
      </c>
    </row>
    <row r="86" spans="1:9" x14ac:dyDescent="0.2">
      <c r="A86" s="78"/>
      <c r="B86" s="72">
        <v>0</v>
      </c>
      <c r="C86" s="82">
        <v>0</v>
      </c>
      <c r="D86" s="72">
        <v>0</v>
      </c>
      <c r="E86" s="73" t="s">
        <v>29</v>
      </c>
      <c r="F86" s="73" t="s">
        <v>43</v>
      </c>
      <c r="G86" s="73" t="s">
        <v>44</v>
      </c>
      <c r="H86" s="73" t="s">
        <v>63</v>
      </c>
      <c r="I86" s="73" t="s">
        <v>63</v>
      </c>
    </row>
    <row r="87" spans="1:9" x14ac:dyDescent="0.2">
      <c r="A87" s="78"/>
      <c r="B87" s="72">
        <v>0</v>
      </c>
      <c r="C87" s="82">
        <v>0</v>
      </c>
      <c r="D87" s="72">
        <v>0</v>
      </c>
      <c r="E87" s="73" t="s">
        <v>29</v>
      </c>
      <c r="F87" s="73" t="s">
        <v>43</v>
      </c>
      <c r="G87" s="73" t="s">
        <v>44</v>
      </c>
      <c r="H87" s="73" t="s">
        <v>63</v>
      </c>
      <c r="I87" s="73" t="s">
        <v>63</v>
      </c>
    </row>
    <row r="88" spans="1:9" x14ac:dyDescent="0.2">
      <c r="A88" s="78"/>
      <c r="B88" s="72">
        <v>0</v>
      </c>
      <c r="C88" s="82">
        <v>0</v>
      </c>
      <c r="D88" s="72">
        <v>0</v>
      </c>
      <c r="E88" s="73" t="s">
        <v>29</v>
      </c>
      <c r="F88" s="73" t="s">
        <v>43</v>
      </c>
      <c r="G88" s="73" t="s">
        <v>44</v>
      </c>
      <c r="H88" s="73" t="s">
        <v>63</v>
      </c>
      <c r="I88" s="73" t="s">
        <v>63</v>
      </c>
    </row>
    <row r="89" spans="1:9" x14ac:dyDescent="0.2">
      <c r="A89" s="78"/>
      <c r="B89" s="72">
        <v>0</v>
      </c>
      <c r="C89" s="82">
        <v>0</v>
      </c>
      <c r="D89" s="72">
        <v>0</v>
      </c>
      <c r="E89" s="73" t="s">
        <v>29</v>
      </c>
      <c r="F89" s="73" t="s">
        <v>43</v>
      </c>
      <c r="G89" s="73" t="s">
        <v>44</v>
      </c>
      <c r="H89" s="73" t="s">
        <v>63</v>
      </c>
      <c r="I89" s="73" t="s">
        <v>63</v>
      </c>
    </row>
    <row r="90" spans="1:9" x14ac:dyDescent="0.2">
      <c r="A90" s="78"/>
      <c r="B90" s="72">
        <v>0</v>
      </c>
      <c r="C90" s="82">
        <v>0</v>
      </c>
      <c r="D90" s="72">
        <v>0</v>
      </c>
      <c r="E90" s="73" t="s">
        <v>29</v>
      </c>
      <c r="F90" s="73" t="s">
        <v>43</v>
      </c>
      <c r="G90" s="73" t="s">
        <v>44</v>
      </c>
      <c r="H90" s="73" t="s">
        <v>63</v>
      </c>
      <c r="I90" s="73" t="s">
        <v>63</v>
      </c>
    </row>
    <row r="91" spans="1:9" x14ac:dyDescent="0.2">
      <c r="A91" s="78"/>
      <c r="B91" s="72">
        <v>0</v>
      </c>
      <c r="C91" s="82">
        <v>0</v>
      </c>
      <c r="D91" s="72">
        <v>0</v>
      </c>
      <c r="E91" s="73" t="s">
        <v>29</v>
      </c>
      <c r="F91" s="73" t="s">
        <v>43</v>
      </c>
      <c r="G91" s="73" t="s">
        <v>44</v>
      </c>
      <c r="H91" s="73" t="s">
        <v>63</v>
      </c>
      <c r="I91" s="73" t="s">
        <v>63</v>
      </c>
    </row>
    <row r="92" spans="1:9" x14ac:dyDescent="0.2">
      <c r="A92" s="78"/>
      <c r="B92" s="72">
        <v>0</v>
      </c>
      <c r="C92" s="82">
        <v>0</v>
      </c>
      <c r="D92" s="72">
        <v>0</v>
      </c>
      <c r="E92" s="73" t="s">
        <v>29</v>
      </c>
      <c r="F92" s="73" t="s">
        <v>43</v>
      </c>
      <c r="G92" s="73" t="s">
        <v>44</v>
      </c>
      <c r="H92" s="73" t="s">
        <v>63</v>
      </c>
      <c r="I92" s="73" t="s">
        <v>63</v>
      </c>
    </row>
    <row r="93" spans="1:9" x14ac:dyDescent="0.2">
      <c r="A93" s="78"/>
      <c r="B93" s="72">
        <v>0</v>
      </c>
      <c r="C93" s="82">
        <v>0</v>
      </c>
      <c r="D93" s="72">
        <v>0</v>
      </c>
      <c r="E93" s="73" t="s">
        <v>29</v>
      </c>
      <c r="F93" s="73" t="s">
        <v>43</v>
      </c>
      <c r="G93" s="73" t="s">
        <v>44</v>
      </c>
      <c r="H93" s="73" t="s">
        <v>63</v>
      </c>
      <c r="I93" s="73" t="s">
        <v>63</v>
      </c>
    </row>
    <row r="94" spans="1:9" x14ac:dyDescent="0.2">
      <c r="A94" s="78"/>
      <c r="B94" s="72">
        <v>0</v>
      </c>
      <c r="C94" s="82">
        <v>0</v>
      </c>
      <c r="D94" s="72">
        <v>0</v>
      </c>
      <c r="E94" s="73" t="s">
        <v>29</v>
      </c>
      <c r="F94" s="73" t="s">
        <v>43</v>
      </c>
      <c r="G94" s="73" t="s">
        <v>44</v>
      </c>
      <c r="H94" s="73" t="s">
        <v>63</v>
      </c>
      <c r="I94" s="73" t="s">
        <v>63</v>
      </c>
    </row>
    <row r="95" spans="1:9" x14ac:dyDescent="0.2">
      <c r="A95" s="78"/>
      <c r="B95" s="72">
        <v>0</v>
      </c>
      <c r="C95" s="82">
        <v>0</v>
      </c>
      <c r="D95" s="72">
        <v>0</v>
      </c>
      <c r="E95" s="73" t="s">
        <v>29</v>
      </c>
      <c r="F95" s="73" t="s">
        <v>43</v>
      </c>
      <c r="G95" s="73" t="s">
        <v>44</v>
      </c>
      <c r="H95" s="73" t="s">
        <v>63</v>
      </c>
      <c r="I95" s="73" t="s">
        <v>63</v>
      </c>
    </row>
    <row r="96" spans="1:9" x14ac:dyDescent="0.2">
      <c r="A96" s="78"/>
      <c r="B96" s="72">
        <v>0</v>
      </c>
      <c r="C96" s="82">
        <v>0</v>
      </c>
      <c r="D96" s="72">
        <v>0</v>
      </c>
      <c r="E96" s="73" t="s">
        <v>29</v>
      </c>
      <c r="F96" s="73" t="s">
        <v>43</v>
      </c>
      <c r="G96" s="73" t="s">
        <v>44</v>
      </c>
      <c r="H96" s="73" t="s">
        <v>63</v>
      </c>
      <c r="I96" s="73" t="s">
        <v>63</v>
      </c>
    </row>
    <row r="97" spans="1:9" x14ac:dyDescent="0.2">
      <c r="A97" s="78"/>
      <c r="B97" s="72">
        <v>0</v>
      </c>
      <c r="C97" s="82">
        <v>0</v>
      </c>
      <c r="D97" s="72">
        <v>0</v>
      </c>
      <c r="E97" s="73" t="s">
        <v>29</v>
      </c>
      <c r="F97" s="73" t="s">
        <v>43</v>
      </c>
      <c r="G97" s="73" t="s">
        <v>44</v>
      </c>
      <c r="H97" s="73" t="s">
        <v>63</v>
      </c>
      <c r="I97" s="73" t="s">
        <v>63</v>
      </c>
    </row>
    <row r="98" spans="1:9" x14ac:dyDescent="0.2">
      <c r="A98" s="78"/>
      <c r="B98" s="72">
        <v>0</v>
      </c>
      <c r="C98" s="82">
        <v>0</v>
      </c>
      <c r="D98" s="72">
        <v>0</v>
      </c>
      <c r="E98" s="73" t="s">
        <v>29</v>
      </c>
      <c r="F98" s="73" t="s">
        <v>43</v>
      </c>
      <c r="G98" s="73" t="s">
        <v>44</v>
      </c>
      <c r="H98" s="73" t="s">
        <v>63</v>
      </c>
      <c r="I98" s="73" t="s">
        <v>63</v>
      </c>
    </row>
    <row r="99" spans="1:9" x14ac:dyDescent="0.2">
      <c r="A99" s="78"/>
      <c r="B99" s="72">
        <v>0</v>
      </c>
      <c r="C99" s="82">
        <v>0</v>
      </c>
      <c r="D99" s="72">
        <v>0</v>
      </c>
      <c r="E99" s="73" t="s">
        <v>29</v>
      </c>
      <c r="F99" s="73" t="s">
        <v>43</v>
      </c>
      <c r="G99" s="73" t="s">
        <v>44</v>
      </c>
      <c r="H99" s="73" t="s">
        <v>63</v>
      </c>
      <c r="I99" s="73" t="s">
        <v>63</v>
      </c>
    </row>
    <row r="100" spans="1:9" x14ac:dyDescent="0.2">
      <c r="A100" s="78"/>
      <c r="B100" s="72">
        <v>0</v>
      </c>
      <c r="C100" s="82">
        <v>0</v>
      </c>
      <c r="D100" s="72">
        <v>0</v>
      </c>
      <c r="E100" s="73" t="s">
        <v>29</v>
      </c>
      <c r="F100" s="73" t="s">
        <v>43</v>
      </c>
      <c r="G100" s="73" t="s">
        <v>44</v>
      </c>
      <c r="H100" s="73" t="s">
        <v>63</v>
      </c>
      <c r="I100" s="73" t="s">
        <v>63</v>
      </c>
    </row>
    <row r="101" spans="1:9" x14ac:dyDescent="0.2">
      <c r="A101" s="78"/>
      <c r="B101" s="72">
        <v>0</v>
      </c>
      <c r="C101" s="82">
        <v>0</v>
      </c>
      <c r="D101" s="72">
        <v>0</v>
      </c>
      <c r="E101" s="73" t="s">
        <v>29</v>
      </c>
      <c r="F101" s="73" t="s">
        <v>43</v>
      </c>
      <c r="G101" s="73" t="s">
        <v>44</v>
      </c>
      <c r="H101" s="73" t="s">
        <v>63</v>
      </c>
      <c r="I101" s="73" t="s">
        <v>63</v>
      </c>
    </row>
    <row r="102" spans="1:9" x14ac:dyDescent="0.2">
      <c r="A102" s="78"/>
      <c r="B102" s="72">
        <v>0</v>
      </c>
      <c r="C102" s="82">
        <v>0</v>
      </c>
      <c r="D102" s="72">
        <v>0</v>
      </c>
      <c r="E102" s="73" t="s">
        <v>29</v>
      </c>
      <c r="F102" s="73" t="s">
        <v>43</v>
      </c>
      <c r="G102" s="73" t="s">
        <v>44</v>
      </c>
      <c r="H102" s="73" t="s">
        <v>63</v>
      </c>
      <c r="I102" s="73" t="s">
        <v>63</v>
      </c>
    </row>
    <row r="103" spans="1:9" x14ac:dyDescent="0.2">
      <c r="A103" s="78"/>
      <c r="B103" s="72">
        <v>0</v>
      </c>
      <c r="C103" s="82">
        <v>0</v>
      </c>
      <c r="D103" s="72">
        <v>0</v>
      </c>
      <c r="E103" s="73" t="s">
        <v>29</v>
      </c>
      <c r="F103" s="73" t="s">
        <v>43</v>
      </c>
      <c r="G103" s="73" t="s">
        <v>44</v>
      </c>
      <c r="H103" s="73" t="s">
        <v>63</v>
      </c>
      <c r="I103" s="73" t="s">
        <v>63</v>
      </c>
    </row>
    <row r="104" spans="1:9" x14ac:dyDescent="0.2">
      <c r="A104" s="78"/>
      <c r="B104" s="72">
        <v>0</v>
      </c>
      <c r="C104" s="82">
        <v>0</v>
      </c>
      <c r="D104" s="72">
        <v>0</v>
      </c>
      <c r="E104" s="73" t="s">
        <v>29</v>
      </c>
      <c r="F104" s="73" t="s">
        <v>43</v>
      </c>
      <c r="G104" s="73" t="s">
        <v>44</v>
      </c>
      <c r="H104" s="73" t="s">
        <v>63</v>
      </c>
      <c r="I104" s="73" t="s">
        <v>63</v>
      </c>
    </row>
    <row r="105" spans="1:9" x14ac:dyDescent="0.2">
      <c r="A105" s="78"/>
      <c r="B105" s="72">
        <v>0</v>
      </c>
      <c r="C105" s="82">
        <v>0</v>
      </c>
      <c r="D105" s="72">
        <v>0</v>
      </c>
      <c r="E105" s="73" t="s">
        <v>29</v>
      </c>
      <c r="F105" s="73" t="s">
        <v>43</v>
      </c>
      <c r="G105" s="73" t="s">
        <v>44</v>
      </c>
      <c r="H105" s="73" t="s">
        <v>63</v>
      </c>
      <c r="I105" s="73" t="s">
        <v>63</v>
      </c>
    </row>
    <row r="106" spans="1:9" x14ac:dyDescent="0.2">
      <c r="A106" s="78"/>
      <c r="B106" s="72">
        <v>0</v>
      </c>
      <c r="C106" s="82">
        <v>0</v>
      </c>
      <c r="D106" s="72">
        <v>0</v>
      </c>
      <c r="E106" s="73" t="s">
        <v>29</v>
      </c>
      <c r="F106" s="73" t="s">
        <v>43</v>
      </c>
      <c r="G106" s="73" t="s">
        <v>44</v>
      </c>
      <c r="H106" s="73" t="s">
        <v>63</v>
      </c>
      <c r="I106" s="73" t="s">
        <v>63</v>
      </c>
    </row>
    <row r="107" spans="1:9" x14ac:dyDescent="0.2">
      <c r="A107" s="78"/>
      <c r="B107" s="72">
        <v>0</v>
      </c>
      <c r="C107" s="82">
        <v>0</v>
      </c>
      <c r="D107" s="72">
        <v>0</v>
      </c>
      <c r="E107" s="73" t="s">
        <v>29</v>
      </c>
      <c r="F107" s="73" t="s">
        <v>43</v>
      </c>
      <c r="G107" s="73" t="s">
        <v>44</v>
      </c>
      <c r="H107" s="73" t="s">
        <v>63</v>
      </c>
      <c r="I107" s="73" t="s">
        <v>63</v>
      </c>
    </row>
    <row r="108" spans="1:9" x14ac:dyDescent="0.2">
      <c r="A108" s="78"/>
      <c r="B108" s="72">
        <v>0</v>
      </c>
      <c r="C108" s="72">
        <v>0</v>
      </c>
      <c r="D108" s="72">
        <v>0</v>
      </c>
      <c r="E108" s="73" t="s">
        <v>29</v>
      </c>
      <c r="F108" s="73" t="s">
        <v>43</v>
      </c>
      <c r="G108" s="73" t="s">
        <v>44</v>
      </c>
      <c r="H108" s="73" t="s">
        <v>63</v>
      </c>
      <c r="I108" s="73" t="s">
        <v>63</v>
      </c>
    </row>
    <row r="109" spans="1:9" x14ac:dyDescent="0.2">
      <c r="A109" s="78"/>
      <c r="B109" s="72">
        <v>0</v>
      </c>
      <c r="C109" s="72">
        <v>0</v>
      </c>
      <c r="D109" s="72">
        <v>0</v>
      </c>
      <c r="E109" s="73" t="s">
        <v>29</v>
      </c>
      <c r="F109" s="73" t="s">
        <v>43</v>
      </c>
      <c r="G109" s="73" t="s">
        <v>44</v>
      </c>
      <c r="H109" s="73" t="s">
        <v>63</v>
      </c>
      <c r="I109" s="73" t="s">
        <v>63</v>
      </c>
    </row>
    <row r="110" spans="1:9" x14ac:dyDescent="0.2">
      <c r="A110" s="78"/>
      <c r="B110" s="72">
        <v>0</v>
      </c>
      <c r="C110" s="72">
        <v>0</v>
      </c>
      <c r="D110" s="72">
        <v>0</v>
      </c>
      <c r="E110" s="73" t="s">
        <v>29</v>
      </c>
      <c r="F110" s="73" t="s">
        <v>43</v>
      </c>
      <c r="G110" s="73" t="s">
        <v>44</v>
      </c>
      <c r="H110" s="73" t="s">
        <v>63</v>
      </c>
      <c r="I110" s="73" t="s">
        <v>63</v>
      </c>
    </row>
    <row r="111" spans="1:9" x14ac:dyDescent="0.2">
      <c r="A111" s="78"/>
      <c r="B111" s="72">
        <v>0</v>
      </c>
      <c r="C111" s="72">
        <v>0</v>
      </c>
      <c r="D111" s="72">
        <v>0</v>
      </c>
      <c r="E111" s="73" t="s">
        <v>29</v>
      </c>
      <c r="F111" s="73" t="s">
        <v>43</v>
      </c>
      <c r="G111" s="73" t="s">
        <v>44</v>
      </c>
      <c r="H111" s="73" t="s">
        <v>63</v>
      </c>
      <c r="I111" s="73" t="s">
        <v>63</v>
      </c>
    </row>
    <row r="112" spans="1:9" x14ac:dyDescent="0.2">
      <c r="A112" s="78"/>
      <c r="B112" s="72">
        <v>0</v>
      </c>
      <c r="C112" s="72">
        <v>0</v>
      </c>
      <c r="D112" s="72">
        <v>0</v>
      </c>
      <c r="E112" s="73" t="s">
        <v>29</v>
      </c>
      <c r="F112" s="73" t="s">
        <v>43</v>
      </c>
      <c r="G112" s="73" t="s">
        <v>44</v>
      </c>
      <c r="H112" s="73" t="s">
        <v>63</v>
      </c>
      <c r="I112" s="73" t="s">
        <v>63</v>
      </c>
    </row>
    <row r="113" spans="1:9" x14ac:dyDescent="0.2">
      <c r="A113" s="78"/>
      <c r="B113" s="72">
        <v>0</v>
      </c>
      <c r="C113" s="72">
        <v>0</v>
      </c>
      <c r="D113" s="72">
        <v>0</v>
      </c>
      <c r="E113" s="73" t="s">
        <v>29</v>
      </c>
      <c r="F113" s="73" t="s">
        <v>43</v>
      </c>
      <c r="G113" s="73" t="s">
        <v>44</v>
      </c>
      <c r="H113" s="73" t="s">
        <v>63</v>
      </c>
      <c r="I113" s="73" t="s">
        <v>63</v>
      </c>
    </row>
    <row r="114" spans="1:9" x14ac:dyDescent="0.2">
      <c r="A114" s="78"/>
      <c r="B114" s="72">
        <v>0</v>
      </c>
      <c r="C114" s="72">
        <v>0</v>
      </c>
      <c r="D114" s="72">
        <v>0</v>
      </c>
      <c r="E114" s="73" t="s">
        <v>29</v>
      </c>
      <c r="F114" s="73" t="s">
        <v>43</v>
      </c>
      <c r="G114" s="73" t="s">
        <v>44</v>
      </c>
      <c r="H114" s="73" t="s">
        <v>63</v>
      </c>
      <c r="I114" s="73" t="s">
        <v>63</v>
      </c>
    </row>
    <row r="115" spans="1:9" x14ac:dyDescent="0.2">
      <c r="A115" s="78"/>
      <c r="B115" s="72">
        <v>0</v>
      </c>
      <c r="C115" s="72">
        <v>0</v>
      </c>
      <c r="D115" s="72">
        <v>0</v>
      </c>
      <c r="E115" s="73" t="s">
        <v>29</v>
      </c>
      <c r="F115" s="73" t="s">
        <v>43</v>
      </c>
      <c r="G115" s="73" t="s">
        <v>44</v>
      </c>
      <c r="H115" s="73" t="s">
        <v>63</v>
      </c>
      <c r="I115" s="73" t="s">
        <v>63</v>
      </c>
    </row>
    <row r="116" spans="1:9" x14ac:dyDescent="0.2">
      <c r="A116" s="78"/>
      <c r="B116" s="72">
        <v>0</v>
      </c>
      <c r="C116" s="72">
        <v>0</v>
      </c>
      <c r="D116" s="72">
        <v>0</v>
      </c>
      <c r="E116" s="73" t="s">
        <v>29</v>
      </c>
      <c r="F116" s="73" t="s">
        <v>43</v>
      </c>
      <c r="G116" s="73" t="s">
        <v>44</v>
      </c>
      <c r="H116" s="73" t="s">
        <v>63</v>
      </c>
      <c r="I116" s="73" t="s">
        <v>63</v>
      </c>
    </row>
    <row r="117" spans="1:9" x14ac:dyDescent="0.2">
      <c r="A117" s="78"/>
      <c r="B117" s="72">
        <v>0</v>
      </c>
      <c r="C117" s="72">
        <v>0</v>
      </c>
      <c r="D117" s="72">
        <v>0</v>
      </c>
      <c r="E117" s="73" t="s">
        <v>29</v>
      </c>
      <c r="F117" s="73" t="s">
        <v>43</v>
      </c>
      <c r="G117" s="73" t="s">
        <v>44</v>
      </c>
      <c r="H117" s="73" t="s">
        <v>63</v>
      </c>
      <c r="I117" s="73" t="s">
        <v>63</v>
      </c>
    </row>
    <row r="118" spans="1:9" x14ac:dyDescent="0.2">
      <c r="A118" s="78"/>
      <c r="B118" s="72">
        <v>0</v>
      </c>
      <c r="C118" s="72">
        <v>0</v>
      </c>
      <c r="D118" s="72">
        <v>0</v>
      </c>
      <c r="E118" s="73" t="s">
        <v>29</v>
      </c>
      <c r="F118" s="73" t="s">
        <v>43</v>
      </c>
      <c r="G118" s="73" t="s">
        <v>44</v>
      </c>
      <c r="H118" s="73" t="s">
        <v>63</v>
      </c>
      <c r="I118" s="73" t="s">
        <v>63</v>
      </c>
    </row>
    <row r="119" spans="1:9" x14ac:dyDescent="0.2">
      <c r="A119" s="78"/>
      <c r="B119" s="72">
        <v>0</v>
      </c>
      <c r="C119" s="72">
        <v>0</v>
      </c>
      <c r="D119" s="72">
        <v>0</v>
      </c>
      <c r="E119" s="73" t="s">
        <v>29</v>
      </c>
      <c r="F119" s="73" t="s">
        <v>43</v>
      </c>
      <c r="G119" s="73" t="s">
        <v>44</v>
      </c>
      <c r="H119" s="73" t="s">
        <v>63</v>
      </c>
      <c r="I119" s="73" t="s">
        <v>63</v>
      </c>
    </row>
    <row r="120" spans="1:9" x14ac:dyDescent="0.2">
      <c r="A120" s="78"/>
      <c r="B120" s="72">
        <v>0</v>
      </c>
      <c r="C120" s="72">
        <v>0</v>
      </c>
      <c r="D120" s="72">
        <v>0</v>
      </c>
      <c r="E120" s="73" t="s">
        <v>29</v>
      </c>
      <c r="F120" s="73" t="s">
        <v>43</v>
      </c>
      <c r="G120" s="73" t="s">
        <v>44</v>
      </c>
      <c r="H120" s="73" t="s">
        <v>63</v>
      </c>
      <c r="I120" s="73" t="s">
        <v>63</v>
      </c>
    </row>
    <row r="121" spans="1:9" x14ac:dyDescent="0.2">
      <c r="A121" s="78"/>
      <c r="B121" s="72">
        <v>0</v>
      </c>
      <c r="C121" s="72">
        <v>0</v>
      </c>
      <c r="D121" s="72">
        <v>0</v>
      </c>
      <c r="E121" s="73" t="s">
        <v>29</v>
      </c>
      <c r="F121" s="73" t="s">
        <v>43</v>
      </c>
      <c r="G121" s="73" t="s">
        <v>44</v>
      </c>
      <c r="H121" s="73" t="s">
        <v>63</v>
      </c>
      <c r="I121" s="73" t="s">
        <v>63</v>
      </c>
    </row>
    <row r="122" spans="1:9" x14ac:dyDescent="0.2">
      <c r="A122" s="78"/>
      <c r="B122" s="72">
        <v>0</v>
      </c>
      <c r="C122" s="72">
        <v>0</v>
      </c>
      <c r="D122" s="72">
        <v>0</v>
      </c>
      <c r="E122" s="73" t="s">
        <v>29</v>
      </c>
      <c r="F122" s="73" t="s">
        <v>43</v>
      </c>
      <c r="G122" s="73" t="s">
        <v>44</v>
      </c>
      <c r="H122" s="73" t="s">
        <v>63</v>
      </c>
      <c r="I122" s="73" t="s">
        <v>63</v>
      </c>
    </row>
    <row r="123" spans="1:9" x14ac:dyDescent="0.2">
      <c r="A123" s="78"/>
      <c r="B123" s="72">
        <v>0</v>
      </c>
      <c r="C123" s="72">
        <v>0</v>
      </c>
      <c r="D123" s="72">
        <v>0</v>
      </c>
      <c r="E123" s="73" t="s">
        <v>29</v>
      </c>
      <c r="F123" s="73" t="s">
        <v>43</v>
      </c>
      <c r="G123" s="73" t="s">
        <v>44</v>
      </c>
      <c r="H123" s="73" t="s">
        <v>63</v>
      </c>
      <c r="I123" s="73" t="s">
        <v>63</v>
      </c>
    </row>
    <row r="124" spans="1:9" x14ac:dyDescent="0.2">
      <c r="A124" s="78"/>
      <c r="B124" s="72">
        <v>0</v>
      </c>
      <c r="C124" s="72">
        <v>0</v>
      </c>
      <c r="D124" s="72">
        <v>0</v>
      </c>
      <c r="E124" s="73" t="s">
        <v>29</v>
      </c>
      <c r="F124" s="73" t="s">
        <v>43</v>
      </c>
      <c r="G124" s="73" t="s">
        <v>44</v>
      </c>
      <c r="H124" s="73" t="s">
        <v>63</v>
      </c>
      <c r="I124" s="73" t="s">
        <v>63</v>
      </c>
    </row>
    <row r="125" spans="1:9" x14ac:dyDescent="0.2">
      <c r="A125" s="78"/>
      <c r="B125" s="72">
        <v>0</v>
      </c>
      <c r="C125" s="72">
        <v>0</v>
      </c>
      <c r="D125" s="72">
        <v>0</v>
      </c>
      <c r="E125" s="73" t="s">
        <v>29</v>
      </c>
      <c r="F125" s="73" t="s">
        <v>43</v>
      </c>
      <c r="G125" s="73" t="s">
        <v>44</v>
      </c>
      <c r="H125" s="73" t="s">
        <v>63</v>
      </c>
      <c r="I125" s="73" t="s">
        <v>63</v>
      </c>
    </row>
    <row r="126" spans="1:9" x14ac:dyDescent="0.2">
      <c r="A126" s="78"/>
      <c r="B126" s="72">
        <v>0</v>
      </c>
      <c r="C126" s="72">
        <v>0</v>
      </c>
      <c r="D126" s="72">
        <v>0</v>
      </c>
      <c r="E126" s="73" t="s">
        <v>29</v>
      </c>
      <c r="F126" s="73" t="s">
        <v>43</v>
      </c>
      <c r="G126" s="73" t="s">
        <v>44</v>
      </c>
      <c r="H126" s="73" t="s">
        <v>63</v>
      </c>
      <c r="I126" s="73" t="s">
        <v>63</v>
      </c>
    </row>
    <row r="127" spans="1:9" x14ac:dyDescent="0.2">
      <c r="A127" s="78"/>
      <c r="B127" s="72">
        <v>0</v>
      </c>
      <c r="C127" s="72">
        <v>0</v>
      </c>
      <c r="D127" s="72">
        <v>0</v>
      </c>
      <c r="E127" s="73" t="s">
        <v>29</v>
      </c>
      <c r="F127" s="73" t="s">
        <v>43</v>
      </c>
      <c r="G127" s="73" t="s">
        <v>44</v>
      </c>
      <c r="H127" s="73" t="s">
        <v>63</v>
      </c>
      <c r="I127" s="73" t="s">
        <v>63</v>
      </c>
    </row>
    <row r="128" spans="1:9" x14ac:dyDescent="0.2">
      <c r="A128" s="78"/>
      <c r="B128" s="72">
        <v>0</v>
      </c>
      <c r="C128" s="72">
        <v>0</v>
      </c>
      <c r="D128" s="72">
        <v>0</v>
      </c>
      <c r="E128" s="73" t="s">
        <v>29</v>
      </c>
      <c r="F128" s="73" t="s">
        <v>43</v>
      </c>
      <c r="G128" s="73" t="s">
        <v>44</v>
      </c>
      <c r="H128" s="73" t="s">
        <v>63</v>
      </c>
      <c r="I128" s="73" t="s">
        <v>63</v>
      </c>
    </row>
    <row r="129" spans="1:9" x14ac:dyDescent="0.2">
      <c r="A129" s="78"/>
      <c r="B129" s="72">
        <v>0</v>
      </c>
      <c r="C129" s="72">
        <v>0</v>
      </c>
      <c r="D129" s="72">
        <v>0</v>
      </c>
      <c r="E129" s="73" t="s">
        <v>29</v>
      </c>
      <c r="F129" s="73" t="s">
        <v>43</v>
      </c>
      <c r="G129" s="73" t="s">
        <v>44</v>
      </c>
      <c r="H129" s="73" t="s">
        <v>63</v>
      </c>
      <c r="I129" s="73" t="s">
        <v>63</v>
      </c>
    </row>
    <row r="130" spans="1:9" x14ac:dyDescent="0.2">
      <c r="A130" s="78"/>
      <c r="B130" s="72">
        <v>0</v>
      </c>
      <c r="C130" s="72">
        <v>0</v>
      </c>
      <c r="D130" s="72">
        <v>0</v>
      </c>
      <c r="E130" s="73" t="s">
        <v>29</v>
      </c>
      <c r="F130" s="73" t="s">
        <v>43</v>
      </c>
      <c r="G130" s="73" t="s">
        <v>44</v>
      </c>
      <c r="H130" s="73" t="s">
        <v>63</v>
      </c>
      <c r="I130" s="73" t="s">
        <v>63</v>
      </c>
    </row>
    <row r="131" spans="1:9" x14ac:dyDescent="0.2">
      <c r="A131" s="78"/>
      <c r="B131" s="72">
        <v>0</v>
      </c>
      <c r="C131" s="72">
        <v>0</v>
      </c>
      <c r="D131" s="72">
        <v>0</v>
      </c>
      <c r="E131" s="73" t="s">
        <v>29</v>
      </c>
      <c r="F131" s="73" t="s">
        <v>43</v>
      </c>
      <c r="G131" s="73" t="s">
        <v>44</v>
      </c>
      <c r="H131" s="73" t="s">
        <v>63</v>
      </c>
      <c r="I131" s="73" t="s">
        <v>63</v>
      </c>
    </row>
    <row r="132" spans="1:9" x14ac:dyDescent="0.2">
      <c r="A132" s="78"/>
      <c r="B132" s="72">
        <v>0</v>
      </c>
      <c r="C132" s="72">
        <v>0</v>
      </c>
      <c r="D132" s="72">
        <v>0</v>
      </c>
      <c r="E132" s="73" t="s">
        <v>29</v>
      </c>
      <c r="F132" s="73" t="s">
        <v>43</v>
      </c>
      <c r="G132" s="73" t="s">
        <v>44</v>
      </c>
      <c r="H132" s="73" t="s">
        <v>63</v>
      </c>
      <c r="I132" s="73" t="s">
        <v>63</v>
      </c>
    </row>
    <row r="133" spans="1:9" x14ac:dyDescent="0.2">
      <c r="A133" s="78"/>
      <c r="B133" s="72">
        <v>0</v>
      </c>
      <c r="C133" s="72">
        <v>0</v>
      </c>
      <c r="D133" s="72">
        <v>0</v>
      </c>
      <c r="E133" s="73" t="s">
        <v>29</v>
      </c>
      <c r="F133" s="73" t="s">
        <v>43</v>
      </c>
      <c r="G133" s="73" t="s">
        <v>44</v>
      </c>
      <c r="H133" s="73" t="s">
        <v>63</v>
      </c>
      <c r="I133" s="73" t="s">
        <v>63</v>
      </c>
    </row>
    <row r="134" spans="1:9" x14ac:dyDescent="0.2">
      <c r="A134" s="78"/>
      <c r="B134" s="72">
        <v>0</v>
      </c>
      <c r="C134" s="72">
        <v>0</v>
      </c>
      <c r="D134" s="72">
        <v>0</v>
      </c>
      <c r="E134" s="73" t="s">
        <v>29</v>
      </c>
      <c r="F134" s="73" t="s">
        <v>43</v>
      </c>
      <c r="G134" s="73" t="s">
        <v>44</v>
      </c>
      <c r="H134" s="73" t="s">
        <v>63</v>
      </c>
      <c r="I134" s="73" t="s">
        <v>63</v>
      </c>
    </row>
    <row r="135" spans="1:9" x14ac:dyDescent="0.2">
      <c r="A135" s="78"/>
      <c r="B135" s="72">
        <v>0</v>
      </c>
      <c r="C135" s="72">
        <v>0</v>
      </c>
      <c r="D135" s="72">
        <v>0</v>
      </c>
      <c r="E135" s="73" t="s">
        <v>29</v>
      </c>
      <c r="F135" s="73" t="s">
        <v>43</v>
      </c>
      <c r="G135" s="73" t="s">
        <v>44</v>
      </c>
      <c r="H135" s="73" t="s">
        <v>63</v>
      </c>
      <c r="I135" s="73" t="s">
        <v>63</v>
      </c>
    </row>
    <row r="136" spans="1:9" x14ac:dyDescent="0.2">
      <c r="A136" s="78"/>
      <c r="B136" s="72">
        <v>0</v>
      </c>
      <c r="C136" s="72">
        <v>0</v>
      </c>
      <c r="D136" s="72">
        <v>0</v>
      </c>
      <c r="E136" s="73" t="s">
        <v>29</v>
      </c>
      <c r="F136" s="73" t="s">
        <v>43</v>
      </c>
      <c r="G136" s="73" t="s">
        <v>44</v>
      </c>
      <c r="H136" s="73" t="s">
        <v>63</v>
      </c>
      <c r="I136" s="73" t="s">
        <v>63</v>
      </c>
    </row>
    <row r="137" spans="1:9" x14ac:dyDescent="0.2">
      <c r="A137" s="78"/>
      <c r="B137" s="72">
        <v>0</v>
      </c>
      <c r="C137" s="72">
        <v>0</v>
      </c>
      <c r="D137" s="72">
        <v>0</v>
      </c>
      <c r="E137" s="73" t="s">
        <v>29</v>
      </c>
      <c r="F137" s="73" t="s">
        <v>43</v>
      </c>
      <c r="G137" s="73" t="s">
        <v>44</v>
      </c>
      <c r="H137" s="73" t="s">
        <v>63</v>
      </c>
      <c r="I137" s="73" t="s">
        <v>63</v>
      </c>
    </row>
    <row r="138" spans="1:9" x14ac:dyDescent="0.2">
      <c r="A138" s="78"/>
      <c r="B138" s="72">
        <v>0</v>
      </c>
      <c r="C138" s="72">
        <v>0</v>
      </c>
      <c r="D138" s="72">
        <v>0</v>
      </c>
      <c r="E138" s="73" t="s">
        <v>29</v>
      </c>
      <c r="F138" s="73" t="s">
        <v>43</v>
      </c>
      <c r="G138" s="73" t="s">
        <v>44</v>
      </c>
      <c r="H138" s="73" t="s">
        <v>63</v>
      </c>
      <c r="I138" s="73" t="s">
        <v>63</v>
      </c>
    </row>
    <row r="139" spans="1:9" x14ac:dyDescent="0.2">
      <c r="A139" s="78"/>
      <c r="B139" s="72">
        <v>0</v>
      </c>
      <c r="C139" s="72">
        <v>0</v>
      </c>
      <c r="D139" s="72">
        <v>0</v>
      </c>
      <c r="E139" s="73" t="s">
        <v>29</v>
      </c>
      <c r="F139" s="73" t="s">
        <v>43</v>
      </c>
      <c r="G139" s="73" t="s">
        <v>44</v>
      </c>
      <c r="H139" s="73" t="s">
        <v>63</v>
      </c>
      <c r="I139" s="73" t="s">
        <v>63</v>
      </c>
    </row>
    <row r="140" spans="1:9" x14ac:dyDescent="0.2">
      <c r="A140" s="78"/>
      <c r="B140" s="72">
        <v>0</v>
      </c>
      <c r="C140" s="72">
        <v>0</v>
      </c>
      <c r="D140" s="72">
        <v>0</v>
      </c>
      <c r="E140" s="73" t="s">
        <v>29</v>
      </c>
      <c r="F140" s="73" t="s">
        <v>43</v>
      </c>
      <c r="G140" s="73" t="s">
        <v>44</v>
      </c>
      <c r="H140" s="73" t="s">
        <v>63</v>
      </c>
      <c r="I140" s="73" t="s">
        <v>63</v>
      </c>
    </row>
    <row r="141" spans="1:9" x14ac:dyDescent="0.2">
      <c r="A141" s="78"/>
      <c r="B141" s="72">
        <v>0</v>
      </c>
      <c r="C141" s="72">
        <v>0</v>
      </c>
      <c r="D141" s="72">
        <v>0</v>
      </c>
      <c r="E141" s="73" t="s">
        <v>29</v>
      </c>
      <c r="F141" s="73" t="s">
        <v>43</v>
      </c>
      <c r="G141" s="73" t="s">
        <v>44</v>
      </c>
      <c r="H141" s="73" t="s">
        <v>63</v>
      </c>
      <c r="I141" s="73" t="s">
        <v>63</v>
      </c>
    </row>
    <row r="142" spans="1:9" x14ac:dyDescent="0.2">
      <c r="A142" s="78"/>
      <c r="B142" s="72">
        <v>0</v>
      </c>
      <c r="C142" s="72">
        <v>0</v>
      </c>
      <c r="D142" s="72">
        <v>0</v>
      </c>
      <c r="E142" s="73" t="s">
        <v>29</v>
      </c>
      <c r="F142" s="73" t="s">
        <v>43</v>
      </c>
      <c r="G142" s="73" t="s">
        <v>44</v>
      </c>
      <c r="H142" s="73" t="s">
        <v>63</v>
      </c>
      <c r="I142" s="73" t="s">
        <v>63</v>
      </c>
    </row>
    <row r="143" spans="1:9" x14ac:dyDescent="0.2">
      <c r="A143" s="78"/>
      <c r="B143" s="72">
        <v>0</v>
      </c>
      <c r="C143" s="72">
        <v>0</v>
      </c>
      <c r="D143" s="72">
        <v>0</v>
      </c>
      <c r="E143" s="73" t="s">
        <v>29</v>
      </c>
      <c r="F143" s="73" t="s">
        <v>43</v>
      </c>
      <c r="G143" s="73" t="s">
        <v>44</v>
      </c>
      <c r="H143" s="73" t="s">
        <v>63</v>
      </c>
      <c r="I143" s="73" t="s">
        <v>63</v>
      </c>
    </row>
    <row r="144" spans="1:9" x14ac:dyDescent="0.2">
      <c r="A144" s="78"/>
      <c r="B144" s="72">
        <v>0</v>
      </c>
      <c r="C144" s="72">
        <v>0</v>
      </c>
      <c r="D144" s="72">
        <v>0</v>
      </c>
      <c r="E144" s="73" t="s">
        <v>29</v>
      </c>
      <c r="F144" s="73" t="s">
        <v>43</v>
      </c>
      <c r="G144" s="73" t="s">
        <v>44</v>
      </c>
      <c r="H144" s="73" t="s">
        <v>63</v>
      </c>
      <c r="I144" s="73" t="s">
        <v>63</v>
      </c>
    </row>
    <row r="145" spans="1:9" x14ac:dyDescent="0.2">
      <c r="A145" s="78"/>
      <c r="B145" s="72">
        <v>0</v>
      </c>
      <c r="C145" s="72">
        <v>0</v>
      </c>
      <c r="D145" s="72">
        <v>0</v>
      </c>
      <c r="E145" s="73" t="s">
        <v>29</v>
      </c>
      <c r="F145" s="73" t="s">
        <v>43</v>
      </c>
      <c r="G145" s="73" t="s">
        <v>44</v>
      </c>
      <c r="H145" s="73" t="s">
        <v>63</v>
      </c>
      <c r="I145" s="73" t="s">
        <v>63</v>
      </c>
    </row>
    <row r="146" spans="1:9" x14ac:dyDescent="0.2">
      <c r="A146" s="78"/>
      <c r="B146" s="72">
        <v>0</v>
      </c>
      <c r="C146" s="72">
        <v>0</v>
      </c>
      <c r="D146" s="72">
        <v>0</v>
      </c>
      <c r="E146" s="73" t="s">
        <v>29</v>
      </c>
      <c r="F146" s="73" t="s">
        <v>43</v>
      </c>
      <c r="G146" s="73" t="s">
        <v>44</v>
      </c>
      <c r="H146" s="73" t="s">
        <v>63</v>
      </c>
      <c r="I146" s="73" t="s">
        <v>63</v>
      </c>
    </row>
    <row r="147" spans="1:9" x14ac:dyDescent="0.2">
      <c r="A147" s="78"/>
      <c r="B147" s="72">
        <v>0</v>
      </c>
      <c r="C147" s="72">
        <v>0</v>
      </c>
      <c r="D147" s="72">
        <v>0</v>
      </c>
      <c r="E147" s="73" t="s">
        <v>29</v>
      </c>
      <c r="F147" s="73" t="s">
        <v>43</v>
      </c>
      <c r="G147" s="73" t="s">
        <v>44</v>
      </c>
      <c r="H147" s="73" t="s">
        <v>63</v>
      </c>
      <c r="I147" s="73" t="s">
        <v>63</v>
      </c>
    </row>
    <row r="148" spans="1:9" x14ac:dyDescent="0.2">
      <c r="A148" s="78"/>
      <c r="B148" s="72">
        <v>0</v>
      </c>
      <c r="C148" s="72">
        <v>0</v>
      </c>
      <c r="D148" s="72">
        <v>0</v>
      </c>
      <c r="E148" s="73" t="s">
        <v>29</v>
      </c>
      <c r="F148" s="73" t="s">
        <v>43</v>
      </c>
      <c r="G148" s="73" t="s">
        <v>44</v>
      </c>
      <c r="H148" s="73" t="s">
        <v>63</v>
      </c>
      <c r="I148" s="73" t="s">
        <v>63</v>
      </c>
    </row>
    <row r="149" spans="1:9" x14ac:dyDescent="0.2">
      <c r="A149" s="78"/>
      <c r="B149" s="72">
        <v>0</v>
      </c>
      <c r="C149" s="72">
        <v>0</v>
      </c>
      <c r="D149" s="72">
        <v>0</v>
      </c>
      <c r="E149" s="73" t="s">
        <v>29</v>
      </c>
      <c r="F149" s="73" t="s">
        <v>43</v>
      </c>
      <c r="G149" s="73" t="s">
        <v>44</v>
      </c>
      <c r="H149" s="73" t="s">
        <v>63</v>
      </c>
      <c r="I149" s="73" t="s">
        <v>63</v>
      </c>
    </row>
    <row r="150" spans="1:9" x14ac:dyDescent="0.2">
      <c r="A150" s="78"/>
      <c r="B150" s="72">
        <v>0</v>
      </c>
      <c r="C150" s="72">
        <v>0</v>
      </c>
      <c r="D150" s="72">
        <v>0</v>
      </c>
      <c r="E150" s="73" t="s">
        <v>29</v>
      </c>
      <c r="F150" s="73" t="s">
        <v>43</v>
      </c>
      <c r="G150" s="73" t="s">
        <v>44</v>
      </c>
      <c r="H150" s="73" t="s">
        <v>63</v>
      </c>
      <c r="I150" s="73" t="s">
        <v>63</v>
      </c>
    </row>
    <row r="151" spans="1:9" x14ac:dyDescent="0.2">
      <c r="A151" s="78"/>
      <c r="B151" s="72">
        <v>0</v>
      </c>
      <c r="C151" s="72">
        <v>0</v>
      </c>
      <c r="D151" s="72">
        <v>0</v>
      </c>
      <c r="E151" s="73" t="s">
        <v>29</v>
      </c>
      <c r="F151" s="73" t="s">
        <v>43</v>
      </c>
      <c r="G151" s="73" t="s">
        <v>44</v>
      </c>
      <c r="H151" s="73" t="s">
        <v>63</v>
      </c>
      <c r="I151" s="73" t="s">
        <v>63</v>
      </c>
    </row>
    <row r="152" spans="1:9" x14ac:dyDescent="0.2">
      <c r="A152" s="78"/>
      <c r="B152" s="72">
        <v>0</v>
      </c>
      <c r="C152" s="72">
        <v>0</v>
      </c>
      <c r="D152" s="72">
        <v>0</v>
      </c>
      <c r="E152" s="73" t="s">
        <v>29</v>
      </c>
      <c r="F152" s="73" t="s">
        <v>43</v>
      </c>
      <c r="G152" s="73" t="s">
        <v>44</v>
      </c>
      <c r="H152" s="73" t="s">
        <v>63</v>
      </c>
      <c r="I152" s="73" t="s">
        <v>63</v>
      </c>
    </row>
    <row r="153" spans="1:9" x14ac:dyDescent="0.2">
      <c r="A153" s="78"/>
      <c r="B153" s="72">
        <v>0</v>
      </c>
      <c r="C153" s="72">
        <v>0</v>
      </c>
      <c r="D153" s="72">
        <v>0</v>
      </c>
      <c r="E153" s="73" t="s">
        <v>29</v>
      </c>
      <c r="F153" s="73" t="s">
        <v>43</v>
      </c>
      <c r="G153" s="73" t="s">
        <v>44</v>
      </c>
      <c r="H153" s="73" t="s">
        <v>63</v>
      </c>
      <c r="I153" s="73" t="s">
        <v>63</v>
      </c>
    </row>
    <row r="154" spans="1:9" x14ac:dyDescent="0.2">
      <c r="A154" s="78"/>
      <c r="B154" s="72">
        <v>0</v>
      </c>
      <c r="C154" s="72">
        <v>0</v>
      </c>
      <c r="D154" s="72">
        <v>0</v>
      </c>
      <c r="E154" s="73" t="s">
        <v>29</v>
      </c>
      <c r="F154" s="73" t="s">
        <v>43</v>
      </c>
      <c r="G154" s="73" t="s">
        <v>44</v>
      </c>
      <c r="H154" s="73" t="s">
        <v>63</v>
      </c>
      <c r="I154" s="73" t="s">
        <v>63</v>
      </c>
    </row>
    <row r="155" spans="1:9" x14ac:dyDescent="0.2">
      <c r="A155" s="78"/>
      <c r="B155" s="72">
        <v>0</v>
      </c>
      <c r="C155" s="72">
        <v>0</v>
      </c>
      <c r="D155" s="72">
        <v>0</v>
      </c>
      <c r="E155" s="73" t="s">
        <v>29</v>
      </c>
      <c r="F155" s="73" t="s">
        <v>43</v>
      </c>
      <c r="G155" s="73" t="s">
        <v>44</v>
      </c>
      <c r="H155" s="73" t="s">
        <v>63</v>
      </c>
      <c r="I155" s="73" t="s">
        <v>63</v>
      </c>
    </row>
    <row r="156" spans="1:9" x14ac:dyDescent="0.2">
      <c r="A156" s="78"/>
      <c r="B156" s="72">
        <v>0</v>
      </c>
      <c r="C156" s="72">
        <v>0</v>
      </c>
      <c r="D156" s="72">
        <v>0</v>
      </c>
      <c r="E156" s="73" t="s">
        <v>29</v>
      </c>
      <c r="F156" s="73" t="s">
        <v>43</v>
      </c>
      <c r="G156" s="73" t="s">
        <v>44</v>
      </c>
      <c r="H156" s="73" t="s">
        <v>63</v>
      </c>
      <c r="I156" s="73" t="s">
        <v>63</v>
      </c>
    </row>
    <row r="157" spans="1:9" x14ac:dyDescent="0.2">
      <c r="A157" s="78"/>
      <c r="B157" s="72">
        <v>0</v>
      </c>
      <c r="C157" s="72">
        <v>0</v>
      </c>
      <c r="D157" s="72">
        <v>0</v>
      </c>
      <c r="E157" s="73" t="s">
        <v>29</v>
      </c>
      <c r="F157" s="73" t="s">
        <v>43</v>
      </c>
      <c r="G157" s="73" t="s">
        <v>44</v>
      </c>
      <c r="H157" s="73" t="s">
        <v>63</v>
      </c>
      <c r="I157" s="73" t="s">
        <v>63</v>
      </c>
    </row>
    <row r="158" spans="1:9" x14ac:dyDescent="0.2">
      <c r="A158" s="78"/>
      <c r="B158" s="72">
        <v>0</v>
      </c>
      <c r="C158" s="72">
        <v>0</v>
      </c>
      <c r="D158" s="72">
        <v>0</v>
      </c>
      <c r="E158" s="73" t="s">
        <v>29</v>
      </c>
      <c r="F158" s="73" t="s">
        <v>43</v>
      </c>
      <c r="G158" s="73" t="s">
        <v>44</v>
      </c>
      <c r="H158" s="73" t="s">
        <v>63</v>
      </c>
      <c r="I158" s="73" t="s">
        <v>63</v>
      </c>
    </row>
    <row r="159" spans="1:9" x14ac:dyDescent="0.2">
      <c r="A159" s="78"/>
      <c r="B159" s="72">
        <v>0</v>
      </c>
      <c r="C159" s="72">
        <v>0</v>
      </c>
      <c r="D159" s="72">
        <v>0</v>
      </c>
      <c r="E159" s="73" t="s">
        <v>29</v>
      </c>
      <c r="F159" s="73" t="s">
        <v>43</v>
      </c>
      <c r="G159" s="73" t="s">
        <v>44</v>
      </c>
      <c r="H159" s="73" t="s">
        <v>63</v>
      </c>
      <c r="I159" s="73" t="s">
        <v>63</v>
      </c>
    </row>
    <row r="160" spans="1:9" x14ac:dyDescent="0.2">
      <c r="A160" s="78"/>
      <c r="B160" s="72">
        <v>0</v>
      </c>
      <c r="C160" s="72">
        <v>0</v>
      </c>
      <c r="D160" s="72">
        <v>0</v>
      </c>
      <c r="E160" s="73" t="s">
        <v>29</v>
      </c>
      <c r="F160" s="73" t="s">
        <v>43</v>
      </c>
      <c r="G160" s="73" t="s">
        <v>44</v>
      </c>
      <c r="H160" s="73" t="s">
        <v>63</v>
      </c>
      <c r="I160" s="73" t="s">
        <v>63</v>
      </c>
    </row>
    <row r="161" spans="1:9" x14ac:dyDescent="0.2">
      <c r="A161" s="78"/>
      <c r="B161" s="72">
        <v>0</v>
      </c>
      <c r="C161" s="72">
        <v>0</v>
      </c>
      <c r="D161" s="72">
        <v>0</v>
      </c>
      <c r="E161" s="73" t="s">
        <v>29</v>
      </c>
      <c r="F161" s="73" t="s">
        <v>43</v>
      </c>
      <c r="G161" s="73" t="s">
        <v>44</v>
      </c>
      <c r="H161" s="73" t="s">
        <v>63</v>
      </c>
      <c r="I161" s="73" t="s">
        <v>63</v>
      </c>
    </row>
    <row r="162" spans="1:9" x14ac:dyDescent="0.2">
      <c r="A162" s="78"/>
      <c r="B162" s="72">
        <v>0</v>
      </c>
      <c r="C162" s="72">
        <v>0</v>
      </c>
      <c r="D162" s="72">
        <v>0</v>
      </c>
      <c r="E162" s="73" t="s">
        <v>29</v>
      </c>
      <c r="F162" s="73" t="s">
        <v>43</v>
      </c>
      <c r="G162" s="73" t="s">
        <v>44</v>
      </c>
      <c r="H162" s="73" t="s">
        <v>63</v>
      </c>
      <c r="I162" s="73" t="s">
        <v>63</v>
      </c>
    </row>
    <row r="163" spans="1:9" x14ac:dyDescent="0.2">
      <c r="A163" s="78"/>
      <c r="B163" s="72">
        <v>0</v>
      </c>
      <c r="C163" s="72">
        <v>0</v>
      </c>
      <c r="D163" s="72">
        <v>0</v>
      </c>
      <c r="E163" s="73" t="s">
        <v>29</v>
      </c>
      <c r="F163" s="73" t="s">
        <v>43</v>
      </c>
      <c r="G163" s="73" t="s">
        <v>44</v>
      </c>
      <c r="H163" s="73" t="s">
        <v>63</v>
      </c>
      <c r="I163" s="73" t="s">
        <v>63</v>
      </c>
    </row>
    <row r="164" spans="1:9" x14ac:dyDescent="0.2">
      <c r="A164" s="78"/>
      <c r="B164" s="72">
        <v>0</v>
      </c>
      <c r="C164" s="72">
        <v>0</v>
      </c>
      <c r="D164" s="72">
        <v>0</v>
      </c>
      <c r="E164" s="73" t="s">
        <v>29</v>
      </c>
      <c r="F164" s="73" t="s">
        <v>43</v>
      </c>
      <c r="G164" s="73" t="s">
        <v>44</v>
      </c>
      <c r="H164" s="73" t="s">
        <v>63</v>
      </c>
      <c r="I164" s="73" t="s">
        <v>63</v>
      </c>
    </row>
    <row r="165" spans="1:9" x14ac:dyDescent="0.2">
      <c r="A165" s="78"/>
      <c r="B165" s="72">
        <v>0</v>
      </c>
      <c r="C165" s="72">
        <v>0</v>
      </c>
      <c r="D165" s="72">
        <v>0</v>
      </c>
      <c r="E165" s="73" t="s">
        <v>29</v>
      </c>
      <c r="F165" s="73" t="s">
        <v>43</v>
      </c>
      <c r="G165" s="73" t="s">
        <v>44</v>
      </c>
      <c r="H165" s="73" t="s">
        <v>63</v>
      </c>
      <c r="I165" s="73" t="s">
        <v>63</v>
      </c>
    </row>
    <row r="166" spans="1:9" x14ac:dyDescent="0.2">
      <c r="A166" s="78"/>
      <c r="B166" s="72">
        <v>0</v>
      </c>
      <c r="C166" s="72">
        <v>0</v>
      </c>
      <c r="D166" s="72">
        <v>0</v>
      </c>
      <c r="E166" s="73" t="s">
        <v>29</v>
      </c>
      <c r="F166" s="73" t="s">
        <v>43</v>
      </c>
      <c r="G166" s="73" t="s">
        <v>44</v>
      </c>
      <c r="H166" s="73" t="s">
        <v>63</v>
      </c>
      <c r="I166" s="73" t="s">
        <v>63</v>
      </c>
    </row>
    <row r="167" spans="1:9" x14ac:dyDescent="0.2">
      <c r="A167" s="78"/>
      <c r="B167" s="72">
        <v>0</v>
      </c>
      <c r="C167" s="72">
        <v>0</v>
      </c>
      <c r="D167" s="72">
        <v>0</v>
      </c>
      <c r="E167" s="73" t="s">
        <v>29</v>
      </c>
      <c r="F167" s="73" t="s">
        <v>43</v>
      </c>
      <c r="G167" s="73" t="s">
        <v>44</v>
      </c>
      <c r="H167" s="73" t="s">
        <v>63</v>
      </c>
      <c r="I167" s="73" t="s">
        <v>63</v>
      </c>
    </row>
    <row r="168" spans="1:9" x14ac:dyDescent="0.2">
      <c r="A168" s="78"/>
      <c r="B168" s="72">
        <v>0</v>
      </c>
      <c r="C168" s="72">
        <v>0</v>
      </c>
      <c r="D168" s="72">
        <v>0</v>
      </c>
      <c r="E168" s="73" t="s">
        <v>29</v>
      </c>
      <c r="F168" s="73" t="s">
        <v>43</v>
      </c>
      <c r="G168" s="73" t="s">
        <v>44</v>
      </c>
      <c r="H168" s="73" t="s">
        <v>63</v>
      </c>
      <c r="I168" s="73" t="s">
        <v>63</v>
      </c>
    </row>
    <row r="169" spans="1:9" x14ac:dyDescent="0.2">
      <c r="A169" s="78"/>
      <c r="B169" s="72">
        <v>0</v>
      </c>
      <c r="C169" s="72">
        <v>0</v>
      </c>
      <c r="D169" s="72">
        <v>0</v>
      </c>
      <c r="E169" s="73" t="s">
        <v>29</v>
      </c>
      <c r="F169" s="73" t="s">
        <v>43</v>
      </c>
      <c r="G169" s="73" t="s">
        <v>44</v>
      </c>
      <c r="H169" s="73" t="s">
        <v>63</v>
      </c>
      <c r="I169" s="73" t="s">
        <v>63</v>
      </c>
    </row>
    <row r="170" spans="1:9" x14ac:dyDescent="0.2">
      <c r="A170" s="78"/>
      <c r="B170" s="72">
        <v>0</v>
      </c>
      <c r="C170" s="72">
        <v>0</v>
      </c>
      <c r="D170" s="72">
        <v>0</v>
      </c>
      <c r="E170" s="73" t="s">
        <v>29</v>
      </c>
      <c r="F170" s="73" t="s">
        <v>43</v>
      </c>
      <c r="G170" s="73" t="s">
        <v>44</v>
      </c>
      <c r="H170" s="73" t="s">
        <v>63</v>
      </c>
      <c r="I170" s="73" t="s">
        <v>63</v>
      </c>
    </row>
    <row r="171" spans="1:9" x14ac:dyDescent="0.2">
      <c r="A171" s="78"/>
      <c r="B171" s="72">
        <v>0</v>
      </c>
      <c r="C171" s="72">
        <v>0</v>
      </c>
      <c r="D171" s="72">
        <v>0</v>
      </c>
      <c r="E171" s="73" t="s">
        <v>29</v>
      </c>
      <c r="F171" s="73" t="s">
        <v>43</v>
      </c>
      <c r="G171" s="73" t="s">
        <v>44</v>
      </c>
      <c r="H171" s="73" t="s">
        <v>63</v>
      </c>
      <c r="I171" s="73" t="s">
        <v>63</v>
      </c>
    </row>
    <row r="172" spans="1:9" x14ac:dyDescent="0.2">
      <c r="A172" s="78"/>
      <c r="B172" s="72">
        <v>0</v>
      </c>
      <c r="C172" s="72">
        <v>0</v>
      </c>
      <c r="D172" s="72">
        <v>0</v>
      </c>
      <c r="E172" s="73" t="s">
        <v>29</v>
      </c>
      <c r="F172" s="73" t="s">
        <v>43</v>
      </c>
      <c r="G172" s="73" t="s">
        <v>44</v>
      </c>
      <c r="H172" s="73" t="s">
        <v>63</v>
      </c>
      <c r="I172" s="73" t="s">
        <v>63</v>
      </c>
    </row>
    <row r="173" spans="1:9" x14ac:dyDescent="0.2">
      <c r="A173" s="78"/>
      <c r="B173" s="72">
        <v>0</v>
      </c>
      <c r="C173" s="72">
        <v>0</v>
      </c>
      <c r="D173" s="72">
        <v>0</v>
      </c>
      <c r="E173" s="73" t="s">
        <v>29</v>
      </c>
      <c r="F173" s="73" t="s">
        <v>43</v>
      </c>
      <c r="G173" s="73" t="s">
        <v>44</v>
      </c>
      <c r="H173" s="73" t="s">
        <v>63</v>
      </c>
      <c r="I173" s="73" t="s">
        <v>63</v>
      </c>
    </row>
    <row r="174" spans="1:9" x14ac:dyDescent="0.2">
      <c r="A174" s="78"/>
      <c r="B174" s="72">
        <v>0</v>
      </c>
      <c r="C174" s="72">
        <v>0</v>
      </c>
      <c r="D174" s="72">
        <v>0</v>
      </c>
      <c r="E174" s="73" t="s">
        <v>29</v>
      </c>
      <c r="F174" s="73" t="s">
        <v>43</v>
      </c>
      <c r="G174" s="73" t="s">
        <v>44</v>
      </c>
      <c r="H174" s="73" t="s">
        <v>63</v>
      </c>
      <c r="I174" s="73" t="s">
        <v>63</v>
      </c>
    </row>
    <row r="175" spans="1:9" x14ac:dyDescent="0.2">
      <c r="A175" s="78"/>
      <c r="B175" s="72">
        <v>0</v>
      </c>
      <c r="C175" s="72">
        <v>0</v>
      </c>
      <c r="D175" s="72">
        <v>0</v>
      </c>
      <c r="E175" s="73" t="s">
        <v>29</v>
      </c>
      <c r="F175" s="73" t="s">
        <v>43</v>
      </c>
      <c r="G175" s="73" t="s">
        <v>44</v>
      </c>
      <c r="H175" s="73" t="s">
        <v>63</v>
      </c>
      <c r="I175" s="73" t="s">
        <v>63</v>
      </c>
    </row>
    <row r="176" spans="1:9" x14ac:dyDescent="0.2">
      <c r="A176" s="78"/>
      <c r="B176" s="72">
        <v>0</v>
      </c>
      <c r="C176" s="72">
        <v>0</v>
      </c>
      <c r="D176" s="72">
        <v>0</v>
      </c>
      <c r="E176" s="73" t="s">
        <v>29</v>
      </c>
      <c r="F176" s="73" t="s">
        <v>43</v>
      </c>
      <c r="G176" s="73" t="s">
        <v>44</v>
      </c>
      <c r="H176" s="73" t="s">
        <v>63</v>
      </c>
      <c r="I176" s="73" t="s">
        <v>63</v>
      </c>
    </row>
    <row r="177" spans="1:9" x14ac:dyDescent="0.2">
      <c r="A177" s="78"/>
      <c r="B177" s="72">
        <v>0</v>
      </c>
      <c r="C177" s="72">
        <v>0</v>
      </c>
      <c r="D177" s="72">
        <v>0</v>
      </c>
      <c r="E177" s="73" t="s">
        <v>29</v>
      </c>
      <c r="F177" s="73" t="s">
        <v>43</v>
      </c>
      <c r="G177" s="73" t="s">
        <v>44</v>
      </c>
      <c r="H177" s="73" t="s">
        <v>63</v>
      </c>
      <c r="I177" s="73" t="s">
        <v>63</v>
      </c>
    </row>
    <row r="178" spans="1:9" x14ac:dyDescent="0.2">
      <c r="A178" s="78"/>
      <c r="B178" s="72">
        <v>0</v>
      </c>
      <c r="C178" s="72">
        <v>0</v>
      </c>
      <c r="D178" s="72">
        <v>0</v>
      </c>
      <c r="E178" s="73" t="s">
        <v>29</v>
      </c>
      <c r="F178" s="73" t="s">
        <v>43</v>
      </c>
      <c r="G178" s="73" t="s">
        <v>44</v>
      </c>
      <c r="H178" s="73" t="s">
        <v>63</v>
      </c>
      <c r="I178" s="73" t="s">
        <v>63</v>
      </c>
    </row>
    <row r="179" spans="1:9" x14ac:dyDescent="0.2">
      <c r="A179" s="78"/>
      <c r="B179" s="72">
        <v>0</v>
      </c>
      <c r="C179" s="72">
        <v>0</v>
      </c>
      <c r="D179" s="72">
        <v>0</v>
      </c>
      <c r="E179" s="73" t="s">
        <v>29</v>
      </c>
      <c r="F179" s="73" t="s">
        <v>43</v>
      </c>
      <c r="G179" s="73" t="s">
        <v>44</v>
      </c>
      <c r="H179" s="73" t="s">
        <v>63</v>
      </c>
      <c r="I179" s="73" t="s">
        <v>63</v>
      </c>
    </row>
    <row r="180" spans="1:9" x14ac:dyDescent="0.2">
      <c r="A180" s="78"/>
      <c r="B180" s="72">
        <v>0</v>
      </c>
      <c r="C180" s="72">
        <v>0</v>
      </c>
      <c r="D180" s="72">
        <v>0</v>
      </c>
      <c r="E180" s="73" t="s">
        <v>29</v>
      </c>
      <c r="F180" s="73" t="s">
        <v>43</v>
      </c>
      <c r="G180" s="73" t="s">
        <v>44</v>
      </c>
      <c r="H180" s="73" t="s">
        <v>63</v>
      </c>
      <c r="I180" s="73" t="s">
        <v>63</v>
      </c>
    </row>
    <row r="181" spans="1:9" x14ac:dyDescent="0.2">
      <c r="A181" s="78"/>
      <c r="B181" s="72">
        <v>0</v>
      </c>
      <c r="C181" s="72">
        <v>0</v>
      </c>
      <c r="D181" s="72">
        <v>0</v>
      </c>
      <c r="E181" s="73" t="s">
        <v>29</v>
      </c>
      <c r="F181" s="73" t="s">
        <v>43</v>
      </c>
      <c r="G181" s="73" t="s">
        <v>44</v>
      </c>
      <c r="H181" s="73" t="s">
        <v>63</v>
      </c>
      <c r="I181" s="73" t="s">
        <v>63</v>
      </c>
    </row>
    <row r="182" spans="1:9" x14ac:dyDescent="0.2">
      <c r="A182" s="78"/>
      <c r="B182" s="72">
        <v>0</v>
      </c>
      <c r="C182" s="72">
        <v>0</v>
      </c>
      <c r="D182" s="72">
        <v>0</v>
      </c>
      <c r="E182" s="73" t="s">
        <v>29</v>
      </c>
      <c r="F182" s="73" t="s">
        <v>43</v>
      </c>
      <c r="G182" s="73" t="s">
        <v>44</v>
      </c>
      <c r="H182" s="73" t="s">
        <v>63</v>
      </c>
      <c r="I182" s="73" t="s">
        <v>63</v>
      </c>
    </row>
    <row r="183" spans="1:9" x14ac:dyDescent="0.2">
      <c r="A183" s="78"/>
      <c r="B183" s="72">
        <v>0</v>
      </c>
      <c r="C183" s="72">
        <v>0</v>
      </c>
      <c r="D183" s="72">
        <v>0</v>
      </c>
      <c r="E183" s="73" t="s">
        <v>29</v>
      </c>
      <c r="F183" s="73" t="s">
        <v>43</v>
      </c>
      <c r="G183" s="73" t="s">
        <v>44</v>
      </c>
      <c r="H183" s="73" t="s">
        <v>63</v>
      </c>
      <c r="I183" s="73" t="s">
        <v>63</v>
      </c>
    </row>
    <row r="184" spans="1:9" x14ac:dyDescent="0.2">
      <c r="A184" s="78"/>
      <c r="B184" s="72">
        <v>0</v>
      </c>
      <c r="C184" s="72">
        <v>0</v>
      </c>
      <c r="D184" s="72">
        <v>0</v>
      </c>
      <c r="E184" s="73" t="s">
        <v>29</v>
      </c>
      <c r="F184" s="73" t="s">
        <v>43</v>
      </c>
      <c r="G184" s="73" t="s">
        <v>44</v>
      </c>
      <c r="H184" s="73" t="s">
        <v>63</v>
      </c>
      <c r="I184" s="73" t="s">
        <v>63</v>
      </c>
    </row>
    <row r="185" spans="1:9" x14ac:dyDescent="0.2">
      <c r="A185" s="78"/>
      <c r="B185" s="72">
        <v>0</v>
      </c>
      <c r="C185" s="72">
        <v>0</v>
      </c>
      <c r="D185" s="72">
        <v>0</v>
      </c>
      <c r="E185" s="73" t="s">
        <v>29</v>
      </c>
      <c r="F185" s="73" t="s">
        <v>43</v>
      </c>
      <c r="G185" s="73" t="s">
        <v>44</v>
      </c>
      <c r="H185" s="73" t="s">
        <v>63</v>
      </c>
      <c r="I185" s="73" t="s">
        <v>63</v>
      </c>
    </row>
    <row r="186" spans="1:9" x14ac:dyDescent="0.2">
      <c r="A186" s="78"/>
      <c r="B186" s="72">
        <v>0</v>
      </c>
      <c r="C186" s="72">
        <v>0</v>
      </c>
      <c r="D186" s="72">
        <v>0</v>
      </c>
      <c r="E186" s="73" t="s">
        <v>29</v>
      </c>
      <c r="F186" s="73" t="s">
        <v>43</v>
      </c>
      <c r="G186" s="73" t="s">
        <v>44</v>
      </c>
      <c r="H186" s="73" t="s">
        <v>63</v>
      </c>
      <c r="I186" s="73" t="s">
        <v>63</v>
      </c>
    </row>
    <row r="187" spans="1:9" x14ac:dyDescent="0.2">
      <c r="A187" s="78"/>
      <c r="B187" s="72">
        <v>0</v>
      </c>
      <c r="C187" s="72">
        <v>0</v>
      </c>
      <c r="D187" s="72">
        <v>0</v>
      </c>
      <c r="E187" s="73" t="s">
        <v>29</v>
      </c>
      <c r="F187" s="73" t="s">
        <v>43</v>
      </c>
      <c r="G187" s="73" t="s">
        <v>44</v>
      </c>
      <c r="H187" s="73" t="s">
        <v>63</v>
      </c>
      <c r="I187" s="73" t="s">
        <v>63</v>
      </c>
    </row>
    <row r="188" spans="1:9" x14ac:dyDescent="0.2">
      <c r="A188" s="78"/>
      <c r="B188" s="72">
        <v>0</v>
      </c>
      <c r="C188" s="72">
        <v>0</v>
      </c>
      <c r="D188" s="72">
        <v>0</v>
      </c>
      <c r="E188" s="73" t="s">
        <v>29</v>
      </c>
      <c r="F188" s="73" t="s">
        <v>43</v>
      </c>
      <c r="G188" s="73" t="s">
        <v>44</v>
      </c>
      <c r="H188" s="73" t="s">
        <v>63</v>
      </c>
      <c r="I188" s="73" t="s">
        <v>63</v>
      </c>
    </row>
    <row r="189" spans="1:9" x14ac:dyDescent="0.2">
      <c r="A189" s="78"/>
      <c r="B189" s="72">
        <v>0</v>
      </c>
      <c r="C189" s="72">
        <v>0</v>
      </c>
      <c r="D189" s="72">
        <v>0</v>
      </c>
      <c r="E189" s="73" t="s">
        <v>29</v>
      </c>
      <c r="F189" s="73" t="s">
        <v>43</v>
      </c>
      <c r="G189" s="73" t="s">
        <v>44</v>
      </c>
      <c r="H189" s="73" t="s">
        <v>63</v>
      </c>
      <c r="I189" s="73" t="s">
        <v>63</v>
      </c>
    </row>
    <row r="190" spans="1:9" x14ac:dyDescent="0.2">
      <c r="A190" s="78"/>
      <c r="B190" s="72">
        <v>0</v>
      </c>
      <c r="C190" s="72">
        <v>0</v>
      </c>
      <c r="D190" s="72">
        <v>0</v>
      </c>
      <c r="E190" s="73" t="s">
        <v>29</v>
      </c>
      <c r="F190" s="73" t="s">
        <v>43</v>
      </c>
      <c r="G190" s="73" t="s">
        <v>44</v>
      </c>
      <c r="H190" s="73" t="s">
        <v>63</v>
      </c>
      <c r="I190" s="73" t="s">
        <v>63</v>
      </c>
    </row>
    <row r="191" spans="1:9" x14ac:dyDescent="0.2">
      <c r="A191" s="78"/>
      <c r="B191" s="72">
        <v>0</v>
      </c>
      <c r="C191" s="72">
        <v>0</v>
      </c>
      <c r="D191" s="72">
        <v>0</v>
      </c>
      <c r="E191" s="73" t="s">
        <v>29</v>
      </c>
      <c r="F191" s="73" t="s">
        <v>43</v>
      </c>
      <c r="G191" s="73" t="s">
        <v>44</v>
      </c>
      <c r="H191" s="73" t="s">
        <v>63</v>
      </c>
      <c r="I191" s="73" t="s">
        <v>63</v>
      </c>
    </row>
    <row r="192" spans="1:9" x14ac:dyDescent="0.2">
      <c r="A192" s="78"/>
      <c r="B192" s="72">
        <v>0</v>
      </c>
      <c r="C192" s="72">
        <v>0</v>
      </c>
      <c r="D192" s="72">
        <v>0</v>
      </c>
      <c r="E192" s="73" t="s">
        <v>29</v>
      </c>
      <c r="F192" s="73" t="s">
        <v>43</v>
      </c>
      <c r="G192" s="73" t="s">
        <v>44</v>
      </c>
      <c r="H192" s="73" t="s">
        <v>63</v>
      </c>
      <c r="I192" s="73" t="s">
        <v>63</v>
      </c>
    </row>
    <row r="193" spans="1:9" x14ac:dyDescent="0.2">
      <c r="A193" s="78"/>
      <c r="B193" s="72">
        <v>0</v>
      </c>
      <c r="C193" s="72">
        <v>0</v>
      </c>
      <c r="D193" s="72">
        <v>0</v>
      </c>
      <c r="E193" s="73" t="s">
        <v>29</v>
      </c>
      <c r="F193" s="73" t="s">
        <v>43</v>
      </c>
      <c r="G193" s="73" t="s">
        <v>44</v>
      </c>
      <c r="H193" s="73" t="s">
        <v>63</v>
      </c>
      <c r="I193" s="73" t="s">
        <v>63</v>
      </c>
    </row>
    <row r="194" spans="1:9" x14ac:dyDescent="0.2">
      <c r="A194" s="78"/>
      <c r="B194" s="72">
        <v>0</v>
      </c>
      <c r="C194" s="72">
        <v>0</v>
      </c>
      <c r="D194" s="72">
        <v>0</v>
      </c>
      <c r="E194" s="73" t="s">
        <v>29</v>
      </c>
      <c r="F194" s="73" t="s">
        <v>43</v>
      </c>
      <c r="G194" s="73" t="s">
        <v>44</v>
      </c>
      <c r="H194" s="73" t="s">
        <v>63</v>
      </c>
      <c r="I194" s="73" t="s">
        <v>63</v>
      </c>
    </row>
    <row r="195" spans="1:9" x14ac:dyDescent="0.2">
      <c r="A195" s="78"/>
      <c r="B195" s="72">
        <v>0</v>
      </c>
      <c r="C195" s="72">
        <v>0</v>
      </c>
      <c r="D195" s="72">
        <v>0</v>
      </c>
      <c r="E195" s="73" t="s">
        <v>29</v>
      </c>
      <c r="F195" s="73" t="s">
        <v>43</v>
      </c>
      <c r="G195" s="73" t="s">
        <v>44</v>
      </c>
      <c r="H195" s="73" t="s">
        <v>63</v>
      </c>
      <c r="I195" s="73" t="s">
        <v>63</v>
      </c>
    </row>
    <row r="196" spans="1:9" x14ac:dyDescent="0.2">
      <c r="A196" s="78"/>
      <c r="B196" s="72">
        <v>0</v>
      </c>
      <c r="C196" s="72">
        <v>0</v>
      </c>
      <c r="D196" s="72">
        <v>0</v>
      </c>
      <c r="E196" s="73" t="s">
        <v>29</v>
      </c>
      <c r="F196" s="73" t="s">
        <v>43</v>
      </c>
      <c r="G196" s="73" t="s">
        <v>44</v>
      </c>
      <c r="H196" s="73" t="s">
        <v>63</v>
      </c>
      <c r="I196" s="73" t="s">
        <v>63</v>
      </c>
    </row>
    <row r="197" spans="1:9" x14ac:dyDescent="0.2">
      <c r="A197" s="78"/>
      <c r="B197" s="72">
        <v>0</v>
      </c>
      <c r="C197" s="72">
        <v>0</v>
      </c>
      <c r="D197" s="72">
        <v>0</v>
      </c>
      <c r="E197" s="73" t="s">
        <v>29</v>
      </c>
      <c r="F197" s="73" t="s">
        <v>43</v>
      </c>
      <c r="G197" s="73" t="s">
        <v>44</v>
      </c>
      <c r="H197" s="73" t="s">
        <v>63</v>
      </c>
      <c r="I197" s="73" t="s">
        <v>63</v>
      </c>
    </row>
    <row r="198" spans="1:9" x14ac:dyDescent="0.2">
      <c r="A198" s="78"/>
      <c r="B198" s="72">
        <v>0</v>
      </c>
      <c r="C198" s="72">
        <v>0</v>
      </c>
      <c r="D198" s="72">
        <v>0</v>
      </c>
      <c r="E198" s="73" t="s">
        <v>29</v>
      </c>
      <c r="F198" s="73" t="s">
        <v>43</v>
      </c>
      <c r="G198" s="73" t="s">
        <v>44</v>
      </c>
      <c r="H198" s="73" t="s">
        <v>63</v>
      </c>
      <c r="I198" s="73" t="s">
        <v>63</v>
      </c>
    </row>
    <row r="199" spans="1:9" x14ac:dyDescent="0.2">
      <c r="A199" s="78"/>
      <c r="B199" s="72">
        <v>0</v>
      </c>
      <c r="C199" s="72">
        <v>0</v>
      </c>
      <c r="D199" s="72">
        <v>0</v>
      </c>
      <c r="E199" s="73" t="s">
        <v>29</v>
      </c>
      <c r="F199" s="73" t="s">
        <v>43</v>
      </c>
      <c r="G199" s="73" t="s">
        <v>44</v>
      </c>
      <c r="H199" s="73" t="s">
        <v>63</v>
      </c>
      <c r="I199" s="73" t="s">
        <v>63</v>
      </c>
    </row>
    <row r="200" spans="1:9" x14ac:dyDescent="0.2">
      <c r="A200" s="78"/>
      <c r="B200" s="72">
        <v>0</v>
      </c>
      <c r="C200" s="72">
        <v>0</v>
      </c>
      <c r="D200" s="72">
        <v>0</v>
      </c>
      <c r="E200" s="73" t="s">
        <v>29</v>
      </c>
      <c r="F200" s="73" t="s">
        <v>43</v>
      </c>
      <c r="G200" s="73" t="s">
        <v>44</v>
      </c>
      <c r="H200" s="73" t="s">
        <v>63</v>
      </c>
      <c r="I200" s="73" t="s">
        <v>63</v>
      </c>
    </row>
    <row r="201" spans="1:9" x14ac:dyDescent="0.2">
      <c r="A201" s="78"/>
      <c r="B201" s="72">
        <v>0</v>
      </c>
      <c r="C201" s="72">
        <v>0</v>
      </c>
      <c r="D201" s="72">
        <v>0</v>
      </c>
      <c r="E201" s="73" t="s">
        <v>29</v>
      </c>
      <c r="F201" s="73" t="s">
        <v>43</v>
      </c>
      <c r="G201" s="73" t="s">
        <v>44</v>
      </c>
      <c r="H201" s="73" t="s">
        <v>63</v>
      </c>
      <c r="I201" s="73" t="s">
        <v>63</v>
      </c>
    </row>
    <row r="202" spans="1:9" x14ac:dyDescent="0.2">
      <c r="A202" s="78"/>
      <c r="B202" s="72">
        <v>0</v>
      </c>
      <c r="C202" s="72">
        <v>0</v>
      </c>
      <c r="D202" s="72">
        <v>0</v>
      </c>
      <c r="E202" s="73" t="s">
        <v>29</v>
      </c>
      <c r="F202" s="73" t="s">
        <v>43</v>
      </c>
      <c r="G202" s="73" t="s">
        <v>44</v>
      </c>
      <c r="H202" s="73" t="s">
        <v>63</v>
      </c>
      <c r="I202" s="73" t="s">
        <v>63</v>
      </c>
    </row>
    <row r="203" spans="1:9" x14ac:dyDescent="0.2">
      <c r="A203" s="78"/>
      <c r="B203" s="72">
        <v>0</v>
      </c>
      <c r="C203" s="72">
        <v>0</v>
      </c>
      <c r="D203" s="72">
        <v>0</v>
      </c>
      <c r="E203" s="73" t="s">
        <v>29</v>
      </c>
      <c r="F203" s="73" t="s">
        <v>43</v>
      </c>
      <c r="G203" s="73" t="s">
        <v>44</v>
      </c>
      <c r="H203" s="73" t="s">
        <v>63</v>
      </c>
      <c r="I203" s="73" t="s">
        <v>63</v>
      </c>
    </row>
    <row r="204" spans="1:9" x14ac:dyDescent="0.2">
      <c r="A204" s="78"/>
      <c r="B204" s="72">
        <v>0</v>
      </c>
      <c r="C204" s="72">
        <v>0</v>
      </c>
      <c r="D204" s="72">
        <v>0</v>
      </c>
      <c r="E204" s="73" t="s">
        <v>29</v>
      </c>
      <c r="F204" s="73" t="s">
        <v>43</v>
      </c>
      <c r="G204" s="73" t="s">
        <v>44</v>
      </c>
      <c r="H204" s="73" t="s">
        <v>63</v>
      </c>
      <c r="I204" s="73" t="s">
        <v>63</v>
      </c>
    </row>
    <row r="205" spans="1:9" x14ac:dyDescent="0.2">
      <c r="A205" s="78"/>
      <c r="B205" s="72">
        <v>0</v>
      </c>
      <c r="C205" s="72">
        <v>0</v>
      </c>
      <c r="D205" s="72">
        <v>0</v>
      </c>
      <c r="E205" s="73" t="s">
        <v>29</v>
      </c>
      <c r="F205" s="73" t="s">
        <v>43</v>
      </c>
      <c r="G205" s="73" t="s">
        <v>44</v>
      </c>
      <c r="H205" s="73" t="s">
        <v>63</v>
      </c>
      <c r="I205" s="73" t="s">
        <v>63</v>
      </c>
    </row>
    <row r="206" spans="1:9" x14ac:dyDescent="0.2">
      <c r="A206" s="78"/>
      <c r="B206" s="72">
        <v>0</v>
      </c>
      <c r="C206" s="72">
        <v>0</v>
      </c>
      <c r="D206" s="72">
        <v>0</v>
      </c>
      <c r="E206" s="73" t="s">
        <v>29</v>
      </c>
      <c r="F206" s="73" t="s">
        <v>43</v>
      </c>
      <c r="G206" s="73" t="s">
        <v>44</v>
      </c>
      <c r="H206" s="73" t="s">
        <v>63</v>
      </c>
      <c r="I206" s="73" t="s">
        <v>63</v>
      </c>
    </row>
    <row r="207" spans="1:9" x14ac:dyDescent="0.2">
      <c r="A207" s="78"/>
      <c r="B207" s="72">
        <v>0</v>
      </c>
      <c r="C207" s="72">
        <v>0</v>
      </c>
      <c r="D207" s="72">
        <v>0</v>
      </c>
      <c r="E207" s="73" t="s">
        <v>29</v>
      </c>
      <c r="F207" s="73" t="s">
        <v>43</v>
      </c>
      <c r="G207" s="73" t="s">
        <v>44</v>
      </c>
      <c r="H207" s="73" t="s">
        <v>63</v>
      </c>
      <c r="I207" s="73" t="s">
        <v>63</v>
      </c>
    </row>
    <row r="208" spans="1:9" x14ac:dyDescent="0.2">
      <c r="A208" s="78"/>
      <c r="B208" s="72">
        <v>0</v>
      </c>
      <c r="C208" s="72">
        <v>0</v>
      </c>
      <c r="D208" s="72">
        <v>0</v>
      </c>
      <c r="E208" s="73" t="s">
        <v>29</v>
      </c>
      <c r="F208" s="73" t="s">
        <v>43</v>
      </c>
      <c r="G208" s="73" t="s">
        <v>44</v>
      </c>
      <c r="H208" s="73" t="s">
        <v>63</v>
      </c>
      <c r="I208" s="73" t="s">
        <v>63</v>
      </c>
    </row>
    <row r="209" spans="1:9" x14ac:dyDescent="0.2">
      <c r="A209" s="78"/>
      <c r="B209" s="72">
        <v>0</v>
      </c>
      <c r="C209" s="72">
        <v>0</v>
      </c>
      <c r="D209" s="72">
        <v>0</v>
      </c>
      <c r="E209" s="73" t="s">
        <v>29</v>
      </c>
      <c r="F209" s="73" t="s">
        <v>43</v>
      </c>
      <c r="G209" s="73" t="s">
        <v>44</v>
      </c>
      <c r="H209" s="73" t="s">
        <v>63</v>
      </c>
      <c r="I209" s="73" t="s">
        <v>63</v>
      </c>
    </row>
    <row r="210" spans="1:9" x14ac:dyDescent="0.2">
      <c r="A210" s="78"/>
      <c r="B210" s="72">
        <v>0</v>
      </c>
      <c r="C210" s="72">
        <v>0</v>
      </c>
      <c r="D210" s="72">
        <v>0</v>
      </c>
      <c r="E210" s="73" t="s">
        <v>29</v>
      </c>
      <c r="F210" s="73" t="s">
        <v>43</v>
      </c>
      <c r="G210" s="73" t="s">
        <v>44</v>
      </c>
      <c r="H210" s="73" t="s">
        <v>63</v>
      </c>
      <c r="I210" s="73" t="s">
        <v>63</v>
      </c>
    </row>
    <row r="211" spans="1:9" x14ac:dyDescent="0.2">
      <c r="A211" s="78"/>
      <c r="B211" s="72">
        <v>0</v>
      </c>
      <c r="C211" s="72">
        <v>0</v>
      </c>
      <c r="D211" s="72">
        <v>0</v>
      </c>
      <c r="E211" s="73" t="s">
        <v>29</v>
      </c>
      <c r="F211" s="73" t="s">
        <v>43</v>
      </c>
      <c r="G211" s="73" t="s">
        <v>44</v>
      </c>
      <c r="H211" s="73" t="s">
        <v>63</v>
      </c>
      <c r="I211" s="73" t="s">
        <v>63</v>
      </c>
    </row>
    <row r="212" spans="1:9" x14ac:dyDescent="0.2">
      <c r="A212" s="78"/>
      <c r="B212" s="72">
        <v>0</v>
      </c>
      <c r="C212" s="72">
        <v>0</v>
      </c>
      <c r="D212" s="72">
        <v>0</v>
      </c>
      <c r="E212" s="73" t="s">
        <v>29</v>
      </c>
      <c r="F212" s="73" t="s">
        <v>43</v>
      </c>
      <c r="G212" s="73" t="s">
        <v>44</v>
      </c>
      <c r="H212" s="73" t="s">
        <v>63</v>
      </c>
      <c r="I212" s="73" t="s">
        <v>63</v>
      </c>
    </row>
    <row r="213" spans="1:9" x14ac:dyDescent="0.2">
      <c r="A213" s="78"/>
      <c r="B213" s="72">
        <v>0</v>
      </c>
      <c r="C213" s="72">
        <v>0</v>
      </c>
      <c r="D213" s="72">
        <v>0</v>
      </c>
      <c r="E213" s="73" t="s">
        <v>29</v>
      </c>
      <c r="F213" s="73" t="s">
        <v>43</v>
      </c>
      <c r="G213" s="73" t="s">
        <v>44</v>
      </c>
      <c r="H213" s="73" t="s">
        <v>63</v>
      </c>
      <c r="I213" s="73" t="s">
        <v>63</v>
      </c>
    </row>
    <row r="214" spans="1:9" x14ac:dyDescent="0.2">
      <c r="A214" s="78"/>
      <c r="B214" s="72">
        <v>0</v>
      </c>
      <c r="C214" s="72">
        <v>0</v>
      </c>
      <c r="D214" s="72">
        <v>0</v>
      </c>
      <c r="E214" s="73" t="s">
        <v>29</v>
      </c>
      <c r="F214" s="73" t="s">
        <v>43</v>
      </c>
      <c r="G214" s="73" t="s">
        <v>44</v>
      </c>
      <c r="H214" s="73" t="s">
        <v>63</v>
      </c>
      <c r="I214" s="73" t="s">
        <v>63</v>
      </c>
    </row>
    <row r="215" spans="1:9" x14ac:dyDescent="0.2">
      <c r="A215" s="78"/>
      <c r="B215" s="72">
        <v>0</v>
      </c>
      <c r="C215" s="72">
        <v>0</v>
      </c>
      <c r="D215" s="72">
        <v>0</v>
      </c>
      <c r="E215" s="73" t="s">
        <v>29</v>
      </c>
      <c r="F215" s="73" t="s">
        <v>43</v>
      </c>
      <c r="G215" s="73" t="s">
        <v>44</v>
      </c>
      <c r="H215" s="73" t="s">
        <v>63</v>
      </c>
      <c r="I215" s="73" t="s">
        <v>63</v>
      </c>
    </row>
    <row r="216" spans="1:9" x14ac:dyDescent="0.2">
      <c r="A216" s="78"/>
      <c r="B216" s="72">
        <v>0</v>
      </c>
      <c r="C216" s="72">
        <v>0</v>
      </c>
      <c r="D216" s="72">
        <v>0</v>
      </c>
      <c r="E216" s="73" t="s">
        <v>29</v>
      </c>
      <c r="F216" s="73" t="s">
        <v>43</v>
      </c>
      <c r="G216" s="73" t="s">
        <v>44</v>
      </c>
      <c r="H216" s="73" t="s">
        <v>63</v>
      </c>
      <c r="I216" s="73" t="s">
        <v>63</v>
      </c>
    </row>
    <row r="217" spans="1:9" x14ac:dyDescent="0.2">
      <c r="A217" s="78"/>
      <c r="B217" s="72">
        <v>0</v>
      </c>
      <c r="C217" s="72">
        <v>0</v>
      </c>
      <c r="D217" s="72">
        <v>0</v>
      </c>
      <c r="E217" s="73" t="s">
        <v>29</v>
      </c>
      <c r="F217" s="73" t="s">
        <v>43</v>
      </c>
      <c r="G217" s="73" t="s">
        <v>44</v>
      </c>
      <c r="H217" s="73" t="s">
        <v>63</v>
      </c>
      <c r="I217" s="73" t="s">
        <v>63</v>
      </c>
    </row>
    <row r="218" spans="1:9" x14ac:dyDescent="0.2">
      <c r="A218" s="78"/>
      <c r="B218" s="72">
        <v>0</v>
      </c>
      <c r="C218" s="72">
        <v>0</v>
      </c>
      <c r="D218" s="72">
        <v>0</v>
      </c>
      <c r="E218" s="73" t="s">
        <v>29</v>
      </c>
      <c r="F218" s="73" t="s">
        <v>43</v>
      </c>
      <c r="G218" s="73" t="s">
        <v>44</v>
      </c>
      <c r="H218" s="73" t="s">
        <v>63</v>
      </c>
      <c r="I218" s="73" t="s">
        <v>63</v>
      </c>
    </row>
    <row r="219" spans="1:9" x14ac:dyDescent="0.2">
      <c r="A219" s="78"/>
      <c r="B219" s="72">
        <v>0</v>
      </c>
      <c r="C219" s="72">
        <v>0</v>
      </c>
      <c r="D219" s="72">
        <v>0</v>
      </c>
      <c r="E219" s="73" t="s">
        <v>29</v>
      </c>
      <c r="F219" s="73" t="s">
        <v>43</v>
      </c>
      <c r="G219" s="73" t="s">
        <v>44</v>
      </c>
      <c r="H219" s="73" t="s">
        <v>63</v>
      </c>
      <c r="I219" s="73" t="s">
        <v>63</v>
      </c>
    </row>
    <row r="220" spans="1:9" x14ac:dyDescent="0.2">
      <c r="A220" s="78"/>
      <c r="B220" s="72">
        <v>0</v>
      </c>
      <c r="C220" s="72">
        <v>0</v>
      </c>
      <c r="D220" s="72">
        <v>0</v>
      </c>
      <c r="E220" s="73" t="s">
        <v>29</v>
      </c>
      <c r="F220" s="73" t="s">
        <v>43</v>
      </c>
      <c r="G220" s="73" t="s">
        <v>44</v>
      </c>
      <c r="H220" s="73" t="s">
        <v>63</v>
      </c>
      <c r="I220" s="73" t="s">
        <v>63</v>
      </c>
    </row>
    <row r="221" spans="1:9" x14ac:dyDescent="0.2">
      <c r="A221" s="78"/>
      <c r="B221" s="72">
        <v>0</v>
      </c>
      <c r="C221" s="72">
        <v>0</v>
      </c>
      <c r="D221" s="72">
        <v>0</v>
      </c>
      <c r="E221" s="73" t="s">
        <v>29</v>
      </c>
      <c r="F221" s="73" t="s">
        <v>43</v>
      </c>
      <c r="G221" s="73" t="s">
        <v>44</v>
      </c>
      <c r="H221" s="73" t="s">
        <v>63</v>
      </c>
      <c r="I221" s="73" t="s">
        <v>63</v>
      </c>
    </row>
    <row r="222" spans="1:9" x14ac:dyDescent="0.2">
      <c r="A222" s="78"/>
      <c r="B222" s="72">
        <v>0</v>
      </c>
      <c r="C222" s="72">
        <v>0</v>
      </c>
      <c r="D222" s="72">
        <v>0</v>
      </c>
      <c r="E222" s="73" t="s">
        <v>29</v>
      </c>
      <c r="F222" s="73" t="s">
        <v>43</v>
      </c>
      <c r="G222" s="73" t="s">
        <v>44</v>
      </c>
      <c r="H222" s="73" t="s">
        <v>63</v>
      </c>
      <c r="I222" s="73" t="s">
        <v>63</v>
      </c>
    </row>
    <row r="223" spans="1:9" x14ac:dyDescent="0.2">
      <c r="A223" s="78"/>
      <c r="B223" s="72">
        <v>0</v>
      </c>
      <c r="C223" s="72">
        <v>0</v>
      </c>
      <c r="D223" s="72">
        <v>0</v>
      </c>
      <c r="E223" s="73" t="s">
        <v>29</v>
      </c>
      <c r="F223" s="73" t="s">
        <v>43</v>
      </c>
      <c r="G223" s="73" t="s">
        <v>44</v>
      </c>
      <c r="H223" s="73" t="s">
        <v>63</v>
      </c>
      <c r="I223" s="73" t="s">
        <v>63</v>
      </c>
    </row>
    <row r="224" spans="1:9" x14ac:dyDescent="0.2">
      <c r="A224" s="78"/>
      <c r="B224" s="72">
        <v>0</v>
      </c>
      <c r="C224" s="72">
        <v>0</v>
      </c>
      <c r="D224" s="72">
        <v>0</v>
      </c>
      <c r="E224" s="73" t="s">
        <v>29</v>
      </c>
      <c r="F224" s="73" t="s">
        <v>43</v>
      </c>
      <c r="G224" s="73" t="s">
        <v>44</v>
      </c>
      <c r="H224" s="73" t="s">
        <v>63</v>
      </c>
      <c r="I224" s="73" t="s">
        <v>63</v>
      </c>
    </row>
    <row r="225" spans="1:9" x14ac:dyDescent="0.2">
      <c r="A225" s="78"/>
      <c r="B225" s="72">
        <v>0</v>
      </c>
      <c r="C225" s="72">
        <v>0</v>
      </c>
      <c r="D225" s="72">
        <v>0</v>
      </c>
      <c r="E225" s="73" t="s">
        <v>29</v>
      </c>
      <c r="F225" s="73" t="s">
        <v>43</v>
      </c>
      <c r="G225" s="73" t="s">
        <v>44</v>
      </c>
      <c r="H225" s="73" t="s">
        <v>63</v>
      </c>
      <c r="I225" s="73" t="s">
        <v>63</v>
      </c>
    </row>
    <row r="226" spans="1:9" x14ac:dyDescent="0.2">
      <c r="A226" s="78"/>
      <c r="B226" s="72">
        <v>0</v>
      </c>
      <c r="C226" s="72">
        <v>0</v>
      </c>
      <c r="D226" s="72">
        <v>0</v>
      </c>
      <c r="E226" s="73" t="s">
        <v>29</v>
      </c>
      <c r="F226" s="73" t="s">
        <v>43</v>
      </c>
      <c r="G226" s="73" t="s">
        <v>44</v>
      </c>
      <c r="H226" s="73" t="s">
        <v>63</v>
      </c>
      <c r="I226" s="73" t="s">
        <v>63</v>
      </c>
    </row>
    <row r="227" spans="1:9" x14ac:dyDescent="0.2">
      <c r="A227" s="78"/>
      <c r="B227" s="72">
        <v>0</v>
      </c>
      <c r="C227" s="72">
        <v>0</v>
      </c>
      <c r="D227" s="72">
        <v>0</v>
      </c>
      <c r="E227" s="73" t="s">
        <v>29</v>
      </c>
      <c r="F227" s="73" t="s">
        <v>43</v>
      </c>
      <c r="G227" s="73" t="s">
        <v>44</v>
      </c>
      <c r="H227" s="73" t="s">
        <v>63</v>
      </c>
      <c r="I227" s="73" t="s">
        <v>63</v>
      </c>
    </row>
    <row r="228" spans="1:9" x14ac:dyDescent="0.2">
      <c r="A228" s="78"/>
      <c r="B228" s="72">
        <v>0</v>
      </c>
      <c r="C228" s="72">
        <v>0</v>
      </c>
      <c r="D228" s="72">
        <v>0</v>
      </c>
      <c r="E228" s="73" t="s">
        <v>29</v>
      </c>
      <c r="F228" s="73" t="s">
        <v>43</v>
      </c>
      <c r="G228" s="73" t="s">
        <v>44</v>
      </c>
      <c r="H228" s="73" t="s">
        <v>63</v>
      </c>
      <c r="I228" s="73" t="s">
        <v>63</v>
      </c>
    </row>
    <row r="229" spans="1:9" x14ac:dyDescent="0.2">
      <c r="A229" s="78"/>
      <c r="B229" s="72">
        <v>0</v>
      </c>
      <c r="C229" s="72">
        <v>0</v>
      </c>
      <c r="D229" s="72">
        <v>0</v>
      </c>
      <c r="E229" s="73" t="s">
        <v>29</v>
      </c>
      <c r="F229" s="73" t="s">
        <v>43</v>
      </c>
      <c r="G229" s="73" t="s">
        <v>44</v>
      </c>
      <c r="H229" s="73" t="s">
        <v>63</v>
      </c>
      <c r="I229" s="73" t="s">
        <v>63</v>
      </c>
    </row>
    <row r="230" spans="1:9" x14ac:dyDescent="0.2">
      <c r="A230" s="78"/>
      <c r="B230" s="72">
        <v>0</v>
      </c>
      <c r="C230" s="72">
        <v>0</v>
      </c>
      <c r="D230" s="72">
        <v>0</v>
      </c>
      <c r="E230" s="73" t="s">
        <v>29</v>
      </c>
      <c r="F230" s="73" t="s">
        <v>43</v>
      </c>
      <c r="G230" s="73" t="s">
        <v>44</v>
      </c>
      <c r="H230" s="73" t="s">
        <v>63</v>
      </c>
      <c r="I230" s="73" t="s">
        <v>63</v>
      </c>
    </row>
    <row r="231" spans="1:9" x14ac:dyDescent="0.2">
      <c r="A231" s="78"/>
      <c r="B231" s="72">
        <v>0</v>
      </c>
      <c r="C231" s="72">
        <v>0</v>
      </c>
      <c r="D231" s="72">
        <v>0</v>
      </c>
      <c r="E231" s="73" t="s">
        <v>29</v>
      </c>
      <c r="F231" s="73" t="s">
        <v>43</v>
      </c>
      <c r="G231" s="73" t="s">
        <v>44</v>
      </c>
      <c r="H231" s="73" t="s">
        <v>63</v>
      </c>
      <c r="I231" s="73" t="s">
        <v>63</v>
      </c>
    </row>
    <row r="232" spans="1:9" x14ac:dyDescent="0.2">
      <c r="A232" s="78"/>
      <c r="B232" s="72">
        <v>0</v>
      </c>
      <c r="C232" s="72">
        <v>0</v>
      </c>
      <c r="D232" s="72">
        <v>0</v>
      </c>
      <c r="E232" s="73" t="s">
        <v>29</v>
      </c>
      <c r="F232" s="73" t="s">
        <v>43</v>
      </c>
      <c r="G232" s="73" t="s">
        <v>44</v>
      </c>
      <c r="H232" s="73" t="s">
        <v>63</v>
      </c>
      <c r="I232" s="73" t="s">
        <v>63</v>
      </c>
    </row>
    <row r="233" spans="1:9" x14ac:dyDescent="0.2">
      <c r="A233" s="78"/>
      <c r="B233" s="72">
        <v>0</v>
      </c>
      <c r="C233" s="72">
        <v>0</v>
      </c>
      <c r="D233" s="72">
        <v>0</v>
      </c>
      <c r="E233" s="73" t="s">
        <v>29</v>
      </c>
      <c r="F233" s="73" t="s">
        <v>43</v>
      </c>
      <c r="G233" s="73" t="s">
        <v>44</v>
      </c>
      <c r="H233" s="73" t="s">
        <v>63</v>
      </c>
      <c r="I233" s="73" t="s">
        <v>63</v>
      </c>
    </row>
    <row r="234" spans="1:9" x14ac:dyDescent="0.2">
      <c r="A234" s="78"/>
      <c r="B234" s="72">
        <v>0</v>
      </c>
      <c r="C234" s="72">
        <v>0</v>
      </c>
      <c r="D234" s="72">
        <v>0</v>
      </c>
      <c r="E234" s="73" t="s">
        <v>29</v>
      </c>
      <c r="F234" s="73" t="s">
        <v>43</v>
      </c>
      <c r="G234" s="73" t="s">
        <v>44</v>
      </c>
      <c r="H234" s="73" t="s">
        <v>63</v>
      </c>
      <c r="I234" s="73" t="s">
        <v>63</v>
      </c>
    </row>
    <row r="235" spans="1:9" x14ac:dyDescent="0.2">
      <c r="A235" s="78"/>
      <c r="B235" s="72">
        <v>0</v>
      </c>
      <c r="C235" s="72">
        <v>0</v>
      </c>
      <c r="D235" s="72">
        <v>0</v>
      </c>
      <c r="E235" s="73" t="s">
        <v>29</v>
      </c>
      <c r="F235" s="73" t="s">
        <v>43</v>
      </c>
      <c r="G235" s="73" t="s">
        <v>44</v>
      </c>
      <c r="H235" s="73" t="s">
        <v>63</v>
      </c>
      <c r="I235" s="73" t="s">
        <v>63</v>
      </c>
    </row>
    <row r="236" spans="1:9" x14ac:dyDescent="0.2">
      <c r="A236" s="78"/>
      <c r="B236" s="72">
        <v>0</v>
      </c>
      <c r="C236" s="72">
        <v>0</v>
      </c>
      <c r="D236" s="72">
        <v>0</v>
      </c>
      <c r="E236" s="73" t="s">
        <v>29</v>
      </c>
      <c r="F236" s="73" t="s">
        <v>43</v>
      </c>
      <c r="G236" s="73" t="s">
        <v>44</v>
      </c>
      <c r="H236" s="73" t="s">
        <v>63</v>
      </c>
      <c r="I236" s="73" t="s">
        <v>63</v>
      </c>
    </row>
    <row r="237" spans="1:9" x14ac:dyDescent="0.2">
      <c r="A237" s="78"/>
      <c r="B237" s="72">
        <v>0</v>
      </c>
      <c r="C237" s="72">
        <v>0</v>
      </c>
      <c r="D237" s="72">
        <v>0</v>
      </c>
      <c r="E237" s="73" t="s">
        <v>29</v>
      </c>
      <c r="F237" s="73" t="s">
        <v>43</v>
      </c>
      <c r="G237" s="73" t="s">
        <v>44</v>
      </c>
      <c r="H237" s="73" t="s">
        <v>63</v>
      </c>
      <c r="I237" s="73" t="s">
        <v>63</v>
      </c>
    </row>
    <row r="238" spans="1:9" x14ac:dyDescent="0.2">
      <c r="A238" s="78"/>
      <c r="B238" s="72">
        <v>0</v>
      </c>
      <c r="C238" s="72">
        <v>0</v>
      </c>
      <c r="D238" s="72">
        <v>0</v>
      </c>
      <c r="E238" s="73" t="s">
        <v>29</v>
      </c>
      <c r="F238" s="73" t="s">
        <v>43</v>
      </c>
      <c r="G238" s="73" t="s">
        <v>44</v>
      </c>
      <c r="H238" s="73" t="s">
        <v>63</v>
      </c>
      <c r="I238" s="73" t="s">
        <v>63</v>
      </c>
    </row>
    <row r="239" spans="1:9" x14ac:dyDescent="0.2">
      <c r="A239" s="78"/>
      <c r="B239" s="72">
        <v>0</v>
      </c>
      <c r="C239" s="72">
        <v>0</v>
      </c>
      <c r="D239" s="72">
        <v>0</v>
      </c>
      <c r="E239" s="73" t="s">
        <v>29</v>
      </c>
      <c r="F239" s="73" t="s">
        <v>43</v>
      </c>
      <c r="G239" s="73" t="s">
        <v>44</v>
      </c>
      <c r="H239" s="73" t="s">
        <v>63</v>
      </c>
      <c r="I239" s="73" t="s">
        <v>63</v>
      </c>
    </row>
    <row r="240" spans="1:9" x14ac:dyDescent="0.2">
      <c r="A240" s="78"/>
      <c r="B240" s="72">
        <v>0</v>
      </c>
      <c r="C240" s="72">
        <v>0</v>
      </c>
      <c r="D240" s="72">
        <v>0</v>
      </c>
      <c r="E240" s="73" t="s">
        <v>29</v>
      </c>
      <c r="F240" s="73" t="s">
        <v>43</v>
      </c>
      <c r="G240" s="73" t="s">
        <v>44</v>
      </c>
      <c r="H240" s="73" t="s">
        <v>63</v>
      </c>
      <c r="I240" s="73" t="s">
        <v>63</v>
      </c>
    </row>
    <row r="241" spans="1:9" x14ac:dyDescent="0.2">
      <c r="A241" s="78"/>
      <c r="B241" s="72">
        <v>0</v>
      </c>
      <c r="C241" s="72">
        <v>0</v>
      </c>
      <c r="D241" s="72">
        <v>0</v>
      </c>
      <c r="E241" s="73" t="s">
        <v>29</v>
      </c>
      <c r="F241" s="73" t="s">
        <v>43</v>
      </c>
      <c r="G241" s="73" t="s">
        <v>44</v>
      </c>
      <c r="H241" s="73" t="s">
        <v>63</v>
      </c>
      <c r="I241" s="73" t="s">
        <v>63</v>
      </c>
    </row>
    <row r="242" spans="1:9" x14ac:dyDescent="0.2">
      <c r="A242" s="78"/>
      <c r="B242" s="72">
        <v>0</v>
      </c>
      <c r="C242" s="72">
        <v>0</v>
      </c>
      <c r="D242" s="72">
        <v>0</v>
      </c>
      <c r="E242" s="73" t="s">
        <v>29</v>
      </c>
      <c r="F242" s="73" t="s">
        <v>43</v>
      </c>
      <c r="G242" s="73" t="s">
        <v>44</v>
      </c>
      <c r="H242" s="73" t="s">
        <v>63</v>
      </c>
      <c r="I242" s="73" t="s">
        <v>63</v>
      </c>
    </row>
    <row r="243" spans="1:9" x14ac:dyDescent="0.2">
      <c r="A243" s="78"/>
      <c r="B243" s="72">
        <v>0</v>
      </c>
      <c r="C243" s="72">
        <v>0</v>
      </c>
      <c r="D243" s="72">
        <v>0</v>
      </c>
      <c r="E243" s="73" t="s">
        <v>29</v>
      </c>
      <c r="F243" s="73" t="s">
        <v>43</v>
      </c>
      <c r="G243" s="73" t="s">
        <v>44</v>
      </c>
      <c r="H243" s="73" t="s">
        <v>63</v>
      </c>
      <c r="I243" s="73" t="s">
        <v>63</v>
      </c>
    </row>
    <row r="244" spans="1:9" x14ac:dyDescent="0.2">
      <c r="A244" s="78"/>
      <c r="B244" s="72">
        <v>0</v>
      </c>
      <c r="C244" s="72">
        <v>0</v>
      </c>
      <c r="D244" s="72">
        <v>0</v>
      </c>
      <c r="E244" s="73" t="s">
        <v>29</v>
      </c>
      <c r="F244" s="73" t="s">
        <v>43</v>
      </c>
      <c r="G244" s="73" t="s">
        <v>44</v>
      </c>
      <c r="H244" s="73" t="s">
        <v>63</v>
      </c>
      <c r="I244" s="73" t="s">
        <v>63</v>
      </c>
    </row>
    <row r="245" spans="1:9" x14ac:dyDescent="0.2">
      <c r="A245" s="78"/>
      <c r="B245" s="72">
        <v>0</v>
      </c>
      <c r="C245" s="72">
        <v>0</v>
      </c>
      <c r="D245" s="72">
        <v>0</v>
      </c>
      <c r="E245" s="73" t="s">
        <v>29</v>
      </c>
      <c r="F245" s="73" t="s">
        <v>43</v>
      </c>
      <c r="G245" s="73" t="s">
        <v>44</v>
      </c>
      <c r="H245" s="73" t="s">
        <v>63</v>
      </c>
      <c r="I245" s="73" t="s">
        <v>63</v>
      </c>
    </row>
    <row r="246" spans="1:9" x14ac:dyDescent="0.2">
      <c r="A246" s="78"/>
      <c r="B246" s="72">
        <v>0</v>
      </c>
      <c r="C246" s="72">
        <v>0</v>
      </c>
      <c r="D246" s="72">
        <v>0</v>
      </c>
      <c r="E246" s="73" t="s">
        <v>29</v>
      </c>
      <c r="F246" s="73" t="s">
        <v>43</v>
      </c>
      <c r="G246" s="73" t="s">
        <v>44</v>
      </c>
      <c r="H246" s="73" t="s">
        <v>63</v>
      </c>
      <c r="I246" s="73" t="s">
        <v>63</v>
      </c>
    </row>
    <row r="247" spans="1:9" x14ac:dyDescent="0.2">
      <c r="A247" s="78"/>
      <c r="B247" s="72">
        <v>0</v>
      </c>
      <c r="C247" s="72">
        <v>0</v>
      </c>
      <c r="D247" s="72">
        <v>0</v>
      </c>
      <c r="E247" s="73" t="s">
        <v>29</v>
      </c>
      <c r="F247" s="73" t="s">
        <v>43</v>
      </c>
      <c r="G247" s="73" t="s">
        <v>44</v>
      </c>
      <c r="H247" s="73" t="s">
        <v>63</v>
      </c>
      <c r="I247" s="73" t="s">
        <v>63</v>
      </c>
    </row>
    <row r="248" spans="1:9" x14ac:dyDescent="0.2">
      <c r="A248" s="78"/>
      <c r="B248" s="72">
        <v>0</v>
      </c>
      <c r="C248" s="72">
        <v>0</v>
      </c>
      <c r="D248" s="72">
        <v>0</v>
      </c>
      <c r="E248" s="73" t="s">
        <v>29</v>
      </c>
      <c r="F248" s="73" t="s">
        <v>43</v>
      </c>
      <c r="G248" s="73" t="s">
        <v>44</v>
      </c>
      <c r="H248" s="73" t="s">
        <v>63</v>
      </c>
      <c r="I248" s="73" t="s">
        <v>63</v>
      </c>
    </row>
    <row r="249" spans="1:9" x14ac:dyDescent="0.2">
      <c r="A249" s="78"/>
      <c r="B249" s="72">
        <v>0</v>
      </c>
      <c r="C249" s="72">
        <v>0</v>
      </c>
      <c r="D249" s="72">
        <v>0</v>
      </c>
      <c r="E249" s="73" t="s">
        <v>29</v>
      </c>
      <c r="F249" s="73" t="s">
        <v>43</v>
      </c>
      <c r="G249" s="73" t="s">
        <v>44</v>
      </c>
      <c r="H249" s="73" t="s">
        <v>63</v>
      </c>
      <c r="I249" s="73" t="s">
        <v>63</v>
      </c>
    </row>
    <row r="250" spans="1:9" x14ac:dyDescent="0.2">
      <c r="A250" s="78"/>
      <c r="B250" s="72">
        <v>0</v>
      </c>
      <c r="C250" s="72">
        <v>0</v>
      </c>
      <c r="D250" s="72">
        <v>0</v>
      </c>
      <c r="E250" s="73" t="s">
        <v>29</v>
      </c>
      <c r="F250" s="73" t="s">
        <v>43</v>
      </c>
      <c r="G250" s="73" t="s">
        <v>44</v>
      </c>
      <c r="H250" s="73" t="s">
        <v>63</v>
      </c>
      <c r="I250" s="73" t="s">
        <v>63</v>
      </c>
    </row>
    <row r="251" spans="1:9" x14ac:dyDescent="0.2">
      <c r="A251" s="78"/>
      <c r="B251" s="72">
        <v>0</v>
      </c>
      <c r="C251" s="72">
        <v>0</v>
      </c>
      <c r="D251" s="72">
        <v>0</v>
      </c>
      <c r="E251" s="73" t="s">
        <v>29</v>
      </c>
      <c r="F251" s="73" t="s">
        <v>43</v>
      </c>
      <c r="G251" s="73" t="s">
        <v>44</v>
      </c>
      <c r="H251" s="73" t="s">
        <v>63</v>
      </c>
      <c r="I251" s="73" t="s">
        <v>63</v>
      </c>
    </row>
    <row r="252" spans="1:9" x14ac:dyDescent="0.2">
      <c r="A252" s="78"/>
      <c r="B252" s="72">
        <v>0</v>
      </c>
      <c r="C252" s="72">
        <v>0</v>
      </c>
      <c r="D252" s="72">
        <v>0</v>
      </c>
      <c r="E252" s="73" t="s">
        <v>29</v>
      </c>
      <c r="F252" s="73" t="s">
        <v>43</v>
      </c>
      <c r="G252" s="73" t="s">
        <v>44</v>
      </c>
      <c r="H252" s="73" t="s">
        <v>63</v>
      </c>
      <c r="I252" s="73" t="s">
        <v>63</v>
      </c>
    </row>
    <row r="253" spans="1:9" x14ac:dyDescent="0.2">
      <c r="A253" s="78"/>
      <c r="B253" s="72">
        <v>0</v>
      </c>
      <c r="C253" s="72">
        <v>0</v>
      </c>
      <c r="D253" s="72">
        <v>0</v>
      </c>
      <c r="E253" s="73" t="s">
        <v>29</v>
      </c>
      <c r="F253" s="73" t="s">
        <v>43</v>
      </c>
      <c r="G253" s="73" t="s">
        <v>44</v>
      </c>
      <c r="H253" s="73" t="s">
        <v>63</v>
      </c>
      <c r="I253" s="73" t="s">
        <v>63</v>
      </c>
    </row>
    <row r="254" spans="1:9" x14ac:dyDescent="0.2">
      <c r="A254" s="78"/>
      <c r="B254" s="72">
        <v>0</v>
      </c>
      <c r="C254" s="72">
        <v>0</v>
      </c>
      <c r="D254" s="72">
        <v>0</v>
      </c>
      <c r="E254" s="73" t="s">
        <v>29</v>
      </c>
      <c r="F254" s="73" t="s">
        <v>43</v>
      </c>
      <c r="G254" s="73" t="s">
        <v>44</v>
      </c>
      <c r="H254" s="73" t="s">
        <v>63</v>
      </c>
      <c r="I254" s="73" t="s">
        <v>63</v>
      </c>
    </row>
    <row r="255" spans="1:9" x14ac:dyDescent="0.2">
      <c r="A255" s="78"/>
      <c r="B255" s="72">
        <v>0</v>
      </c>
      <c r="C255" s="72">
        <v>0</v>
      </c>
      <c r="D255" s="72">
        <v>0</v>
      </c>
      <c r="E255" s="73" t="s">
        <v>29</v>
      </c>
      <c r="F255" s="73" t="s">
        <v>43</v>
      </c>
      <c r="G255" s="73" t="s">
        <v>44</v>
      </c>
      <c r="H255" s="73" t="s">
        <v>63</v>
      </c>
      <c r="I255" s="73" t="s">
        <v>63</v>
      </c>
    </row>
    <row r="256" spans="1:9" x14ac:dyDescent="0.2">
      <c r="A256" s="78"/>
      <c r="B256" s="72">
        <v>0</v>
      </c>
      <c r="C256" s="72">
        <v>0</v>
      </c>
      <c r="D256" s="72">
        <v>0</v>
      </c>
      <c r="E256" s="73" t="s">
        <v>29</v>
      </c>
      <c r="F256" s="73" t="s">
        <v>43</v>
      </c>
      <c r="G256" s="73" t="s">
        <v>44</v>
      </c>
      <c r="H256" s="73" t="s">
        <v>63</v>
      </c>
      <c r="I256" s="73" t="s">
        <v>63</v>
      </c>
    </row>
    <row r="257" spans="1:9" x14ac:dyDescent="0.2">
      <c r="A257" s="78"/>
      <c r="B257" s="72">
        <v>0</v>
      </c>
      <c r="C257" s="72">
        <v>0</v>
      </c>
      <c r="D257" s="72">
        <v>0</v>
      </c>
      <c r="E257" s="73" t="s">
        <v>29</v>
      </c>
      <c r="F257" s="73" t="s">
        <v>43</v>
      </c>
      <c r="G257" s="73" t="s">
        <v>44</v>
      </c>
      <c r="H257" s="73" t="s">
        <v>63</v>
      </c>
      <c r="I257" s="73" t="s">
        <v>63</v>
      </c>
    </row>
    <row r="258" spans="1:9" x14ac:dyDescent="0.2">
      <c r="A258" s="78"/>
      <c r="B258" s="72">
        <v>0</v>
      </c>
      <c r="C258" s="72">
        <v>0</v>
      </c>
      <c r="D258" s="72">
        <v>0</v>
      </c>
      <c r="E258" s="73" t="s">
        <v>29</v>
      </c>
      <c r="F258" s="73" t="s">
        <v>43</v>
      </c>
      <c r="G258" s="73" t="s">
        <v>44</v>
      </c>
      <c r="H258" s="73" t="s">
        <v>63</v>
      </c>
      <c r="I258" s="73" t="s">
        <v>63</v>
      </c>
    </row>
    <row r="259" spans="1:9" x14ac:dyDescent="0.2">
      <c r="A259" s="78"/>
      <c r="B259" s="72">
        <v>0</v>
      </c>
      <c r="C259" s="72">
        <v>0</v>
      </c>
      <c r="D259" s="72">
        <v>0</v>
      </c>
      <c r="E259" s="73" t="s">
        <v>29</v>
      </c>
      <c r="F259" s="73" t="s">
        <v>43</v>
      </c>
      <c r="G259" s="73" t="s">
        <v>44</v>
      </c>
      <c r="H259" s="73" t="s">
        <v>63</v>
      </c>
      <c r="I259" s="73" t="s">
        <v>63</v>
      </c>
    </row>
    <row r="260" spans="1:9" x14ac:dyDescent="0.2">
      <c r="A260" s="78"/>
      <c r="B260" s="72">
        <v>0</v>
      </c>
      <c r="C260" s="72">
        <v>0</v>
      </c>
      <c r="D260" s="72">
        <v>0</v>
      </c>
      <c r="E260" s="73" t="s">
        <v>29</v>
      </c>
      <c r="F260" s="73" t="s">
        <v>43</v>
      </c>
      <c r="G260" s="73" t="s">
        <v>44</v>
      </c>
      <c r="H260" s="73" t="s">
        <v>63</v>
      </c>
      <c r="I260" s="73" t="s">
        <v>63</v>
      </c>
    </row>
    <row r="261" spans="1:9" x14ac:dyDescent="0.2">
      <c r="A261" s="78"/>
      <c r="B261" s="72">
        <v>0</v>
      </c>
      <c r="C261" s="72">
        <v>0</v>
      </c>
      <c r="D261" s="72">
        <v>0</v>
      </c>
      <c r="E261" s="73" t="s">
        <v>29</v>
      </c>
      <c r="F261" s="73" t="s">
        <v>43</v>
      </c>
      <c r="G261" s="73" t="s">
        <v>44</v>
      </c>
      <c r="H261" s="73" t="s">
        <v>63</v>
      </c>
      <c r="I261" s="73" t="s">
        <v>63</v>
      </c>
    </row>
    <row r="262" spans="1:9" x14ac:dyDescent="0.2">
      <c r="A262" s="78"/>
      <c r="B262" s="72">
        <v>0</v>
      </c>
      <c r="C262" s="72">
        <v>0</v>
      </c>
      <c r="D262" s="72">
        <v>0</v>
      </c>
      <c r="E262" s="73" t="s">
        <v>29</v>
      </c>
      <c r="F262" s="73" t="s">
        <v>43</v>
      </c>
      <c r="G262" s="73" t="s">
        <v>44</v>
      </c>
      <c r="H262" s="73" t="s">
        <v>63</v>
      </c>
      <c r="I262" s="73" t="s">
        <v>63</v>
      </c>
    </row>
    <row r="263" spans="1:9" x14ac:dyDescent="0.2">
      <c r="A263" s="78"/>
      <c r="B263" s="72">
        <v>0</v>
      </c>
      <c r="C263" s="72">
        <v>0</v>
      </c>
      <c r="D263" s="72">
        <v>0</v>
      </c>
      <c r="E263" s="73" t="s">
        <v>29</v>
      </c>
      <c r="F263" s="73" t="s">
        <v>43</v>
      </c>
      <c r="G263" s="73" t="s">
        <v>44</v>
      </c>
      <c r="H263" s="73" t="s">
        <v>63</v>
      </c>
      <c r="I263" s="73" t="s">
        <v>63</v>
      </c>
    </row>
    <row r="264" spans="1:9" x14ac:dyDescent="0.2">
      <c r="A264" s="78"/>
      <c r="B264" s="72">
        <v>0</v>
      </c>
      <c r="C264" s="72">
        <v>0</v>
      </c>
      <c r="D264" s="72">
        <v>0</v>
      </c>
      <c r="E264" s="73" t="s">
        <v>29</v>
      </c>
      <c r="F264" s="73" t="s">
        <v>43</v>
      </c>
      <c r="G264" s="73" t="s">
        <v>44</v>
      </c>
      <c r="H264" s="73" t="s">
        <v>63</v>
      </c>
      <c r="I264" s="73" t="s">
        <v>63</v>
      </c>
    </row>
    <row r="265" spans="1:9" x14ac:dyDescent="0.2">
      <c r="A265" s="78"/>
      <c r="B265" s="72">
        <v>0</v>
      </c>
      <c r="C265" s="72">
        <v>0</v>
      </c>
      <c r="D265" s="72">
        <v>0</v>
      </c>
      <c r="E265" s="73" t="s">
        <v>29</v>
      </c>
      <c r="F265" s="73" t="s">
        <v>43</v>
      </c>
      <c r="G265" s="73" t="s">
        <v>44</v>
      </c>
      <c r="H265" s="73" t="s">
        <v>63</v>
      </c>
      <c r="I265" s="73" t="s">
        <v>63</v>
      </c>
    </row>
    <row r="266" spans="1:9" x14ac:dyDescent="0.2">
      <c r="A266" s="78"/>
      <c r="B266" s="72">
        <v>0</v>
      </c>
      <c r="C266" s="72">
        <v>0</v>
      </c>
      <c r="D266" s="72">
        <v>0</v>
      </c>
      <c r="E266" s="73" t="s">
        <v>29</v>
      </c>
      <c r="F266" s="73" t="s">
        <v>43</v>
      </c>
      <c r="G266" s="73" t="s">
        <v>44</v>
      </c>
      <c r="H266" s="73" t="s">
        <v>63</v>
      </c>
      <c r="I266" s="73" t="s">
        <v>63</v>
      </c>
    </row>
    <row r="267" spans="1:9" x14ac:dyDescent="0.2">
      <c r="A267" s="78"/>
      <c r="B267" s="72">
        <v>0</v>
      </c>
      <c r="C267" s="72">
        <v>0</v>
      </c>
      <c r="D267" s="72">
        <v>0</v>
      </c>
      <c r="E267" s="73" t="s">
        <v>29</v>
      </c>
      <c r="F267" s="73" t="s">
        <v>43</v>
      </c>
      <c r="G267" s="73" t="s">
        <v>44</v>
      </c>
      <c r="H267" s="73" t="s">
        <v>63</v>
      </c>
      <c r="I267" s="73" t="s">
        <v>63</v>
      </c>
    </row>
    <row r="268" spans="1:9" x14ac:dyDescent="0.2">
      <c r="A268" s="78"/>
      <c r="B268" s="72">
        <v>0</v>
      </c>
      <c r="C268" s="72">
        <v>0</v>
      </c>
      <c r="D268" s="72">
        <v>0</v>
      </c>
      <c r="E268" s="73" t="s">
        <v>29</v>
      </c>
      <c r="F268" s="73" t="s">
        <v>43</v>
      </c>
      <c r="G268" s="73" t="s">
        <v>44</v>
      </c>
      <c r="H268" s="73" t="s">
        <v>63</v>
      </c>
      <c r="I268" s="73" t="s">
        <v>63</v>
      </c>
    </row>
    <row r="269" spans="1:9" x14ac:dyDescent="0.2">
      <c r="A269" s="78"/>
      <c r="B269" s="72">
        <v>0</v>
      </c>
      <c r="C269" s="72">
        <v>0</v>
      </c>
      <c r="D269" s="72">
        <v>0</v>
      </c>
      <c r="E269" s="73" t="s">
        <v>29</v>
      </c>
      <c r="F269" s="73" t="s">
        <v>43</v>
      </c>
      <c r="G269" s="73" t="s">
        <v>44</v>
      </c>
      <c r="H269" s="73" t="s">
        <v>63</v>
      </c>
      <c r="I269" s="73" t="s">
        <v>63</v>
      </c>
    </row>
    <row r="270" spans="1:9" x14ac:dyDescent="0.2">
      <c r="A270" s="78"/>
      <c r="B270" s="72">
        <v>0</v>
      </c>
      <c r="C270" s="72">
        <v>0</v>
      </c>
      <c r="D270" s="72">
        <v>0</v>
      </c>
      <c r="E270" s="73" t="s">
        <v>29</v>
      </c>
      <c r="F270" s="73" t="s">
        <v>43</v>
      </c>
      <c r="G270" s="73" t="s">
        <v>44</v>
      </c>
      <c r="H270" s="73" t="s">
        <v>63</v>
      </c>
      <c r="I270" s="73" t="s">
        <v>63</v>
      </c>
    </row>
    <row r="271" spans="1:9" x14ac:dyDescent="0.2">
      <c r="A271" s="78"/>
      <c r="B271" s="72">
        <v>0</v>
      </c>
      <c r="C271" s="72">
        <v>0</v>
      </c>
      <c r="D271" s="72">
        <v>0</v>
      </c>
      <c r="E271" s="73" t="s">
        <v>29</v>
      </c>
      <c r="F271" s="73" t="s">
        <v>43</v>
      </c>
      <c r="G271" s="73" t="s">
        <v>44</v>
      </c>
      <c r="H271" s="73" t="s">
        <v>63</v>
      </c>
      <c r="I271" s="73" t="s">
        <v>63</v>
      </c>
    </row>
    <row r="272" spans="1:9" x14ac:dyDescent="0.2">
      <c r="A272" s="78"/>
      <c r="B272" s="72">
        <v>0</v>
      </c>
      <c r="C272" s="72">
        <v>0</v>
      </c>
      <c r="D272" s="72">
        <v>0</v>
      </c>
      <c r="E272" s="73" t="s">
        <v>29</v>
      </c>
      <c r="F272" s="73" t="s">
        <v>43</v>
      </c>
      <c r="G272" s="73" t="s">
        <v>44</v>
      </c>
      <c r="H272" s="73" t="s">
        <v>63</v>
      </c>
      <c r="I272" s="73" t="s">
        <v>63</v>
      </c>
    </row>
    <row r="273" spans="1:9" x14ac:dyDescent="0.2">
      <c r="A273" s="78"/>
      <c r="B273" s="72">
        <v>0</v>
      </c>
      <c r="C273" s="72">
        <v>0</v>
      </c>
      <c r="D273" s="72">
        <v>0</v>
      </c>
      <c r="E273" s="73" t="s">
        <v>29</v>
      </c>
      <c r="F273" s="73" t="s">
        <v>43</v>
      </c>
      <c r="G273" s="73" t="s">
        <v>44</v>
      </c>
      <c r="H273" s="73" t="s">
        <v>63</v>
      </c>
      <c r="I273" s="73" t="s">
        <v>63</v>
      </c>
    </row>
    <row r="274" spans="1:9" x14ac:dyDescent="0.2">
      <c r="A274" s="78"/>
      <c r="B274" s="72">
        <v>0</v>
      </c>
      <c r="C274" s="72">
        <v>0</v>
      </c>
      <c r="D274" s="72">
        <v>0</v>
      </c>
      <c r="E274" s="73" t="s">
        <v>29</v>
      </c>
      <c r="F274" s="73" t="s">
        <v>43</v>
      </c>
      <c r="G274" s="73" t="s">
        <v>44</v>
      </c>
      <c r="H274" s="73" t="s">
        <v>63</v>
      </c>
      <c r="I274" s="73" t="s">
        <v>63</v>
      </c>
    </row>
    <row r="275" spans="1:9" x14ac:dyDescent="0.2">
      <c r="A275" s="78"/>
      <c r="B275" s="72">
        <v>0</v>
      </c>
      <c r="C275" s="72">
        <v>0</v>
      </c>
      <c r="D275" s="72">
        <v>0</v>
      </c>
      <c r="E275" s="73" t="s">
        <v>29</v>
      </c>
      <c r="F275" s="73" t="s">
        <v>43</v>
      </c>
      <c r="G275" s="73" t="s">
        <v>44</v>
      </c>
      <c r="H275" s="73" t="s">
        <v>63</v>
      </c>
      <c r="I275" s="73" t="s">
        <v>63</v>
      </c>
    </row>
    <row r="276" spans="1:9" x14ac:dyDescent="0.2">
      <c r="A276" s="78"/>
      <c r="B276" s="72">
        <v>0</v>
      </c>
      <c r="C276" s="72">
        <v>0</v>
      </c>
      <c r="D276" s="72">
        <v>0</v>
      </c>
      <c r="E276" s="73" t="s">
        <v>29</v>
      </c>
      <c r="F276" s="73" t="s">
        <v>43</v>
      </c>
      <c r="G276" s="73" t="s">
        <v>44</v>
      </c>
      <c r="H276" s="73" t="s">
        <v>63</v>
      </c>
      <c r="I276" s="73" t="s">
        <v>63</v>
      </c>
    </row>
    <row r="277" spans="1:9" x14ac:dyDescent="0.2">
      <c r="A277" s="78"/>
      <c r="B277" s="72">
        <v>0</v>
      </c>
      <c r="C277" s="72">
        <v>0</v>
      </c>
      <c r="D277" s="72">
        <v>0</v>
      </c>
      <c r="E277" s="73" t="s">
        <v>29</v>
      </c>
      <c r="F277" s="73" t="s">
        <v>43</v>
      </c>
      <c r="G277" s="73" t="s">
        <v>44</v>
      </c>
      <c r="H277" s="73" t="s">
        <v>63</v>
      </c>
      <c r="I277" s="73" t="s">
        <v>63</v>
      </c>
    </row>
    <row r="278" spans="1:9" x14ac:dyDescent="0.2">
      <c r="A278" s="78"/>
      <c r="B278" s="72">
        <v>0</v>
      </c>
      <c r="C278" s="72">
        <v>0</v>
      </c>
      <c r="D278" s="72">
        <v>0</v>
      </c>
      <c r="E278" s="73" t="s">
        <v>29</v>
      </c>
      <c r="F278" s="73" t="s">
        <v>43</v>
      </c>
      <c r="G278" s="73" t="s">
        <v>44</v>
      </c>
      <c r="H278" s="73" t="s">
        <v>63</v>
      </c>
      <c r="I278" s="73" t="s">
        <v>63</v>
      </c>
    </row>
    <row r="279" spans="1:9" x14ac:dyDescent="0.2">
      <c r="A279" s="78"/>
      <c r="B279" s="72">
        <v>0</v>
      </c>
      <c r="C279" s="72">
        <v>0</v>
      </c>
      <c r="D279" s="72">
        <v>0</v>
      </c>
      <c r="E279" s="73" t="s">
        <v>29</v>
      </c>
      <c r="F279" s="73" t="s">
        <v>43</v>
      </c>
      <c r="G279" s="73" t="s">
        <v>44</v>
      </c>
      <c r="H279" s="73" t="s">
        <v>63</v>
      </c>
      <c r="I279" s="73" t="s">
        <v>63</v>
      </c>
    </row>
    <row r="280" spans="1:9" x14ac:dyDescent="0.2">
      <c r="A280" s="78"/>
      <c r="B280" s="72">
        <v>0</v>
      </c>
      <c r="C280" s="72">
        <v>0</v>
      </c>
      <c r="D280" s="72">
        <v>0</v>
      </c>
      <c r="E280" s="73" t="s">
        <v>29</v>
      </c>
      <c r="F280" s="73" t="s">
        <v>43</v>
      </c>
      <c r="G280" s="73" t="s">
        <v>44</v>
      </c>
      <c r="H280" s="73" t="s">
        <v>63</v>
      </c>
      <c r="I280" s="73" t="s">
        <v>63</v>
      </c>
    </row>
    <row r="281" spans="1:9" x14ac:dyDescent="0.2">
      <c r="A281" s="78"/>
      <c r="B281" s="72">
        <v>0</v>
      </c>
      <c r="C281" s="72">
        <v>0</v>
      </c>
      <c r="D281" s="72">
        <v>0</v>
      </c>
      <c r="E281" s="73" t="s">
        <v>29</v>
      </c>
      <c r="F281" s="73" t="s">
        <v>43</v>
      </c>
      <c r="G281" s="73" t="s">
        <v>44</v>
      </c>
      <c r="H281" s="73" t="s">
        <v>63</v>
      </c>
      <c r="I281" s="73" t="s">
        <v>63</v>
      </c>
    </row>
    <row r="282" spans="1:9" x14ac:dyDescent="0.2">
      <c r="A282" s="78"/>
      <c r="B282" s="72">
        <v>0</v>
      </c>
      <c r="C282" s="72">
        <v>0</v>
      </c>
      <c r="D282" s="72">
        <v>0</v>
      </c>
      <c r="E282" s="73" t="s">
        <v>29</v>
      </c>
      <c r="F282" s="73" t="s">
        <v>43</v>
      </c>
      <c r="G282" s="73" t="s">
        <v>44</v>
      </c>
      <c r="H282" s="73" t="s">
        <v>63</v>
      </c>
      <c r="I282" s="73" t="s">
        <v>63</v>
      </c>
    </row>
    <row r="283" spans="1:9" x14ac:dyDescent="0.2">
      <c r="A283" s="78"/>
      <c r="B283" s="72">
        <v>0</v>
      </c>
      <c r="C283" s="72">
        <v>0</v>
      </c>
      <c r="D283" s="72">
        <v>0</v>
      </c>
      <c r="E283" s="73" t="s">
        <v>29</v>
      </c>
      <c r="F283" s="73" t="s">
        <v>43</v>
      </c>
      <c r="G283" s="73" t="s">
        <v>44</v>
      </c>
      <c r="H283" s="73" t="s">
        <v>63</v>
      </c>
      <c r="I283" s="73" t="s">
        <v>63</v>
      </c>
    </row>
    <row r="284" spans="1:9" x14ac:dyDescent="0.2">
      <c r="A284" s="78"/>
      <c r="B284" s="72">
        <v>0</v>
      </c>
      <c r="C284" s="72">
        <v>0</v>
      </c>
      <c r="D284" s="72">
        <v>0</v>
      </c>
      <c r="E284" s="73" t="s">
        <v>29</v>
      </c>
      <c r="F284" s="73" t="s">
        <v>43</v>
      </c>
      <c r="G284" s="73" t="s">
        <v>44</v>
      </c>
      <c r="H284" s="73" t="s">
        <v>63</v>
      </c>
      <c r="I284" s="73" t="s">
        <v>63</v>
      </c>
    </row>
    <row r="285" spans="1:9" x14ac:dyDescent="0.2">
      <c r="A285" s="78"/>
      <c r="B285" s="72">
        <v>0</v>
      </c>
      <c r="C285" s="72">
        <v>0</v>
      </c>
      <c r="D285" s="72">
        <v>0</v>
      </c>
      <c r="E285" s="73" t="s">
        <v>29</v>
      </c>
      <c r="F285" s="73" t="s">
        <v>43</v>
      </c>
      <c r="G285" s="73" t="s">
        <v>44</v>
      </c>
      <c r="H285" s="73" t="s">
        <v>63</v>
      </c>
      <c r="I285" s="73" t="s">
        <v>63</v>
      </c>
    </row>
    <row r="286" spans="1:9" x14ac:dyDescent="0.2">
      <c r="A286" s="78"/>
      <c r="B286" s="72">
        <v>0</v>
      </c>
      <c r="C286" s="72">
        <v>0</v>
      </c>
      <c r="D286" s="72">
        <v>0</v>
      </c>
      <c r="E286" s="73" t="s">
        <v>29</v>
      </c>
      <c r="F286" s="73" t="s">
        <v>43</v>
      </c>
      <c r="G286" s="73" t="s">
        <v>44</v>
      </c>
      <c r="H286" s="73" t="s">
        <v>63</v>
      </c>
      <c r="I286" s="73" t="s">
        <v>63</v>
      </c>
    </row>
    <row r="287" spans="1:9" x14ac:dyDescent="0.2">
      <c r="A287" s="78"/>
      <c r="B287" s="72">
        <v>0</v>
      </c>
      <c r="C287" s="72">
        <v>0</v>
      </c>
      <c r="D287" s="72">
        <v>0</v>
      </c>
      <c r="E287" s="73" t="s">
        <v>29</v>
      </c>
      <c r="F287" s="73" t="s">
        <v>43</v>
      </c>
      <c r="G287" s="73" t="s">
        <v>44</v>
      </c>
      <c r="H287" s="73" t="s">
        <v>63</v>
      </c>
      <c r="I287" s="73" t="s">
        <v>63</v>
      </c>
    </row>
    <row r="288" spans="1:9" x14ac:dyDescent="0.2">
      <c r="A288" s="78"/>
      <c r="B288" s="72">
        <v>0</v>
      </c>
      <c r="C288" s="72">
        <v>0</v>
      </c>
      <c r="D288" s="72">
        <v>0</v>
      </c>
      <c r="E288" s="73" t="s">
        <v>29</v>
      </c>
      <c r="F288" s="73" t="s">
        <v>43</v>
      </c>
      <c r="G288" s="73" t="s">
        <v>44</v>
      </c>
      <c r="H288" s="73" t="s">
        <v>63</v>
      </c>
      <c r="I288" s="73" t="s">
        <v>63</v>
      </c>
    </row>
    <row r="289" spans="1:9" x14ac:dyDescent="0.2">
      <c r="A289" s="78"/>
      <c r="B289" s="72">
        <v>0</v>
      </c>
      <c r="C289" s="72">
        <v>0</v>
      </c>
      <c r="D289" s="72">
        <v>0</v>
      </c>
      <c r="E289" s="73" t="s">
        <v>29</v>
      </c>
      <c r="F289" s="73" t="s">
        <v>43</v>
      </c>
      <c r="G289" s="73" t="s">
        <v>44</v>
      </c>
      <c r="H289" s="73" t="s">
        <v>63</v>
      </c>
      <c r="I289" s="73" t="s">
        <v>63</v>
      </c>
    </row>
    <row r="290" spans="1:9" x14ac:dyDescent="0.2">
      <c r="A290" s="78"/>
      <c r="B290" s="72">
        <v>0</v>
      </c>
      <c r="C290" s="72">
        <v>0</v>
      </c>
      <c r="D290" s="72">
        <v>0</v>
      </c>
      <c r="E290" s="73" t="s">
        <v>29</v>
      </c>
      <c r="F290" s="73" t="s">
        <v>43</v>
      </c>
      <c r="G290" s="73" t="s">
        <v>44</v>
      </c>
      <c r="H290" s="73" t="s">
        <v>63</v>
      </c>
      <c r="I290" s="73" t="s">
        <v>63</v>
      </c>
    </row>
    <row r="291" spans="1:9" x14ac:dyDescent="0.2">
      <c r="A291" s="78"/>
      <c r="B291" s="72">
        <v>0</v>
      </c>
      <c r="C291" s="72">
        <v>0</v>
      </c>
      <c r="D291" s="72">
        <v>0</v>
      </c>
      <c r="E291" s="73" t="s">
        <v>29</v>
      </c>
      <c r="F291" s="73" t="s">
        <v>43</v>
      </c>
      <c r="G291" s="73" t="s">
        <v>44</v>
      </c>
      <c r="H291" s="73" t="s">
        <v>63</v>
      </c>
      <c r="I291" s="73" t="s">
        <v>63</v>
      </c>
    </row>
    <row r="292" spans="1:9" x14ac:dyDescent="0.2">
      <c r="A292" s="78"/>
      <c r="B292" s="72">
        <v>0</v>
      </c>
      <c r="C292" s="72">
        <v>0</v>
      </c>
      <c r="D292" s="72">
        <v>0</v>
      </c>
      <c r="E292" s="73" t="s">
        <v>29</v>
      </c>
      <c r="F292" s="73" t="s">
        <v>43</v>
      </c>
      <c r="G292" s="73" t="s">
        <v>44</v>
      </c>
      <c r="H292" s="73" t="s">
        <v>63</v>
      </c>
      <c r="I292" s="73" t="s">
        <v>63</v>
      </c>
    </row>
    <row r="293" spans="1:9" x14ac:dyDescent="0.2">
      <c r="A293" s="78"/>
      <c r="B293" s="72">
        <v>0</v>
      </c>
      <c r="C293" s="72">
        <v>0</v>
      </c>
      <c r="D293" s="72">
        <v>0</v>
      </c>
      <c r="E293" s="73" t="s">
        <v>29</v>
      </c>
      <c r="F293" s="73" t="s">
        <v>43</v>
      </c>
      <c r="G293" s="73" t="s">
        <v>44</v>
      </c>
      <c r="H293" s="73" t="s">
        <v>63</v>
      </c>
      <c r="I293" s="73" t="s">
        <v>63</v>
      </c>
    </row>
    <row r="294" spans="1:9" x14ac:dyDescent="0.2">
      <c r="A294" s="78"/>
      <c r="B294" s="72">
        <v>0</v>
      </c>
      <c r="C294" s="72">
        <v>0</v>
      </c>
      <c r="D294" s="72">
        <v>0</v>
      </c>
      <c r="E294" s="73" t="s">
        <v>29</v>
      </c>
      <c r="F294" s="73" t="s">
        <v>43</v>
      </c>
      <c r="G294" s="73" t="s">
        <v>44</v>
      </c>
      <c r="H294" s="73" t="s">
        <v>63</v>
      </c>
      <c r="I294" s="73" t="s">
        <v>63</v>
      </c>
    </row>
    <row r="295" spans="1:9" x14ac:dyDescent="0.2">
      <c r="A295" s="78"/>
      <c r="B295" s="72">
        <v>0</v>
      </c>
      <c r="C295" s="72">
        <v>0</v>
      </c>
      <c r="D295" s="72">
        <v>0</v>
      </c>
      <c r="E295" s="73" t="s">
        <v>29</v>
      </c>
      <c r="F295" s="73" t="s">
        <v>43</v>
      </c>
      <c r="G295" s="73" t="s">
        <v>44</v>
      </c>
      <c r="H295" s="73" t="s">
        <v>63</v>
      </c>
      <c r="I295" s="73" t="s">
        <v>63</v>
      </c>
    </row>
    <row r="296" spans="1:9" x14ac:dyDescent="0.2">
      <c r="A296" s="78"/>
      <c r="B296" s="72">
        <v>0</v>
      </c>
      <c r="C296" s="72">
        <v>0</v>
      </c>
      <c r="D296" s="72">
        <v>0</v>
      </c>
      <c r="E296" s="73" t="s">
        <v>29</v>
      </c>
      <c r="F296" s="73" t="s">
        <v>43</v>
      </c>
      <c r="G296" s="73" t="s">
        <v>44</v>
      </c>
      <c r="H296" s="73" t="s">
        <v>63</v>
      </c>
      <c r="I296" s="73" t="s">
        <v>63</v>
      </c>
    </row>
    <row r="297" spans="1:9" x14ac:dyDescent="0.2">
      <c r="A297" s="78"/>
      <c r="B297" s="72">
        <v>0</v>
      </c>
      <c r="C297" s="72">
        <v>0</v>
      </c>
      <c r="D297" s="72">
        <v>0</v>
      </c>
      <c r="E297" s="73" t="s">
        <v>29</v>
      </c>
      <c r="F297" s="73" t="s">
        <v>43</v>
      </c>
      <c r="G297" s="73" t="s">
        <v>44</v>
      </c>
      <c r="H297" s="73" t="s">
        <v>63</v>
      </c>
      <c r="I297" s="73" t="s">
        <v>63</v>
      </c>
    </row>
    <row r="298" spans="1:9" x14ac:dyDescent="0.2">
      <c r="A298" s="78"/>
      <c r="B298" s="72">
        <v>0</v>
      </c>
      <c r="C298" s="72">
        <v>0</v>
      </c>
      <c r="D298" s="72">
        <v>0</v>
      </c>
      <c r="E298" s="73" t="s">
        <v>29</v>
      </c>
      <c r="F298" s="73" t="s">
        <v>43</v>
      </c>
      <c r="G298" s="73" t="s">
        <v>44</v>
      </c>
      <c r="H298" s="73" t="s">
        <v>63</v>
      </c>
      <c r="I298" s="73" t="s">
        <v>63</v>
      </c>
    </row>
    <row r="299" spans="1:9" x14ac:dyDescent="0.2">
      <c r="A299" s="78"/>
      <c r="B299" s="72">
        <v>0</v>
      </c>
      <c r="C299" s="72">
        <v>0</v>
      </c>
      <c r="D299" s="72">
        <v>0</v>
      </c>
      <c r="E299" s="73" t="s">
        <v>29</v>
      </c>
      <c r="F299" s="73" t="s">
        <v>43</v>
      </c>
      <c r="G299" s="73" t="s">
        <v>44</v>
      </c>
      <c r="H299" s="73" t="s">
        <v>63</v>
      </c>
      <c r="I299" s="73" t="s">
        <v>63</v>
      </c>
    </row>
    <row r="300" spans="1:9" x14ac:dyDescent="0.2">
      <c r="A300" s="78"/>
      <c r="B300" s="72">
        <v>0</v>
      </c>
      <c r="C300" s="72">
        <v>0</v>
      </c>
      <c r="D300" s="72">
        <v>0</v>
      </c>
      <c r="E300" s="77" t="s">
        <v>29</v>
      </c>
      <c r="F300" s="77" t="s">
        <v>43</v>
      </c>
      <c r="G300" s="77" t="s">
        <v>44</v>
      </c>
      <c r="H300" s="77" t="s">
        <v>63</v>
      </c>
      <c r="I300" s="77" t="s">
        <v>63</v>
      </c>
    </row>
    <row r="301" spans="1:9" x14ac:dyDescent="0.2">
      <c r="A301" s="78"/>
      <c r="B301" s="72">
        <v>0</v>
      </c>
      <c r="C301" s="72">
        <v>0</v>
      </c>
      <c r="D301" s="72">
        <v>0</v>
      </c>
      <c r="E301" s="78"/>
      <c r="F301" s="78"/>
      <c r="G301" s="78"/>
      <c r="H301" s="78"/>
      <c r="I301" s="78"/>
    </row>
    <row r="302" spans="1:9" x14ac:dyDescent="0.2">
      <c r="A302" s="78"/>
      <c r="B302" s="72">
        <v>0</v>
      </c>
      <c r="C302" s="72">
        <v>0</v>
      </c>
      <c r="D302" s="72">
        <v>0</v>
      </c>
      <c r="E302" s="78"/>
      <c r="F302" s="78"/>
      <c r="G302" s="78"/>
      <c r="H302" s="78"/>
      <c r="I302" s="78"/>
    </row>
    <row r="303" spans="1:9" x14ac:dyDescent="0.2">
      <c r="A303" s="78"/>
      <c r="B303" s="72">
        <v>0</v>
      </c>
      <c r="C303" s="72">
        <v>0</v>
      </c>
      <c r="D303" s="72">
        <v>0</v>
      </c>
      <c r="E303" s="78"/>
      <c r="F303" s="78"/>
      <c r="G303" s="78"/>
      <c r="H303" s="78"/>
      <c r="I303" s="78"/>
    </row>
    <row r="304" spans="1:9" x14ac:dyDescent="0.2">
      <c r="A304" s="78"/>
      <c r="B304" s="72">
        <v>0</v>
      </c>
      <c r="C304" s="72">
        <v>0</v>
      </c>
      <c r="D304" s="72">
        <v>0</v>
      </c>
      <c r="E304" s="78"/>
      <c r="F304" s="78"/>
      <c r="G304" s="78"/>
      <c r="H304" s="78"/>
      <c r="I304" s="78"/>
    </row>
    <row r="305" spans="1:9" x14ac:dyDescent="0.2">
      <c r="A305" s="78"/>
      <c r="B305" s="78"/>
      <c r="C305" s="78"/>
      <c r="D305" s="78"/>
      <c r="E305" s="78"/>
      <c r="F305" s="78"/>
      <c r="G305" s="78"/>
      <c r="H305" s="78"/>
      <c r="I305" s="78"/>
    </row>
    <row r="306" spans="1:9" x14ac:dyDescent="0.2">
      <c r="A306" s="78"/>
      <c r="B306" s="78"/>
      <c r="C306" s="78"/>
      <c r="D306" s="78"/>
      <c r="E306" s="78"/>
      <c r="F306" s="78"/>
      <c r="G306" s="78"/>
      <c r="H306" s="78"/>
      <c r="I306" s="78"/>
    </row>
    <row r="307" spans="1:9" x14ac:dyDescent="0.2">
      <c r="A307" s="78"/>
      <c r="B307" s="78"/>
      <c r="C307" s="78"/>
      <c r="D307" s="78"/>
      <c r="E307" s="78"/>
      <c r="F307" s="78"/>
      <c r="G307" s="78"/>
      <c r="H307" s="78"/>
      <c r="I307" s="78"/>
    </row>
    <row r="308" spans="1:9" x14ac:dyDescent="0.2">
      <c r="A308" s="78"/>
      <c r="B308" s="78"/>
      <c r="C308" s="78"/>
      <c r="D308" s="78"/>
      <c r="E308" s="78"/>
      <c r="F308" s="78"/>
      <c r="G308" s="78"/>
      <c r="H308" s="78"/>
      <c r="I308" s="78"/>
    </row>
    <row r="309" spans="1:9" x14ac:dyDescent="0.2">
      <c r="A309" s="78"/>
      <c r="B309" s="78"/>
      <c r="C309" s="78"/>
      <c r="D309" s="78"/>
      <c r="E309" s="78"/>
      <c r="F309" s="78"/>
      <c r="G309" s="78"/>
      <c r="H309" s="78"/>
      <c r="I309" s="78"/>
    </row>
    <row r="310" spans="1:9" x14ac:dyDescent="0.2">
      <c r="A310" s="78"/>
      <c r="B310" s="78"/>
      <c r="C310" s="78"/>
      <c r="D310" s="78"/>
      <c r="E310" s="78"/>
      <c r="F310" s="78"/>
      <c r="G310" s="78"/>
      <c r="H310" s="78"/>
      <c r="I310" s="78"/>
    </row>
    <row r="311" spans="1:9" x14ac:dyDescent="0.2">
      <c r="A311" s="78"/>
      <c r="B311" s="78"/>
      <c r="C311" s="78"/>
      <c r="D311" s="78"/>
      <c r="E311" s="78"/>
      <c r="F311" s="78"/>
      <c r="G311" s="78"/>
      <c r="H311" s="78"/>
      <c r="I311" s="78"/>
    </row>
    <row r="312" spans="1:9" x14ac:dyDescent="0.2">
      <c r="A312" s="78"/>
      <c r="B312" s="78"/>
      <c r="C312" s="78"/>
      <c r="D312" s="78"/>
      <c r="E312" s="78"/>
      <c r="F312" s="78"/>
      <c r="G312" s="78"/>
      <c r="H312" s="78"/>
      <c r="I312" s="78"/>
    </row>
    <row r="313" spans="1:9" x14ac:dyDescent="0.2">
      <c r="A313" s="78"/>
      <c r="B313" s="78"/>
      <c r="C313" s="78"/>
      <c r="D313" s="78"/>
      <c r="E313" s="78"/>
      <c r="F313" s="78"/>
      <c r="G313" s="78"/>
      <c r="H313" s="78"/>
      <c r="I313" s="78"/>
    </row>
    <row r="314" spans="1:9" x14ac:dyDescent="0.2">
      <c r="A314" s="78"/>
      <c r="B314" s="78"/>
      <c r="C314" s="78"/>
      <c r="D314" s="78"/>
      <c r="E314" s="78"/>
      <c r="F314" s="78"/>
      <c r="G314" s="78"/>
      <c r="H314" s="78"/>
      <c r="I314" s="78"/>
    </row>
    <row r="315" spans="1:9" x14ac:dyDescent="0.2">
      <c r="A315" s="78"/>
      <c r="B315" s="78"/>
      <c r="C315" s="78"/>
      <c r="D315" s="78"/>
      <c r="E315" s="78"/>
      <c r="F315" s="78"/>
      <c r="G315" s="78"/>
      <c r="H315" s="78"/>
      <c r="I315" s="78"/>
    </row>
    <row r="316" spans="1:9" x14ac:dyDescent="0.2">
      <c r="A316" s="78"/>
      <c r="B316" s="78"/>
      <c r="C316" s="78"/>
      <c r="D316" s="78"/>
      <c r="E316" s="78"/>
      <c r="F316" s="78"/>
      <c r="G316" s="78"/>
      <c r="H316" s="78"/>
      <c r="I316" s="78"/>
    </row>
    <row r="317" spans="1:9" x14ac:dyDescent="0.2">
      <c r="A317" s="78"/>
      <c r="B317" s="78"/>
      <c r="C317" s="78"/>
      <c r="D317" s="78"/>
      <c r="E317" s="78"/>
      <c r="F317" s="78"/>
      <c r="G317" s="78"/>
      <c r="H317" s="78"/>
      <c r="I317" s="78"/>
    </row>
    <row r="318" spans="1:9" x14ac:dyDescent="0.2">
      <c r="A318" s="78"/>
      <c r="B318" s="78"/>
      <c r="C318" s="78"/>
      <c r="D318" s="78"/>
      <c r="E318" s="78"/>
      <c r="F318" s="78"/>
      <c r="G318" s="78"/>
      <c r="H318" s="78"/>
      <c r="I318" s="78"/>
    </row>
    <row r="319" spans="1:9" x14ac:dyDescent="0.2">
      <c r="A319" s="78"/>
      <c r="B319" s="78"/>
      <c r="C319" s="78"/>
      <c r="D319" s="78"/>
      <c r="E319" s="78"/>
      <c r="F319" s="78"/>
      <c r="G319" s="78"/>
      <c r="H319" s="78"/>
      <c r="I319" s="78"/>
    </row>
    <row r="320" spans="1:9" x14ac:dyDescent="0.2">
      <c r="A320" s="78"/>
      <c r="B320" s="78"/>
      <c r="C320" s="78"/>
      <c r="D320" s="78"/>
      <c r="E320" s="78"/>
      <c r="F320" s="78"/>
      <c r="G320" s="78"/>
      <c r="H320" s="78"/>
      <c r="I320" s="78"/>
    </row>
    <row r="321" spans="1:9" x14ac:dyDescent="0.2">
      <c r="A321" s="78"/>
      <c r="B321" s="78"/>
      <c r="C321" s="78"/>
      <c r="D321" s="78"/>
      <c r="E321" s="78"/>
      <c r="F321" s="78"/>
      <c r="G321" s="78"/>
      <c r="H321" s="78"/>
      <c r="I321" s="78"/>
    </row>
    <row r="322" spans="1:9" x14ac:dyDescent="0.2">
      <c r="A322" s="78"/>
      <c r="B322" s="78"/>
      <c r="C322" s="78"/>
      <c r="D322" s="78"/>
      <c r="E322" s="78"/>
      <c r="F322" s="78"/>
      <c r="G322" s="78"/>
      <c r="H322" s="78"/>
      <c r="I322" s="78"/>
    </row>
    <row r="323" spans="1:9" x14ac:dyDescent="0.2">
      <c r="A323" s="78"/>
      <c r="B323" s="78"/>
      <c r="C323" s="78"/>
      <c r="D323" s="78"/>
      <c r="E323" s="78"/>
      <c r="F323" s="78"/>
      <c r="G323" s="78"/>
      <c r="H323" s="78"/>
      <c r="I323" s="78"/>
    </row>
    <row r="324" spans="1:9" x14ac:dyDescent="0.2">
      <c r="A324" s="78"/>
      <c r="B324" s="78"/>
      <c r="C324" s="78"/>
      <c r="D324" s="78"/>
      <c r="E324" s="78"/>
      <c r="F324" s="78"/>
      <c r="G324" s="78"/>
      <c r="H324" s="78"/>
      <c r="I324" s="78"/>
    </row>
    <row r="325" spans="1:9" x14ac:dyDescent="0.2">
      <c r="A325" s="78"/>
      <c r="B325" s="78"/>
      <c r="C325" s="78"/>
      <c r="D325" s="78"/>
      <c r="E325" s="78"/>
      <c r="F325" s="78"/>
      <c r="G325" s="78"/>
      <c r="H325" s="78"/>
      <c r="I325" s="78"/>
    </row>
    <row r="326" spans="1:9" x14ac:dyDescent="0.2">
      <c r="A326" s="78"/>
      <c r="B326" s="78"/>
      <c r="C326" s="78"/>
      <c r="D326" s="78"/>
      <c r="E326" s="78"/>
      <c r="F326" s="78"/>
      <c r="G326" s="78"/>
      <c r="H326" s="78"/>
      <c r="I326" s="78"/>
    </row>
    <row r="327" spans="1:9" x14ac:dyDescent="0.2">
      <c r="A327" s="78"/>
      <c r="B327" s="78"/>
      <c r="C327" s="78"/>
      <c r="D327" s="78"/>
      <c r="E327" s="78"/>
      <c r="F327" s="78"/>
      <c r="G327" s="78"/>
      <c r="H327" s="78"/>
      <c r="I327" s="78"/>
    </row>
    <row r="328" spans="1:9" x14ac:dyDescent="0.2">
      <c r="A328" s="78"/>
      <c r="B328" s="78"/>
      <c r="C328" s="78"/>
      <c r="D328" s="78"/>
      <c r="E328" s="78"/>
      <c r="F328" s="78"/>
      <c r="G328" s="78"/>
      <c r="H328" s="78"/>
      <c r="I328" s="78"/>
    </row>
    <row r="329" spans="1:9" x14ac:dyDescent="0.2">
      <c r="A329" s="78"/>
      <c r="B329" s="78"/>
      <c r="C329" s="78"/>
      <c r="D329" s="78"/>
      <c r="E329" s="78"/>
      <c r="F329" s="78"/>
      <c r="G329" s="78"/>
      <c r="H329" s="78"/>
      <c r="I329" s="78"/>
    </row>
    <row r="330" spans="1:9" x14ac:dyDescent="0.2">
      <c r="A330" s="78"/>
      <c r="B330" s="78"/>
      <c r="C330" s="78"/>
      <c r="D330" s="78"/>
      <c r="E330" s="78"/>
      <c r="F330" s="78"/>
      <c r="G330" s="78"/>
      <c r="H330" s="78"/>
      <c r="I330" s="78"/>
    </row>
    <row r="331" spans="1:9" x14ac:dyDescent="0.2">
      <c r="A331" s="78"/>
      <c r="B331" s="78"/>
      <c r="C331" s="78"/>
      <c r="D331" s="78"/>
      <c r="E331" s="78"/>
      <c r="F331" s="78"/>
      <c r="G331" s="78"/>
      <c r="H331" s="78"/>
      <c r="I331" s="78"/>
    </row>
    <row r="332" spans="1:9" x14ac:dyDescent="0.2">
      <c r="A332" s="78"/>
      <c r="B332" s="78"/>
      <c r="C332" s="78"/>
      <c r="D332" s="78"/>
      <c r="E332" s="78"/>
      <c r="F332" s="78"/>
      <c r="G332" s="78"/>
      <c r="H332" s="78"/>
      <c r="I332" s="78"/>
    </row>
    <row r="333" spans="1:9" x14ac:dyDescent="0.2">
      <c r="A333" s="78"/>
      <c r="B333" s="78"/>
      <c r="C333" s="78"/>
      <c r="D333" s="78"/>
      <c r="E333" s="78"/>
      <c r="F333" s="78"/>
      <c r="G333" s="78"/>
      <c r="H333" s="78"/>
      <c r="I333" s="78"/>
    </row>
    <row r="334" spans="1:9" x14ac:dyDescent="0.2">
      <c r="A334" s="78"/>
      <c r="B334" s="78"/>
      <c r="C334" s="78"/>
      <c r="D334" s="78"/>
      <c r="E334" s="78"/>
      <c r="F334" s="78"/>
      <c r="G334" s="78"/>
      <c r="H334" s="78"/>
      <c r="I334" s="78"/>
    </row>
    <row r="335" spans="1:9" x14ac:dyDescent="0.2">
      <c r="A335" s="78"/>
      <c r="B335" s="78"/>
      <c r="C335" s="78"/>
      <c r="D335" s="78"/>
      <c r="E335" s="78"/>
      <c r="F335" s="78"/>
      <c r="G335" s="78"/>
      <c r="H335" s="78"/>
      <c r="I335" s="78"/>
    </row>
    <row r="336" spans="1:9" x14ac:dyDescent="0.2">
      <c r="A336" s="78"/>
      <c r="B336" s="78"/>
      <c r="C336" s="78"/>
      <c r="D336" s="78"/>
      <c r="E336" s="78"/>
      <c r="F336" s="78"/>
      <c r="G336" s="78"/>
      <c r="H336" s="78"/>
      <c r="I336" s="78"/>
    </row>
    <row r="337" spans="1:9" x14ac:dyDescent="0.2">
      <c r="A337" s="78"/>
      <c r="B337" s="78"/>
      <c r="C337" s="78"/>
      <c r="D337" s="78"/>
      <c r="E337" s="78"/>
      <c r="F337" s="78"/>
      <c r="G337" s="78"/>
      <c r="H337" s="78"/>
      <c r="I337" s="78"/>
    </row>
    <row r="338" spans="1:9" x14ac:dyDescent="0.2">
      <c r="A338" s="78"/>
      <c r="B338" s="78"/>
      <c r="C338" s="78"/>
      <c r="D338" s="78"/>
      <c r="E338" s="78"/>
      <c r="F338" s="78"/>
      <c r="G338" s="78"/>
      <c r="H338" s="78"/>
      <c r="I338" s="78"/>
    </row>
    <row r="339" spans="1:9" x14ac:dyDescent="0.2">
      <c r="A339" s="78"/>
      <c r="B339" s="78"/>
      <c r="C339" s="78"/>
      <c r="D339" s="78"/>
      <c r="E339" s="78"/>
      <c r="F339" s="78"/>
      <c r="G339" s="78"/>
      <c r="H339" s="78"/>
      <c r="I339" s="78"/>
    </row>
    <row r="340" spans="1:9" x14ac:dyDescent="0.2">
      <c r="A340" s="78"/>
      <c r="B340" s="78"/>
      <c r="C340" s="78"/>
      <c r="D340" s="78"/>
      <c r="E340" s="78"/>
      <c r="F340" s="78"/>
      <c r="G340" s="78"/>
      <c r="H340" s="78"/>
      <c r="I340" s="78"/>
    </row>
    <row r="341" spans="1:9" x14ac:dyDescent="0.2">
      <c r="A341" s="78"/>
      <c r="B341" s="78"/>
      <c r="C341" s="78"/>
      <c r="D341" s="78"/>
      <c r="E341" s="78"/>
      <c r="F341" s="78"/>
      <c r="G341" s="78"/>
      <c r="H341" s="78"/>
      <c r="I341" s="78"/>
    </row>
    <row r="342" spans="1:9" x14ac:dyDescent="0.2">
      <c r="A342" s="78"/>
      <c r="B342" s="78"/>
      <c r="C342" s="78"/>
      <c r="D342" s="78"/>
      <c r="E342" s="78"/>
      <c r="F342" s="78"/>
      <c r="G342" s="78"/>
      <c r="H342" s="78"/>
      <c r="I342" s="78"/>
    </row>
    <row r="343" spans="1:9" x14ac:dyDescent="0.2">
      <c r="A343" s="78"/>
      <c r="B343" s="78"/>
      <c r="C343" s="78"/>
      <c r="D343" s="78"/>
      <c r="E343" s="78"/>
      <c r="F343" s="78"/>
      <c r="G343" s="78"/>
      <c r="H343" s="78"/>
      <c r="I343" s="78"/>
    </row>
    <row r="344" spans="1:9" x14ac:dyDescent="0.2">
      <c r="A344" s="78"/>
      <c r="B344" s="78"/>
      <c r="C344" s="78"/>
      <c r="D344" s="78"/>
      <c r="E344" s="78"/>
      <c r="F344" s="78"/>
      <c r="G344" s="78"/>
      <c r="H344" s="78"/>
      <c r="I344" s="78"/>
    </row>
    <row r="345" spans="1:9" x14ac:dyDescent="0.2">
      <c r="A345" s="78"/>
      <c r="B345" s="78"/>
      <c r="C345" s="78"/>
      <c r="D345" s="78"/>
      <c r="E345" s="78"/>
      <c r="F345" s="78"/>
      <c r="G345" s="78"/>
      <c r="H345" s="78"/>
      <c r="I345" s="78"/>
    </row>
    <row r="346" spans="1:9" x14ac:dyDescent="0.2">
      <c r="A346" s="78"/>
      <c r="B346" s="78"/>
      <c r="C346" s="78"/>
      <c r="D346" s="78"/>
      <c r="E346" s="78"/>
      <c r="F346" s="78"/>
      <c r="G346" s="78"/>
      <c r="H346" s="78"/>
      <c r="I346" s="78"/>
    </row>
    <row r="347" spans="1:9" x14ac:dyDescent="0.2">
      <c r="A347" s="78"/>
      <c r="B347" s="78"/>
      <c r="C347" s="78"/>
      <c r="D347" s="78"/>
      <c r="E347" s="78"/>
      <c r="F347" s="78"/>
      <c r="G347" s="78"/>
      <c r="H347" s="78"/>
      <c r="I347" s="78"/>
    </row>
    <row r="348" spans="1:9" x14ac:dyDescent="0.2">
      <c r="A348" s="78"/>
      <c r="B348" s="78"/>
      <c r="C348" s="78"/>
      <c r="D348" s="78"/>
      <c r="E348" s="78"/>
      <c r="F348" s="78"/>
      <c r="G348" s="78"/>
      <c r="H348" s="78"/>
      <c r="I348" s="78"/>
    </row>
    <row r="349" spans="1:9" x14ac:dyDescent="0.2">
      <c r="A349" s="78"/>
      <c r="B349" s="78"/>
      <c r="C349" s="78"/>
      <c r="D349" s="78"/>
      <c r="E349" s="78"/>
      <c r="F349" s="78"/>
      <c r="G349" s="78"/>
      <c r="H349" s="78"/>
      <c r="I349" s="78"/>
    </row>
    <row r="350" spans="1:9" x14ac:dyDescent="0.2">
      <c r="A350" s="78"/>
      <c r="B350" s="78"/>
      <c r="C350" s="78"/>
      <c r="D350" s="78"/>
      <c r="E350" s="78"/>
      <c r="F350" s="78"/>
      <c r="G350" s="78"/>
      <c r="H350" s="78"/>
      <c r="I350" s="78"/>
    </row>
    <row r="351" spans="1:9" x14ac:dyDescent="0.2">
      <c r="A351" s="78"/>
      <c r="B351" s="78"/>
      <c r="C351" s="78"/>
      <c r="D351" s="78"/>
      <c r="E351" s="78"/>
      <c r="F351" s="78"/>
      <c r="G351" s="78"/>
      <c r="H351" s="78"/>
      <c r="I351" s="78"/>
    </row>
    <row r="352" spans="1:9" x14ac:dyDescent="0.2">
      <c r="A352" s="78"/>
      <c r="B352" s="78"/>
      <c r="C352" s="78"/>
      <c r="D352" s="78"/>
      <c r="E352" s="78"/>
      <c r="F352" s="78"/>
      <c r="G352" s="78"/>
      <c r="H352" s="78"/>
      <c r="I352" s="78"/>
    </row>
    <row r="353" spans="1:9" x14ac:dyDescent="0.2">
      <c r="A353" s="78"/>
      <c r="B353" s="78"/>
      <c r="C353" s="78"/>
      <c r="D353" s="78"/>
      <c r="E353" s="78"/>
      <c r="F353" s="78"/>
      <c r="G353" s="78"/>
      <c r="H353" s="78"/>
      <c r="I353" s="78"/>
    </row>
    <row r="354" spans="1:9" x14ac:dyDescent="0.2">
      <c r="A354" s="78"/>
      <c r="B354" s="78"/>
      <c r="C354" s="78"/>
      <c r="D354" s="78"/>
      <c r="E354" s="78"/>
      <c r="F354" s="78"/>
      <c r="G354" s="78"/>
      <c r="H354" s="78"/>
      <c r="I354" s="78"/>
    </row>
    <row r="355" spans="1:9" x14ac:dyDescent="0.2">
      <c r="A355" s="78"/>
      <c r="B355" s="78"/>
      <c r="C355" s="78"/>
      <c r="D355" s="78"/>
      <c r="E355" s="78"/>
      <c r="F355" s="78"/>
      <c r="G355" s="78"/>
      <c r="H355" s="78"/>
      <c r="I355" s="78"/>
    </row>
    <row r="356" spans="1:9" x14ac:dyDescent="0.2">
      <c r="A356" s="78"/>
      <c r="B356" s="78"/>
      <c r="C356" s="78"/>
      <c r="D356" s="78"/>
      <c r="E356" s="78"/>
      <c r="F356" s="78"/>
      <c r="G356" s="78"/>
      <c r="H356" s="78"/>
      <c r="I356" s="78"/>
    </row>
    <row r="357" spans="1:9" x14ac:dyDescent="0.2">
      <c r="A357" s="78"/>
      <c r="B357" s="78"/>
      <c r="C357" s="78"/>
      <c r="D357" s="78"/>
      <c r="E357" s="78"/>
      <c r="F357" s="78"/>
      <c r="G357" s="78"/>
      <c r="H357" s="78"/>
      <c r="I357" s="78"/>
    </row>
    <row r="358" spans="1:9" x14ac:dyDescent="0.2">
      <c r="A358" s="78"/>
      <c r="B358" s="78"/>
      <c r="C358" s="78"/>
      <c r="D358" s="78"/>
      <c r="E358" s="78"/>
      <c r="F358" s="78"/>
      <c r="G358" s="78"/>
      <c r="H358" s="78"/>
      <c r="I358" s="78"/>
    </row>
    <row r="359" spans="1:9" x14ac:dyDescent="0.2">
      <c r="A359" s="78"/>
      <c r="B359" s="78"/>
      <c r="C359" s="78"/>
      <c r="D359" s="78"/>
      <c r="E359" s="78"/>
      <c r="F359" s="78"/>
      <c r="G359" s="78"/>
      <c r="H359" s="78"/>
      <c r="I359" s="78"/>
    </row>
    <row r="360" spans="1:9" x14ac:dyDescent="0.2">
      <c r="A360" s="78"/>
      <c r="B360" s="78"/>
      <c r="C360" s="78"/>
      <c r="D360" s="78"/>
      <c r="E360" s="78"/>
      <c r="F360" s="78"/>
      <c r="G360" s="78"/>
      <c r="H360" s="78"/>
      <c r="I360" s="78"/>
    </row>
    <row r="361" spans="1:9" x14ac:dyDescent="0.2">
      <c r="A361" s="78"/>
      <c r="B361" s="78"/>
      <c r="C361" s="78"/>
      <c r="D361" s="78"/>
      <c r="E361" s="78"/>
      <c r="F361" s="78"/>
      <c r="G361" s="78"/>
      <c r="H361" s="78"/>
      <c r="I361" s="78"/>
    </row>
    <row r="362" spans="1:9" x14ac:dyDescent="0.2">
      <c r="A362" s="78"/>
      <c r="B362" s="78"/>
      <c r="C362" s="78"/>
      <c r="D362" s="78"/>
      <c r="E362" s="78"/>
      <c r="F362" s="78"/>
      <c r="G362" s="78"/>
      <c r="H362" s="78"/>
      <c r="I362" s="78"/>
    </row>
    <row r="363" spans="1:9" x14ac:dyDescent="0.2">
      <c r="A363" s="78"/>
      <c r="B363" s="78"/>
      <c r="C363" s="78"/>
      <c r="D363" s="78"/>
      <c r="E363" s="78"/>
      <c r="F363" s="78"/>
      <c r="G363" s="78"/>
      <c r="H363" s="78"/>
      <c r="I363" s="78"/>
    </row>
    <row r="364" spans="1:9" x14ac:dyDescent="0.2">
      <c r="A364" s="78"/>
      <c r="B364" s="78"/>
      <c r="C364" s="78"/>
      <c r="D364" s="78"/>
      <c r="E364" s="78"/>
      <c r="F364" s="78"/>
      <c r="G364" s="78"/>
      <c r="H364" s="78"/>
      <c r="I364" s="78"/>
    </row>
    <row r="365" spans="1:9" x14ac:dyDescent="0.2">
      <c r="A365" s="78"/>
      <c r="B365" s="78"/>
      <c r="C365" s="78"/>
      <c r="D365" s="78"/>
      <c r="E365" s="78"/>
      <c r="F365" s="78"/>
      <c r="G365" s="78"/>
      <c r="H365" s="78"/>
      <c r="I365" s="78"/>
    </row>
    <row r="366" spans="1:9" x14ac:dyDescent="0.2">
      <c r="A366" s="78"/>
      <c r="B366" s="78"/>
      <c r="C366" s="78"/>
      <c r="D366" s="78"/>
      <c r="E366" s="78"/>
      <c r="F366" s="78"/>
      <c r="G366" s="78"/>
      <c r="H366" s="78"/>
      <c r="I366" s="78"/>
    </row>
    <row r="367" spans="1:9" x14ac:dyDescent="0.2">
      <c r="A367" s="78"/>
      <c r="B367" s="78"/>
      <c r="C367" s="78"/>
      <c r="D367" s="78"/>
      <c r="E367" s="78"/>
      <c r="F367" s="78"/>
      <c r="G367" s="78"/>
      <c r="H367" s="78"/>
      <c r="I367" s="78"/>
    </row>
    <row r="368" spans="1:9" x14ac:dyDescent="0.2">
      <c r="A368" s="78"/>
      <c r="B368" s="78"/>
      <c r="C368" s="78"/>
      <c r="D368" s="78"/>
      <c r="E368" s="78"/>
      <c r="F368" s="78"/>
      <c r="G368" s="78"/>
      <c r="H368" s="78"/>
      <c r="I368" s="78"/>
    </row>
    <row r="369" spans="1:9" x14ac:dyDescent="0.2">
      <c r="A369" s="78"/>
      <c r="B369" s="78"/>
      <c r="C369" s="78"/>
      <c r="D369" s="78"/>
      <c r="E369" s="78"/>
      <c r="F369" s="78"/>
      <c r="G369" s="78"/>
      <c r="H369" s="78"/>
      <c r="I369" s="78"/>
    </row>
    <row r="370" spans="1:9" x14ac:dyDescent="0.2">
      <c r="A370" s="78"/>
      <c r="B370" s="78"/>
      <c r="C370" s="78"/>
      <c r="D370" s="78"/>
      <c r="E370" s="78"/>
      <c r="F370" s="78"/>
      <c r="G370" s="78"/>
      <c r="H370" s="78"/>
      <c r="I370" s="78"/>
    </row>
    <row r="371" spans="1:9" x14ac:dyDescent="0.2">
      <c r="A371" s="78"/>
      <c r="B371" s="78"/>
      <c r="C371" s="78"/>
      <c r="D371" s="78"/>
      <c r="E371" s="78"/>
      <c r="F371" s="78"/>
      <c r="G371" s="78"/>
      <c r="H371" s="78"/>
      <c r="I371" s="78"/>
    </row>
    <row r="372" spans="1:9" x14ac:dyDescent="0.2">
      <c r="A372" s="78"/>
      <c r="B372" s="78"/>
      <c r="C372" s="78"/>
      <c r="D372" s="78"/>
      <c r="E372" s="78"/>
      <c r="F372" s="78"/>
      <c r="G372" s="78"/>
      <c r="H372" s="78"/>
      <c r="I372" s="78"/>
    </row>
    <row r="373" spans="1:9" x14ac:dyDescent="0.2">
      <c r="A373" s="78"/>
      <c r="B373" s="78"/>
      <c r="C373" s="78"/>
      <c r="D373" s="78"/>
      <c r="E373" s="78"/>
      <c r="F373" s="78"/>
      <c r="G373" s="78"/>
      <c r="H373" s="78"/>
      <c r="I373" s="78"/>
    </row>
    <row r="374" spans="1:9" x14ac:dyDescent="0.2">
      <c r="A374" s="78"/>
      <c r="B374" s="78"/>
      <c r="C374" s="78"/>
      <c r="D374" s="78"/>
      <c r="E374" s="78"/>
      <c r="F374" s="78"/>
      <c r="G374" s="78"/>
      <c r="H374" s="78"/>
      <c r="I374" s="78"/>
    </row>
    <row r="375" spans="1:9" x14ac:dyDescent="0.2">
      <c r="A375" s="78"/>
      <c r="B375" s="78"/>
      <c r="C375" s="78"/>
      <c r="D375" s="78"/>
      <c r="E375" s="78"/>
      <c r="F375" s="78"/>
      <c r="G375" s="78"/>
      <c r="H375" s="78"/>
      <c r="I375" s="78"/>
    </row>
    <row r="376" spans="1:9" x14ac:dyDescent="0.2">
      <c r="A376" s="78"/>
      <c r="B376" s="78"/>
      <c r="C376" s="78"/>
      <c r="D376" s="78"/>
      <c r="E376" s="78"/>
      <c r="F376" s="78"/>
      <c r="G376" s="78"/>
      <c r="H376" s="78"/>
      <c r="I376" s="78"/>
    </row>
    <row r="377" spans="1:9" x14ac:dyDescent="0.2">
      <c r="A377" s="78"/>
      <c r="B377" s="78"/>
      <c r="C377" s="78"/>
      <c r="D377" s="78"/>
      <c r="E377" s="78"/>
      <c r="F377" s="78"/>
      <c r="G377" s="78"/>
      <c r="H377" s="78"/>
      <c r="I377" s="78"/>
    </row>
    <row r="378" spans="1:9" x14ac:dyDescent="0.2">
      <c r="A378" s="78"/>
      <c r="B378" s="78"/>
      <c r="C378" s="78"/>
      <c r="D378" s="78"/>
      <c r="E378" s="78"/>
      <c r="F378" s="78"/>
      <c r="G378" s="78"/>
      <c r="H378" s="78"/>
      <c r="I378" s="78"/>
    </row>
    <row r="379" spans="1:9" x14ac:dyDescent="0.2">
      <c r="A379" s="78"/>
      <c r="B379" s="78"/>
      <c r="C379" s="78"/>
      <c r="D379" s="78"/>
      <c r="E379" s="78"/>
      <c r="F379" s="78"/>
      <c r="G379" s="78"/>
      <c r="H379" s="78"/>
      <c r="I379" s="78"/>
    </row>
    <row r="380" spans="1:9" x14ac:dyDescent="0.2">
      <c r="A380" s="78"/>
      <c r="B380" s="78"/>
      <c r="C380" s="78"/>
      <c r="D380" s="78"/>
      <c r="E380" s="78"/>
      <c r="F380" s="78"/>
      <c r="G380" s="78"/>
      <c r="H380" s="78"/>
      <c r="I380" s="78"/>
    </row>
    <row r="381" spans="1:9" x14ac:dyDescent="0.2">
      <c r="A381" s="78"/>
      <c r="B381" s="78"/>
      <c r="C381" s="78"/>
      <c r="D381" s="78"/>
      <c r="E381" s="78"/>
      <c r="F381" s="78"/>
      <c r="G381" s="78"/>
      <c r="H381" s="78"/>
      <c r="I381" s="78"/>
    </row>
    <row r="382" spans="1:9" x14ac:dyDescent="0.2">
      <c r="A382" s="78"/>
      <c r="B382" s="78"/>
      <c r="C382" s="78"/>
      <c r="D382" s="78"/>
      <c r="E382" s="78"/>
      <c r="F382" s="78"/>
      <c r="G382" s="78"/>
      <c r="H382" s="78"/>
      <c r="I382" s="78"/>
    </row>
    <row r="383" spans="1:9" x14ac:dyDescent="0.2">
      <c r="A383" s="78"/>
      <c r="B383" s="78"/>
      <c r="C383" s="78"/>
      <c r="D383" s="78"/>
      <c r="E383" s="78"/>
      <c r="F383" s="78"/>
      <c r="G383" s="78"/>
      <c r="H383" s="78"/>
      <c r="I383" s="78"/>
    </row>
    <row r="384" spans="1:9" x14ac:dyDescent="0.2">
      <c r="A384" s="78"/>
      <c r="B384" s="78"/>
      <c r="C384" s="78"/>
      <c r="D384" s="78"/>
      <c r="E384" s="78"/>
      <c r="F384" s="78"/>
      <c r="G384" s="78"/>
      <c r="H384" s="78"/>
      <c r="I384" s="78"/>
    </row>
    <row r="385" spans="1:9" x14ac:dyDescent="0.2">
      <c r="A385" s="78"/>
      <c r="B385" s="78"/>
      <c r="C385" s="78"/>
      <c r="D385" s="78"/>
      <c r="E385" s="78"/>
      <c r="F385" s="78"/>
      <c r="G385" s="78"/>
      <c r="H385" s="78"/>
      <c r="I385" s="78"/>
    </row>
    <row r="386" spans="1:9" x14ac:dyDescent="0.2">
      <c r="A386" s="78"/>
      <c r="B386" s="78"/>
      <c r="C386" s="78"/>
      <c r="D386" s="78"/>
      <c r="E386" s="78"/>
      <c r="F386" s="78"/>
      <c r="G386" s="78"/>
      <c r="H386" s="78"/>
      <c r="I386" s="78"/>
    </row>
    <row r="387" spans="1:9" x14ac:dyDescent="0.2">
      <c r="A387" s="78"/>
      <c r="B387" s="78"/>
      <c r="C387" s="78"/>
      <c r="D387" s="78"/>
      <c r="E387" s="78"/>
      <c r="F387" s="78"/>
      <c r="G387" s="78"/>
      <c r="H387" s="78"/>
      <c r="I387" s="78"/>
    </row>
    <row r="388" spans="1:9" x14ac:dyDescent="0.2">
      <c r="A388" s="78"/>
      <c r="B388" s="78"/>
      <c r="C388" s="78"/>
      <c r="D388" s="78"/>
      <c r="E388" s="78"/>
      <c r="F388" s="78"/>
      <c r="G388" s="78"/>
      <c r="H388" s="78"/>
      <c r="I388" s="78"/>
    </row>
    <row r="389" spans="1:9" x14ac:dyDescent="0.2">
      <c r="A389" s="78"/>
      <c r="B389" s="78"/>
      <c r="C389" s="78"/>
      <c r="D389" s="78"/>
      <c r="E389" s="78"/>
      <c r="F389" s="78"/>
      <c r="G389" s="78"/>
      <c r="H389" s="78"/>
      <c r="I389" s="78"/>
    </row>
    <row r="390" spans="1:9" x14ac:dyDescent="0.2">
      <c r="A390" s="78"/>
      <c r="B390" s="78"/>
      <c r="C390" s="78"/>
      <c r="D390" s="78"/>
      <c r="E390" s="78"/>
      <c r="F390" s="78"/>
      <c r="G390" s="78"/>
      <c r="H390" s="78"/>
      <c r="I390" s="78"/>
    </row>
    <row r="391" spans="1:9" x14ac:dyDescent="0.2">
      <c r="A391" s="78"/>
      <c r="B391" s="78"/>
      <c r="C391" s="78"/>
      <c r="D391" s="78"/>
      <c r="E391" s="78"/>
      <c r="F391" s="78"/>
      <c r="G391" s="78"/>
      <c r="H391" s="78"/>
      <c r="I391" s="78"/>
    </row>
    <row r="392" spans="1:9" x14ac:dyDescent="0.2">
      <c r="A392" s="78"/>
      <c r="B392" s="78"/>
      <c r="C392" s="78"/>
      <c r="D392" s="78"/>
      <c r="E392" s="78"/>
      <c r="F392" s="78"/>
      <c r="G392" s="78"/>
      <c r="H392" s="78"/>
      <c r="I392" s="78"/>
    </row>
    <row r="393" spans="1:9" x14ac:dyDescent="0.2">
      <c r="A393" s="78"/>
      <c r="B393" s="78"/>
      <c r="C393" s="78"/>
      <c r="D393" s="78"/>
      <c r="E393" s="78"/>
      <c r="F393" s="78"/>
      <c r="G393" s="78"/>
      <c r="H393" s="78"/>
      <c r="I393" s="78"/>
    </row>
    <row r="394" spans="1:9" x14ac:dyDescent="0.2">
      <c r="A394" s="78"/>
      <c r="B394" s="78"/>
      <c r="C394" s="78"/>
      <c r="D394" s="78"/>
      <c r="E394" s="78"/>
      <c r="F394" s="78"/>
      <c r="G394" s="78"/>
      <c r="H394" s="78"/>
      <c r="I394" s="78"/>
    </row>
    <row r="395" spans="1:9" x14ac:dyDescent="0.2">
      <c r="A395" s="78"/>
      <c r="B395" s="78"/>
      <c r="C395" s="78"/>
      <c r="D395" s="78"/>
      <c r="E395" s="78"/>
      <c r="F395" s="78"/>
      <c r="G395" s="78"/>
      <c r="H395" s="78"/>
      <c r="I395" s="78"/>
    </row>
    <row r="396" spans="1:9" x14ac:dyDescent="0.2">
      <c r="A396" s="78"/>
      <c r="B396" s="78"/>
      <c r="C396" s="78"/>
      <c r="D396" s="78"/>
      <c r="E396" s="78"/>
      <c r="F396" s="78"/>
      <c r="G396" s="78"/>
      <c r="H396" s="78"/>
      <c r="I396" s="78"/>
    </row>
    <row r="397" spans="1:9" x14ac:dyDescent="0.2">
      <c r="A397" s="78"/>
      <c r="B397" s="78"/>
      <c r="C397" s="78"/>
      <c r="D397" s="78"/>
      <c r="E397" s="78"/>
      <c r="F397" s="78"/>
      <c r="G397" s="78"/>
      <c r="H397" s="78"/>
      <c r="I397" s="78"/>
    </row>
    <row r="398" spans="1:9" x14ac:dyDescent="0.2">
      <c r="A398" s="78"/>
      <c r="B398" s="78"/>
      <c r="C398" s="78"/>
      <c r="D398" s="78"/>
      <c r="E398" s="78"/>
      <c r="F398" s="78"/>
      <c r="G398" s="78"/>
      <c r="H398" s="78"/>
      <c r="I398" s="78"/>
    </row>
    <row r="399" spans="1:9" x14ac:dyDescent="0.2">
      <c r="A399" s="78"/>
      <c r="B399" s="78"/>
      <c r="C399" s="78"/>
      <c r="D399" s="78"/>
      <c r="E399" s="78"/>
      <c r="F399" s="78"/>
      <c r="G399" s="78"/>
      <c r="H399" s="78"/>
      <c r="I399" s="78"/>
    </row>
    <row r="400" spans="1:9" x14ac:dyDescent="0.2">
      <c r="A400" s="78"/>
      <c r="B400" s="78"/>
      <c r="C400" s="78"/>
      <c r="D400" s="78"/>
      <c r="E400" s="78"/>
      <c r="F400" s="78"/>
      <c r="G400" s="78"/>
      <c r="H400" s="78"/>
      <c r="I400" s="78"/>
    </row>
    <row r="401" spans="1:9" x14ac:dyDescent="0.2">
      <c r="A401" s="78"/>
      <c r="B401" s="78"/>
      <c r="C401" s="78"/>
      <c r="D401" s="78"/>
      <c r="E401" s="78"/>
      <c r="F401" s="78"/>
      <c r="G401" s="78"/>
      <c r="H401" s="78"/>
      <c r="I401" s="78"/>
    </row>
    <row r="402" spans="1:9" x14ac:dyDescent="0.2">
      <c r="A402" s="78"/>
      <c r="B402" s="78"/>
      <c r="C402" s="78"/>
      <c r="D402" s="78"/>
      <c r="E402" s="78"/>
      <c r="F402" s="78"/>
      <c r="G402" s="78"/>
      <c r="H402" s="78"/>
      <c r="I402" s="78"/>
    </row>
    <row r="403" spans="1:9" x14ac:dyDescent="0.2">
      <c r="A403" s="78"/>
      <c r="B403" s="78"/>
      <c r="C403" s="78"/>
      <c r="D403" s="78"/>
      <c r="E403" s="78"/>
      <c r="F403" s="78"/>
      <c r="G403" s="78"/>
      <c r="H403" s="78"/>
      <c r="I403" s="78"/>
    </row>
    <row r="404" spans="1:9" x14ac:dyDescent="0.2">
      <c r="A404" s="78"/>
      <c r="B404" s="78"/>
      <c r="C404" s="78"/>
      <c r="D404" s="78"/>
      <c r="E404" s="78"/>
      <c r="F404" s="78"/>
      <c r="G404" s="78"/>
      <c r="H404" s="78"/>
      <c r="I404" s="78"/>
    </row>
    <row r="405" spans="1:9" x14ac:dyDescent="0.2">
      <c r="A405" s="78"/>
      <c r="B405" s="78"/>
      <c r="C405" s="78"/>
      <c r="D405" s="78"/>
      <c r="E405" s="78"/>
      <c r="F405" s="78"/>
      <c r="G405" s="78"/>
      <c r="H405" s="78"/>
      <c r="I405" s="78"/>
    </row>
    <row r="406" spans="1:9" x14ac:dyDescent="0.2">
      <c r="A406" s="78"/>
      <c r="B406" s="78"/>
      <c r="C406" s="78"/>
      <c r="D406" s="78"/>
      <c r="E406" s="78"/>
      <c r="F406" s="78"/>
      <c r="G406" s="78"/>
      <c r="H406" s="78"/>
      <c r="I406" s="78"/>
    </row>
    <row r="407" spans="1:9" x14ac:dyDescent="0.2">
      <c r="A407" s="78"/>
      <c r="B407" s="78"/>
      <c r="C407" s="78"/>
      <c r="D407" s="78"/>
      <c r="E407" s="78"/>
      <c r="F407" s="78"/>
      <c r="G407" s="78"/>
      <c r="H407" s="78"/>
      <c r="I407" s="78"/>
    </row>
    <row r="408" spans="1:9" x14ac:dyDescent="0.2">
      <c r="A408" s="78"/>
      <c r="B408" s="78"/>
      <c r="C408" s="78"/>
      <c r="D408" s="78"/>
      <c r="E408" s="78"/>
      <c r="F408" s="78"/>
      <c r="G408" s="78"/>
      <c r="H408" s="78"/>
      <c r="I408" s="78"/>
    </row>
    <row r="409" spans="1:9" x14ac:dyDescent="0.2">
      <c r="A409" s="78"/>
      <c r="B409" s="78"/>
      <c r="C409" s="78"/>
      <c r="D409" s="78"/>
      <c r="E409" s="78"/>
      <c r="F409" s="78"/>
      <c r="G409" s="78"/>
      <c r="H409" s="78"/>
      <c r="I409" s="78"/>
    </row>
    <row r="410" spans="1:9" x14ac:dyDescent="0.2">
      <c r="A410" s="78"/>
      <c r="B410" s="78"/>
      <c r="C410" s="78"/>
      <c r="D410" s="78"/>
      <c r="E410" s="78"/>
      <c r="F410" s="78"/>
      <c r="G410" s="78"/>
      <c r="H410" s="78"/>
      <c r="I410" s="78"/>
    </row>
    <row r="411" spans="1:9" x14ac:dyDescent="0.2">
      <c r="A411" s="78"/>
      <c r="B411" s="78"/>
      <c r="C411" s="78"/>
      <c r="D411" s="78"/>
      <c r="E411" s="78"/>
      <c r="F411" s="78"/>
      <c r="G411" s="78"/>
      <c r="H411" s="78"/>
      <c r="I411" s="78"/>
    </row>
    <row r="412" spans="1:9" x14ac:dyDescent="0.2">
      <c r="A412" s="78"/>
      <c r="B412" s="78"/>
      <c r="C412" s="78"/>
      <c r="D412" s="78"/>
      <c r="E412" s="78"/>
      <c r="F412" s="78"/>
      <c r="G412" s="78"/>
      <c r="H412" s="78"/>
      <c r="I412" s="78"/>
    </row>
    <row r="413" spans="1:9" x14ac:dyDescent="0.2">
      <c r="A413" s="78"/>
      <c r="B413" s="78"/>
      <c r="C413" s="78"/>
      <c r="D413" s="78"/>
      <c r="E413" s="78"/>
      <c r="F413" s="78"/>
      <c r="G413" s="78"/>
      <c r="H413" s="78"/>
      <c r="I413" s="78"/>
    </row>
    <row r="414" spans="1:9" x14ac:dyDescent="0.2">
      <c r="A414" s="78"/>
      <c r="B414" s="78"/>
      <c r="C414" s="78"/>
      <c r="D414" s="78"/>
      <c r="E414" s="78"/>
      <c r="F414" s="78"/>
      <c r="G414" s="78"/>
      <c r="H414" s="78"/>
      <c r="I414" s="78"/>
    </row>
    <row r="415" spans="1:9" x14ac:dyDescent="0.2">
      <c r="A415" s="78"/>
      <c r="B415" s="78"/>
      <c r="C415" s="78"/>
      <c r="D415" s="78"/>
      <c r="E415" s="78"/>
      <c r="F415" s="78"/>
      <c r="G415" s="78"/>
      <c r="H415" s="78"/>
      <c r="I415" s="78"/>
    </row>
    <row r="416" spans="1:9" x14ac:dyDescent="0.2">
      <c r="A416" s="78"/>
      <c r="B416" s="78"/>
      <c r="C416" s="78"/>
      <c r="D416" s="78"/>
      <c r="E416" s="78"/>
      <c r="F416" s="78"/>
      <c r="G416" s="78"/>
      <c r="H416" s="78"/>
      <c r="I416" s="78"/>
    </row>
    <row r="417" spans="1:9" x14ac:dyDescent="0.2">
      <c r="A417" s="78"/>
      <c r="B417" s="78"/>
      <c r="C417" s="78"/>
      <c r="D417" s="78"/>
      <c r="E417" s="78"/>
      <c r="F417" s="78"/>
      <c r="G417" s="78"/>
      <c r="H417" s="78"/>
      <c r="I417" s="78"/>
    </row>
    <row r="418" spans="1:9" x14ac:dyDescent="0.2">
      <c r="A418" s="78"/>
      <c r="B418" s="78"/>
      <c r="C418" s="78"/>
      <c r="D418" s="78"/>
      <c r="E418" s="78"/>
      <c r="F418" s="78"/>
      <c r="G418" s="78"/>
      <c r="H418" s="78"/>
      <c r="I418" s="78"/>
    </row>
    <row r="419" spans="1:9" x14ac:dyDescent="0.2">
      <c r="A419" s="78"/>
      <c r="B419" s="78"/>
      <c r="C419" s="78"/>
      <c r="D419" s="78"/>
      <c r="E419" s="78"/>
      <c r="F419" s="78"/>
      <c r="G419" s="78"/>
      <c r="H419" s="78"/>
      <c r="I419" s="78"/>
    </row>
    <row r="420" spans="1:9" x14ac:dyDescent="0.2">
      <c r="A420" s="78"/>
      <c r="B420" s="78"/>
      <c r="C420" s="78"/>
      <c r="D420" s="78"/>
      <c r="E420" s="78"/>
      <c r="F420" s="78"/>
      <c r="G420" s="78"/>
      <c r="H420" s="78"/>
      <c r="I420" s="78"/>
    </row>
    <row r="421" spans="1:9" x14ac:dyDescent="0.2">
      <c r="A421" s="78"/>
      <c r="B421" s="78"/>
      <c r="C421" s="78"/>
      <c r="D421" s="78"/>
      <c r="E421" s="78"/>
      <c r="F421" s="78"/>
      <c r="G421" s="78"/>
      <c r="H421" s="78"/>
      <c r="I421" s="78"/>
    </row>
    <row r="422" spans="1:9" x14ac:dyDescent="0.2">
      <c r="A422" s="78"/>
      <c r="B422" s="78"/>
      <c r="C422" s="78"/>
      <c r="D422" s="78"/>
      <c r="E422" s="78"/>
      <c r="F422" s="78"/>
      <c r="G422" s="78"/>
      <c r="H422" s="78"/>
      <c r="I422" s="78"/>
    </row>
    <row r="423" spans="1:9" x14ac:dyDescent="0.2">
      <c r="A423" s="78"/>
      <c r="B423" s="78"/>
      <c r="C423" s="78"/>
      <c r="D423" s="78"/>
      <c r="E423" s="78"/>
      <c r="F423" s="78"/>
      <c r="G423" s="78"/>
      <c r="H423" s="78"/>
      <c r="I423" s="78"/>
    </row>
    <row r="424" spans="1:9" x14ac:dyDescent="0.2">
      <c r="A424" s="78"/>
      <c r="B424" s="78"/>
      <c r="C424" s="78"/>
      <c r="D424" s="78"/>
      <c r="E424" s="78"/>
      <c r="F424" s="78"/>
      <c r="G424" s="78"/>
      <c r="H424" s="78"/>
      <c r="I424" s="78"/>
    </row>
    <row r="425" spans="1:9" x14ac:dyDescent="0.2">
      <c r="A425" s="78"/>
      <c r="B425" s="78"/>
      <c r="C425" s="78"/>
      <c r="D425" s="78"/>
      <c r="E425" s="78"/>
      <c r="F425" s="78"/>
      <c r="G425" s="78"/>
      <c r="H425" s="78"/>
      <c r="I425" s="78"/>
    </row>
    <row r="426" spans="1:9" x14ac:dyDescent="0.2">
      <c r="A426" s="78"/>
      <c r="B426" s="78"/>
      <c r="C426" s="78"/>
      <c r="D426" s="78"/>
      <c r="E426" s="78"/>
      <c r="F426" s="78"/>
      <c r="G426" s="78"/>
      <c r="H426" s="78"/>
      <c r="I426" s="78"/>
    </row>
    <row r="427" spans="1:9" x14ac:dyDescent="0.2">
      <c r="A427" s="78"/>
      <c r="B427" s="78"/>
      <c r="C427" s="78"/>
      <c r="D427" s="78"/>
      <c r="E427" s="78"/>
      <c r="F427" s="78"/>
      <c r="G427" s="78"/>
      <c r="H427" s="78"/>
      <c r="I427" s="78"/>
    </row>
    <row r="428" spans="1:9" x14ac:dyDescent="0.2">
      <c r="A428" s="78"/>
      <c r="B428" s="78"/>
      <c r="C428" s="78"/>
      <c r="D428" s="78"/>
      <c r="E428" s="78"/>
      <c r="F428" s="78"/>
      <c r="G428" s="78"/>
      <c r="H428" s="78"/>
      <c r="I428" s="78"/>
    </row>
    <row r="429" spans="1:9" x14ac:dyDescent="0.2">
      <c r="A429" s="78"/>
      <c r="B429" s="78"/>
      <c r="C429" s="78"/>
      <c r="D429" s="78"/>
      <c r="E429" s="78"/>
      <c r="F429" s="78"/>
      <c r="G429" s="78"/>
      <c r="H429" s="78"/>
      <c r="I429" s="78"/>
    </row>
    <row r="430" spans="1:9" x14ac:dyDescent="0.2">
      <c r="A430" s="78"/>
      <c r="B430" s="78"/>
      <c r="C430" s="78"/>
      <c r="D430" s="78"/>
      <c r="E430" s="78"/>
      <c r="F430" s="78"/>
      <c r="G430" s="78"/>
      <c r="H430" s="78"/>
      <c r="I430" s="78"/>
    </row>
    <row r="431" spans="1:9" x14ac:dyDescent="0.2">
      <c r="A431" s="78"/>
      <c r="B431" s="78"/>
      <c r="C431" s="78"/>
      <c r="D431" s="78"/>
      <c r="E431" s="78"/>
      <c r="F431" s="78"/>
      <c r="G431" s="78"/>
      <c r="H431" s="78"/>
      <c r="I431" s="78"/>
    </row>
    <row r="432" spans="1:9" x14ac:dyDescent="0.2">
      <c r="A432" s="78"/>
      <c r="B432" s="78"/>
      <c r="C432" s="78"/>
      <c r="D432" s="78"/>
      <c r="E432" s="78"/>
      <c r="F432" s="78"/>
      <c r="G432" s="78"/>
      <c r="H432" s="78"/>
      <c r="I432" s="78"/>
    </row>
    <row r="433" spans="1:9" x14ac:dyDescent="0.2">
      <c r="A433" s="78"/>
      <c r="B433" s="78"/>
      <c r="C433" s="78"/>
      <c r="D433" s="78"/>
      <c r="E433" s="78"/>
      <c r="F433" s="78"/>
      <c r="G433" s="78"/>
      <c r="H433" s="78"/>
      <c r="I433" s="78"/>
    </row>
    <row r="434" spans="1:9" x14ac:dyDescent="0.2">
      <c r="A434" s="78"/>
      <c r="B434" s="78"/>
      <c r="C434" s="78"/>
      <c r="D434" s="78"/>
      <c r="E434" s="78"/>
      <c r="F434" s="78"/>
      <c r="G434" s="78"/>
      <c r="H434" s="78"/>
      <c r="I434" s="78"/>
    </row>
    <row r="435" spans="1:9" x14ac:dyDescent="0.2">
      <c r="A435" s="78"/>
      <c r="B435" s="78"/>
      <c r="C435" s="78"/>
      <c r="D435" s="78"/>
      <c r="E435" s="78"/>
      <c r="F435" s="78"/>
      <c r="G435" s="78"/>
      <c r="H435" s="78"/>
      <c r="I435" s="78"/>
    </row>
    <row r="436" spans="1:9" x14ac:dyDescent="0.2">
      <c r="A436" s="78"/>
      <c r="B436" s="78"/>
      <c r="C436" s="78"/>
      <c r="D436" s="78"/>
      <c r="E436" s="78"/>
      <c r="F436" s="78"/>
      <c r="G436" s="78"/>
      <c r="H436" s="78"/>
      <c r="I436" s="78"/>
    </row>
    <row r="437" spans="1:9" x14ac:dyDescent="0.2">
      <c r="A437" s="78"/>
      <c r="B437" s="78"/>
      <c r="C437" s="78"/>
      <c r="D437" s="78"/>
      <c r="E437" s="78"/>
      <c r="F437" s="78"/>
      <c r="G437" s="78"/>
      <c r="H437" s="78"/>
      <c r="I437" s="78"/>
    </row>
    <row r="438" spans="1:9" x14ac:dyDescent="0.2">
      <c r="A438" s="78"/>
      <c r="B438" s="78"/>
      <c r="C438" s="78"/>
      <c r="D438" s="78"/>
      <c r="E438" s="78"/>
      <c r="F438" s="78"/>
      <c r="G438" s="78"/>
      <c r="H438" s="78"/>
      <c r="I438" s="78"/>
    </row>
    <row r="439" spans="1:9" x14ac:dyDescent="0.2">
      <c r="A439" s="78"/>
      <c r="B439" s="78"/>
      <c r="C439" s="78"/>
      <c r="D439" s="78"/>
      <c r="E439" s="78"/>
      <c r="F439" s="78"/>
      <c r="G439" s="78"/>
      <c r="H439" s="78"/>
      <c r="I439" s="78"/>
    </row>
    <row r="440" spans="1:9" x14ac:dyDescent="0.2">
      <c r="A440" s="78"/>
      <c r="B440" s="78"/>
      <c r="C440" s="78"/>
      <c r="D440" s="78"/>
      <c r="E440" s="78"/>
      <c r="F440" s="78"/>
      <c r="G440" s="78"/>
      <c r="H440" s="78"/>
      <c r="I440" s="78"/>
    </row>
    <row r="441" spans="1:9" x14ac:dyDescent="0.2">
      <c r="A441" s="78"/>
      <c r="B441" s="78"/>
      <c r="C441" s="78"/>
      <c r="D441" s="78"/>
      <c r="E441" s="78"/>
      <c r="F441" s="78"/>
      <c r="G441" s="78"/>
      <c r="H441" s="78"/>
      <c r="I441" s="78"/>
    </row>
    <row r="442" spans="1:9" x14ac:dyDescent="0.2">
      <c r="A442" s="78"/>
      <c r="B442" s="78"/>
      <c r="C442" s="78"/>
      <c r="D442" s="78"/>
      <c r="E442" s="78"/>
      <c r="F442" s="78"/>
      <c r="G442" s="78"/>
      <c r="H442" s="78"/>
      <c r="I442" s="78"/>
    </row>
    <row r="443" spans="1:9" x14ac:dyDescent="0.2">
      <c r="A443" s="78"/>
      <c r="B443" s="78"/>
      <c r="C443" s="78"/>
      <c r="D443" s="78"/>
      <c r="E443" s="78"/>
      <c r="F443" s="78"/>
      <c r="G443" s="78"/>
      <c r="H443" s="78"/>
      <c r="I443" s="78"/>
    </row>
    <row r="444" spans="1:9" x14ac:dyDescent="0.2">
      <c r="A444" s="78"/>
      <c r="B444" s="78"/>
      <c r="C444" s="78"/>
      <c r="D444" s="78"/>
      <c r="E444" s="78"/>
      <c r="F444" s="78"/>
      <c r="G444" s="78"/>
      <c r="H444" s="78"/>
      <c r="I444" s="78"/>
    </row>
    <row r="445" spans="1:9" x14ac:dyDescent="0.2">
      <c r="A445" s="78"/>
      <c r="B445" s="78"/>
      <c r="C445" s="78"/>
      <c r="D445" s="78"/>
      <c r="E445" s="78"/>
      <c r="F445" s="78"/>
      <c r="G445" s="78"/>
      <c r="H445" s="78"/>
      <c r="I445" s="78"/>
    </row>
    <row r="446" spans="1:9" x14ac:dyDescent="0.2">
      <c r="A446" s="78"/>
      <c r="B446" s="78"/>
      <c r="C446" s="78"/>
      <c r="D446" s="78"/>
      <c r="E446" s="78"/>
      <c r="F446" s="78"/>
      <c r="G446" s="78"/>
      <c r="H446" s="78"/>
      <c r="I446" s="78"/>
    </row>
    <row r="447" spans="1:9" x14ac:dyDescent="0.2">
      <c r="A447" s="78"/>
      <c r="B447" s="78"/>
      <c r="C447" s="78"/>
      <c r="D447" s="78"/>
      <c r="E447" s="78"/>
      <c r="F447" s="78"/>
      <c r="G447" s="78"/>
      <c r="H447" s="78"/>
      <c r="I447" s="78"/>
    </row>
    <row r="448" spans="1:9" x14ac:dyDescent="0.2">
      <c r="A448" s="78"/>
      <c r="B448" s="78"/>
      <c r="C448" s="78"/>
      <c r="D448" s="78"/>
      <c r="E448" s="78"/>
      <c r="F448" s="78"/>
      <c r="G448" s="78"/>
      <c r="H448" s="78"/>
      <c r="I448" s="78"/>
    </row>
    <row r="449" spans="1:9" x14ac:dyDescent="0.2">
      <c r="A449" s="78"/>
      <c r="B449" s="78"/>
      <c r="C449" s="78"/>
      <c r="D449" s="78"/>
      <c r="E449" s="78"/>
      <c r="F449" s="78"/>
      <c r="G449" s="78"/>
      <c r="H449" s="78"/>
      <c r="I449" s="78"/>
    </row>
    <row r="450" spans="1:9" x14ac:dyDescent="0.2">
      <c r="A450" s="78"/>
      <c r="B450" s="78"/>
      <c r="C450" s="78"/>
      <c r="D450" s="78"/>
      <c r="E450" s="78"/>
      <c r="F450" s="78"/>
      <c r="G450" s="78"/>
      <c r="H450" s="78"/>
      <c r="I450" s="78"/>
    </row>
    <row r="451" spans="1:9" x14ac:dyDescent="0.2">
      <c r="A451" s="78"/>
      <c r="B451" s="78"/>
      <c r="C451" s="78"/>
      <c r="D451" s="78"/>
      <c r="E451" s="78"/>
      <c r="F451" s="78"/>
      <c r="G451" s="78"/>
      <c r="H451" s="78"/>
      <c r="I451" s="78"/>
    </row>
    <row r="452" spans="1:9" x14ac:dyDescent="0.2">
      <c r="A452" s="78"/>
      <c r="B452" s="78"/>
      <c r="C452" s="78"/>
      <c r="D452" s="78"/>
      <c r="E452" s="78"/>
      <c r="F452" s="78"/>
      <c r="G452" s="78"/>
      <c r="H452" s="78"/>
      <c r="I452" s="78"/>
    </row>
    <row r="453" spans="1:9" x14ac:dyDescent="0.2">
      <c r="A453" s="78"/>
      <c r="B453" s="78"/>
      <c r="C453" s="78"/>
      <c r="D453" s="78"/>
      <c r="E453" s="78"/>
      <c r="F453" s="78"/>
      <c r="G453" s="78"/>
      <c r="H453" s="78"/>
      <c r="I453" s="78"/>
    </row>
    <row r="454" spans="1:9" x14ac:dyDescent="0.2">
      <c r="A454" s="78"/>
      <c r="B454" s="78"/>
      <c r="C454" s="78"/>
      <c r="D454" s="78"/>
      <c r="E454" s="78"/>
      <c r="F454" s="78"/>
      <c r="G454" s="78"/>
      <c r="H454" s="78"/>
      <c r="I454" s="78"/>
    </row>
    <row r="455" spans="1:9" x14ac:dyDescent="0.2">
      <c r="A455" s="78"/>
      <c r="B455" s="78"/>
      <c r="C455" s="78"/>
      <c r="D455" s="78"/>
      <c r="E455" s="78"/>
      <c r="F455" s="78"/>
      <c r="G455" s="78"/>
      <c r="H455" s="78"/>
      <c r="I455" s="78"/>
    </row>
    <row r="456" spans="1:9" x14ac:dyDescent="0.2">
      <c r="A456" s="78"/>
      <c r="B456" s="78"/>
      <c r="C456" s="78"/>
      <c r="D456" s="78"/>
      <c r="E456" s="78"/>
      <c r="F456" s="78"/>
      <c r="G456" s="78"/>
      <c r="H456" s="78"/>
      <c r="I456" s="78"/>
    </row>
    <row r="457" spans="1:9" x14ac:dyDescent="0.2">
      <c r="A457" s="78"/>
      <c r="B457" s="78"/>
      <c r="C457" s="78"/>
      <c r="D457" s="78"/>
      <c r="E457" s="78"/>
      <c r="F457" s="78"/>
      <c r="G457" s="78"/>
      <c r="H457" s="78"/>
      <c r="I457" s="78"/>
    </row>
    <row r="458" spans="1:9" x14ac:dyDescent="0.2">
      <c r="A458" s="78"/>
      <c r="B458" s="78"/>
      <c r="C458" s="78"/>
      <c r="D458" s="78"/>
      <c r="E458" s="78"/>
      <c r="F458" s="78"/>
      <c r="G458" s="78"/>
      <c r="H458" s="78"/>
      <c r="I458" s="78"/>
    </row>
    <row r="459" spans="1:9" x14ac:dyDescent="0.2">
      <c r="A459" s="78"/>
      <c r="B459" s="78"/>
      <c r="C459" s="78"/>
      <c r="D459" s="78"/>
      <c r="E459" s="78"/>
      <c r="F459" s="78"/>
      <c r="G459" s="78"/>
      <c r="H459" s="78"/>
      <c r="I459" s="78"/>
    </row>
    <row r="460" spans="1:9" x14ac:dyDescent="0.2">
      <c r="A460" s="78"/>
      <c r="B460" s="78"/>
      <c r="C460" s="78"/>
      <c r="D460" s="78"/>
      <c r="E460" s="78"/>
      <c r="F460" s="78"/>
      <c r="G460" s="78"/>
      <c r="H460" s="78"/>
      <c r="I460" s="78"/>
    </row>
    <row r="461" spans="1:9" x14ac:dyDescent="0.2">
      <c r="A461" s="78"/>
      <c r="B461" s="78"/>
      <c r="C461" s="78"/>
      <c r="D461" s="78"/>
      <c r="E461" s="78"/>
      <c r="F461" s="78"/>
      <c r="G461" s="78"/>
      <c r="H461" s="78"/>
      <c r="I461" s="78"/>
    </row>
    <row r="462" spans="1:9" x14ac:dyDescent="0.2">
      <c r="A462" s="78"/>
      <c r="B462" s="78"/>
      <c r="C462" s="78"/>
      <c r="D462" s="78"/>
      <c r="E462" s="78"/>
      <c r="F462" s="78"/>
      <c r="G462" s="78"/>
      <c r="H462" s="78"/>
      <c r="I462" s="78"/>
    </row>
    <row r="463" spans="1:9" x14ac:dyDescent="0.2">
      <c r="A463" s="78"/>
      <c r="B463" s="78"/>
      <c r="C463" s="78"/>
      <c r="D463" s="78"/>
      <c r="E463" s="78"/>
      <c r="F463" s="78"/>
      <c r="G463" s="78"/>
      <c r="H463" s="78"/>
      <c r="I463" s="78"/>
    </row>
    <row r="464" spans="1:9" x14ac:dyDescent="0.2">
      <c r="A464" s="78"/>
      <c r="B464" s="78"/>
      <c r="C464" s="78"/>
      <c r="D464" s="78"/>
      <c r="E464" s="78"/>
      <c r="F464" s="78"/>
      <c r="G464" s="78"/>
      <c r="H464" s="78"/>
      <c r="I464" s="78"/>
    </row>
    <row r="465" spans="1:9" x14ac:dyDescent="0.2">
      <c r="A465" s="78"/>
      <c r="B465" s="78"/>
      <c r="C465" s="78"/>
      <c r="D465" s="78"/>
      <c r="E465" s="78"/>
      <c r="F465" s="78"/>
      <c r="G465" s="78"/>
      <c r="H465" s="78"/>
      <c r="I465" s="78"/>
    </row>
    <row r="466" spans="1:9" x14ac:dyDescent="0.2">
      <c r="A466" s="78"/>
      <c r="B466" s="78"/>
      <c r="C466" s="78"/>
      <c r="D466" s="78"/>
      <c r="E466" s="78"/>
      <c r="F466" s="78"/>
      <c r="G466" s="78"/>
      <c r="H466" s="78"/>
      <c r="I466" s="78"/>
    </row>
    <row r="467" spans="1:9" x14ac:dyDescent="0.2">
      <c r="A467" s="78"/>
      <c r="B467" s="78"/>
      <c r="C467" s="78"/>
      <c r="D467" s="78"/>
      <c r="E467" s="78"/>
      <c r="F467" s="78"/>
      <c r="G467" s="78"/>
      <c r="H467" s="78"/>
      <c r="I467" s="78"/>
    </row>
    <row r="468" spans="1:9" x14ac:dyDescent="0.2">
      <c r="A468" s="78"/>
      <c r="B468" s="78"/>
      <c r="C468" s="78"/>
      <c r="D468" s="78"/>
      <c r="E468" s="78"/>
      <c r="F468" s="78"/>
      <c r="G468" s="78"/>
      <c r="H468" s="78"/>
      <c r="I468" s="78"/>
    </row>
    <row r="469" spans="1:9" x14ac:dyDescent="0.2">
      <c r="A469" s="78"/>
      <c r="B469" s="78"/>
      <c r="C469" s="78"/>
      <c r="D469" s="78"/>
      <c r="E469" s="78"/>
      <c r="F469" s="78"/>
      <c r="G469" s="78"/>
      <c r="H469" s="78"/>
      <c r="I469" s="78"/>
    </row>
    <row r="470" spans="1:9" x14ac:dyDescent="0.2">
      <c r="A470" s="78"/>
      <c r="B470" s="78"/>
      <c r="C470" s="78"/>
      <c r="D470" s="78"/>
      <c r="E470" s="78"/>
      <c r="F470" s="78"/>
      <c r="G470" s="78"/>
      <c r="H470" s="78"/>
      <c r="I470" s="78"/>
    </row>
    <row r="471" spans="1:9" x14ac:dyDescent="0.2">
      <c r="A471" s="78"/>
      <c r="B471" s="78"/>
      <c r="C471" s="78"/>
      <c r="D471" s="78"/>
      <c r="E471" s="78"/>
      <c r="F471" s="78"/>
      <c r="G471" s="78"/>
      <c r="H471" s="78"/>
      <c r="I471" s="78"/>
    </row>
    <row r="472" spans="1:9" x14ac:dyDescent="0.2">
      <c r="A472" s="78"/>
      <c r="B472" s="78"/>
      <c r="C472" s="78"/>
      <c r="D472" s="78"/>
      <c r="E472" s="78"/>
      <c r="F472" s="78"/>
      <c r="G472" s="78"/>
      <c r="H472" s="78"/>
      <c r="I472" s="78"/>
    </row>
    <row r="473" spans="1:9" x14ac:dyDescent="0.2">
      <c r="A473" s="78"/>
      <c r="B473" s="78"/>
      <c r="C473" s="78"/>
      <c r="D473" s="78"/>
      <c r="E473" s="78"/>
      <c r="F473" s="78"/>
      <c r="G473" s="78"/>
      <c r="H473" s="78"/>
      <c r="I473" s="78"/>
    </row>
    <row r="474" spans="1:9" x14ac:dyDescent="0.2">
      <c r="A474" s="78"/>
      <c r="B474" s="78"/>
      <c r="C474" s="78"/>
      <c r="D474" s="78"/>
      <c r="E474" s="78"/>
      <c r="F474" s="78"/>
      <c r="G474" s="78"/>
      <c r="H474" s="78"/>
      <c r="I474" s="78"/>
    </row>
    <row r="475" spans="1:9" x14ac:dyDescent="0.2">
      <c r="A475" s="78"/>
      <c r="B475" s="78"/>
      <c r="C475" s="78"/>
      <c r="D475" s="78"/>
      <c r="E475" s="78"/>
      <c r="F475" s="78"/>
      <c r="G475" s="78"/>
      <c r="H475" s="78"/>
      <c r="I475" s="78"/>
    </row>
    <row r="476" spans="1:9" x14ac:dyDescent="0.2">
      <c r="A476" s="78"/>
      <c r="B476" s="78"/>
      <c r="C476" s="78"/>
      <c r="D476" s="78"/>
      <c r="E476" s="78"/>
      <c r="F476" s="78"/>
      <c r="G476" s="78"/>
      <c r="H476" s="78"/>
      <c r="I476" s="78"/>
    </row>
    <row r="477" spans="1:9" x14ac:dyDescent="0.2">
      <c r="A477" s="78"/>
      <c r="B477" s="78"/>
      <c r="C477" s="78"/>
      <c r="D477" s="78"/>
      <c r="E477" s="78"/>
      <c r="F477" s="78"/>
      <c r="G477" s="78"/>
      <c r="H477" s="78"/>
      <c r="I477" s="78"/>
    </row>
    <row r="478" spans="1:9" x14ac:dyDescent="0.2">
      <c r="A478" s="78"/>
      <c r="B478" s="78"/>
      <c r="C478" s="78"/>
      <c r="D478" s="78"/>
      <c r="E478" s="78"/>
      <c r="F478" s="78"/>
      <c r="G478" s="78"/>
      <c r="H478" s="78"/>
      <c r="I478" s="78"/>
    </row>
    <row r="479" spans="1:9" x14ac:dyDescent="0.2">
      <c r="A479" s="78"/>
      <c r="B479" s="78"/>
      <c r="C479" s="78"/>
      <c r="D479" s="78"/>
      <c r="E479" s="78"/>
      <c r="F479" s="78"/>
      <c r="G479" s="78"/>
      <c r="H479" s="78"/>
      <c r="I479" s="78"/>
    </row>
    <row r="480" spans="1:9" x14ac:dyDescent="0.2">
      <c r="A480" s="78"/>
      <c r="B480" s="78"/>
      <c r="C480" s="78"/>
      <c r="D480" s="78"/>
      <c r="E480" s="78"/>
      <c r="F480" s="78"/>
      <c r="G480" s="78"/>
      <c r="H480" s="78"/>
      <c r="I480" s="78"/>
    </row>
    <row r="481" spans="1:9" x14ac:dyDescent="0.2">
      <c r="A481" s="78"/>
      <c r="B481" s="78"/>
      <c r="C481" s="78"/>
      <c r="D481" s="78"/>
      <c r="E481" s="78"/>
      <c r="F481" s="78"/>
      <c r="G481" s="78"/>
      <c r="H481" s="78"/>
      <c r="I481" s="78"/>
    </row>
    <row r="482" spans="1:9" x14ac:dyDescent="0.2">
      <c r="A482" s="78"/>
      <c r="B482" s="78"/>
      <c r="C482" s="78"/>
      <c r="D482" s="78"/>
      <c r="E482" s="78"/>
      <c r="F482" s="78"/>
      <c r="G482" s="78"/>
      <c r="H482" s="78"/>
      <c r="I482" s="78"/>
    </row>
    <row r="483" spans="1:9" x14ac:dyDescent="0.2">
      <c r="A483" s="78"/>
      <c r="B483" s="78"/>
      <c r="C483" s="78"/>
      <c r="D483" s="78"/>
      <c r="E483" s="78"/>
      <c r="F483" s="78"/>
      <c r="G483" s="78"/>
      <c r="H483" s="78"/>
      <c r="I483" s="78"/>
    </row>
    <row r="484" spans="1:9" x14ac:dyDescent="0.2">
      <c r="A484" s="78"/>
      <c r="B484" s="78"/>
      <c r="C484" s="78"/>
      <c r="D484" s="78"/>
      <c r="E484" s="78"/>
      <c r="F484" s="78"/>
      <c r="G484" s="78"/>
      <c r="H484" s="78"/>
      <c r="I484" s="78"/>
    </row>
    <row r="485" spans="1:9" x14ac:dyDescent="0.2">
      <c r="A485" s="78"/>
      <c r="B485" s="78"/>
      <c r="C485" s="78"/>
      <c r="D485" s="78"/>
      <c r="E485" s="78"/>
      <c r="F485" s="78"/>
      <c r="G485" s="78"/>
      <c r="H485" s="78"/>
      <c r="I485" s="78"/>
    </row>
    <row r="486" spans="1:9" x14ac:dyDescent="0.2">
      <c r="A486" s="78"/>
      <c r="B486" s="78"/>
      <c r="C486" s="78"/>
      <c r="D486" s="78"/>
      <c r="E486" s="78"/>
      <c r="F486" s="78"/>
      <c r="G486" s="78"/>
      <c r="H486" s="78"/>
      <c r="I486" s="78"/>
    </row>
    <row r="487" spans="1:9" x14ac:dyDescent="0.2">
      <c r="A487" s="78"/>
      <c r="B487" s="78"/>
      <c r="C487" s="78"/>
      <c r="D487" s="78"/>
      <c r="E487" s="78"/>
      <c r="F487" s="78"/>
      <c r="G487" s="78"/>
      <c r="H487" s="78"/>
      <c r="I487" s="78"/>
    </row>
    <row r="488" spans="1:9" x14ac:dyDescent="0.2">
      <c r="A488" s="78"/>
      <c r="B488" s="78"/>
      <c r="C488" s="78"/>
      <c r="D488" s="78"/>
      <c r="E488" s="78"/>
      <c r="F488" s="78"/>
      <c r="G488" s="78"/>
      <c r="H488" s="78"/>
      <c r="I488" s="78"/>
    </row>
    <row r="489" spans="1:9" x14ac:dyDescent="0.2">
      <c r="A489" s="78"/>
      <c r="B489" s="78"/>
      <c r="C489" s="78"/>
      <c r="D489" s="78"/>
      <c r="E489" s="78"/>
      <c r="F489" s="78"/>
      <c r="G489" s="78"/>
      <c r="H489" s="78"/>
      <c r="I489" s="78"/>
    </row>
    <row r="490" spans="1:9" x14ac:dyDescent="0.2">
      <c r="A490" s="78"/>
      <c r="B490" s="78"/>
      <c r="C490" s="78"/>
      <c r="D490" s="78"/>
      <c r="E490" s="78"/>
      <c r="F490" s="78"/>
      <c r="G490" s="78"/>
      <c r="H490" s="78"/>
      <c r="I490" s="78"/>
    </row>
    <row r="491" spans="1:9" x14ac:dyDescent="0.2">
      <c r="A491" s="78"/>
      <c r="B491" s="78"/>
      <c r="C491" s="78"/>
      <c r="D491" s="78"/>
      <c r="E491" s="78"/>
      <c r="F491" s="78"/>
      <c r="G491" s="78"/>
      <c r="H491" s="78"/>
      <c r="I491" s="78"/>
    </row>
    <row r="492" spans="1:9" x14ac:dyDescent="0.2">
      <c r="A492" s="78"/>
      <c r="B492" s="78"/>
      <c r="C492" s="78"/>
      <c r="D492" s="78"/>
      <c r="E492" s="78"/>
      <c r="F492" s="78"/>
      <c r="G492" s="78"/>
      <c r="H492" s="78"/>
      <c r="I492" s="78"/>
    </row>
    <row r="493" spans="1:9" x14ac:dyDescent="0.2">
      <c r="A493" s="78"/>
      <c r="B493" s="78"/>
      <c r="C493" s="78"/>
      <c r="D493" s="78"/>
      <c r="E493" s="78"/>
      <c r="F493" s="78"/>
      <c r="G493" s="78"/>
      <c r="H493" s="78"/>
      <c r="I493" s="78"/>
    </row>
    <row r="494" spans="1:9" x14ac:dyDescent="0.2">
      <c r="A494" s="78"/>
      <c r="B494" s="78"/>
      <c r="C494" s="78"/>
      <c r="D494" s="78"/>
      <c r="E494" s="78"/>
      <c r="F494" s="78"/>
      <c r="G494" s="78"/>
      <c r="H494" s="78"/>
      <c r="I494" s="78"/>
    </row>
    <row r="495" spans="1:9" x14ac:dyDescent="0.2">
      <c r="A495" s="78"/>
      <c r="B495" s="78"/>
      <c r="C495" s="78"/>
      <c r="D495" s="78"/>
      <c r="E495" s="78"/>
      <c r="F495" s="78"/>
      <c r="G495" s="78"/>
      <c r="H495" s="78"/>
      <c r="I495" s="78"/>
    </row>
    <row r="496" spans="1:9" x14ac:dyDescent="0.2">
      <c r="A496" s="78"/>
      <c r="B496" s="78"/>
      <c r="C496" s="78"/>
      <c r="D496" s="78"/>
      <c r="E496" s="78"/>
      <c r="F496" s="78"/>
      <c r="G496" s="78"/>
      <c r="H496" s="78"/>
      <c r="I496" s="78"/>
    </row>
    <row r="497" spans="1:9" x14ac:dyDescent="0.2">
      <c r="A497" s="78"/>
      <c r="B497" s="78"/>
      <c r="C497" s="78"/>
      <c r="D497" s="78"/>
      <c r="E497" s="78"/>
      <c r="F497" s="78"/>
      <c r="G497" s="78"/>
      <c r="H497" s="78"/>
      <c r="I497" s="78"/>
    </row>
    <row r="498" spans="1:9" x14ac:dyDescent="0.2">
      <c r="A498" s="78"/>
      <c r="B498" s="78"/>
      <c r="C498" s="78"/>
      <c r="D498" s="78"/>
      <c r="E498" s="78"/>
      <c r="F498" s="78"/>
      <c r="G498" s="78"/>
      <c r="H498" s="78"/>
      <c r="I498" s="78"/>
    </row>
    <row r="499" spans="1:9" x14ac:dyDescent="0.2">
      <c r="A499" s="78"/>
      <c r="B499" s="78"/>
      <c r="C499" s="78"/>
      <c r="D499" s="78"/>
      <c r="E499" s="78"/>
      <c r="F499" s="78"/>
      <c r="G499" s="78"/>
      <c r="H499" s="78"/>
      <c r="I499" s="78"/>
    </row>
    <row r="500" spans="1:9" x14ac:dyDescent="0.2">
      <c r="A500" s="78"/>
      <c r="B500" s="78"/>
      <c r="C500" s="78"/>
      <c r="D500" s="78"/>
      <c r="E500" s="78"/>
      <c r="F500" s="78"/>
      <c r="G500" s="78"/>
      <c r="H500" s="78"/>
      <c r="I500" s="78"/>
    </row>
    <row r="501" spans="1:9" x14ac:dyDescent="0.2">
      <c r="A501" s="78"/>
      <c r="B501" s="78"/>
      <c r="C501" s="78"/>
      <c r="D501" s="78"/>
      <c r="E501" s="78"/>
      <c r="F501" s="78"/>
      <c r="G501" s="78"/>
      <c r="H501" s="78"/>
      <c r="I501" s="78"/>
    </row>
    <row r="502" spans="1:9" x14ac:dyDescent="0.2">
      <c r="A502" s="78"/>
      <c r="B502" s="78"/>
      <c r="C502" s="78"/>
      <c r="D502" s="78"/>
      <c r="E502" s="78"/>
      <c r="F502" s="78"/>
      <c r="G502" s="78"/>
      <c r="H502" s="78"/>
      <c r="I502" s="78"/>
    </row>
    <row r="503" spans="1:9" x14ac:dyDescent="0.2">
      <c r="A503" s="78"/>
      <c r="B503" s="78"/>
      <c r="C503" s="78"/>
      <c r="D503" s="78"/>
      <c r="E503" s="78"/>
      <c r="F503" s="78"/>
      <c r="G503" s="78"/>
      <c r="H503" s="78"/>
      <c r="I503" s="78"/>
    </row>
    <row r="504" spans="1:9" x14ac:dyDescent="0.2">
      <c r="A504" s="78"/>
      <c r="B504" s="78"/>
      <c r="C504" s="78"/>
      <c r="D504" s="78"/>
      <c r="E504" s="78"/>
      <c r="F504" s="78"/>
      <c r="G504" s="78"/>
      <c r="H504" s="78"/>
      <c r="I504" s="78"/>
    </row>
    <row r="505" spans="1:9" x14ac:dyDescent="0.2">
      <c r="A505" s="78"/>
      <c r="B505" s="78"/>
      <c r="C505" s="78"/>
      <c r="D505" s="78"/>
      <c r="E505" s="78"/>
      <c r="F505" s="78"/>
      <c r="G505" s="78"/>
      <c r="H505" s="78"/>
      <c r="I505" s="78"/>
    </row>
    <row r="506" spans="1:9" x14ac:dyDescent="0.2">
      <c r="A506" s="78"/>
      <c r="B506" s="78"/>
      <c r="C506" s="78"/>
      <c r="D506" s="78"/>
      <c r="E506" s="78"/>
      <c r="F506" s="78"/>
      <c r="G506" s="78"/>
      <c r="H506" s="78"/>
      <c r="I506" s="78"/>
    </row>
    <row r="507" spans="1:9" x14ac:dyDescent="0.2">
      <c r="A507" s="78"/>
      <c r="B507" s="78"/>
      <c r="C507" s="78"/>
      <c r="D507" s="78"/>
      <c r="E507" s="78"/>
      <c r="F507" s="78"/>
      <c r="G507" s="78"/>
      <c r="H507" s="78"/>
      <c r="I507" s="78"/>
    </row>
    <row r="508" spans="1:9" x14ac:dyDescent="0.2">
      <c r="A508" s="78"/>
      <c r="B508" s="78"/>
      <c r="C508" s="78"/>
      <c r="D508" s="78"/>
      <c r="E508" s="78"/>
      <c r="F508" s="78"/>
      <c r="G508" s="78"/>
      <c r="H508" s="78"/>
      <c r="I508" s="78"/>
    </row>
    <row r="509" spans="1:9" x14ac:dyDescent="0.2">
      <c r="A509" s="78"/>
      <c r="B509" s="78"/>
      <c r="C509" s="78"/>
      <c r="D509" s="78"/>
      <c r="E509" s="78"/>
      <c r="F509" s="78"/>
      <c r="G509" s="78"/>
      <c r="H509" s="78"/>
      <c r="I509" s="78"/>
    </row>
    <row r="510" spans="1:9" x14ac:dyDescent="0.2">
      <c r="A510" s="78"/>
      <c r="B510" s="78"/>
      <c r="C510" s="78"/>
      <c r="D510" s="78"/>
      <c r="E510" s="78"/>
      <c r="F510" s="78"/>
      <c r="G510" s="78"/>
      <c r="H510" s="78"/>
      <c r="I510" s="78"/>
    </row>
    <row r="511" spans="1:9" x14ac:dyDescent="0.2">
      <c r="A511" s="78"/>
      <c r="B511" s="78"/>
      <c r="C511" s="78"/>
      <c r="D511" s="78"/>
      <c r="E511" s="78"/>
      <c r="F511" s="78"/>
      <c r="G511" s="78"/>
      <c r="H511" s="78"/>
      <c r="I511" s="78"/>
    </row>
    <row r="512" spans="1:9" x14ac:dyDescent="0.2">
      <c r="A512" s="78"/>
      <c r="B512" s="78"/>
      <c r="C512" s="78"/>
      <c r="D512" s="78"/>
      <c r="E512" s="78"/>
      <c r="F512" s="78"/>
      <c r="G512" s="78"/>
      <c r="H512" s="78"/>
      <c r="I512" s="78"/>
    </row>
    <row r="513" spans="1:9" x14ac:dyDescent="0.2">
      <c r="A513" s="78"/>
      <c r="B513" s="78"/>
      <c r="C513" s="78"/>
      <c r="D513" s="78"/>
      <c r="E513" s="78"/>
      <c r="F513" s="78"/>
      <c r="G513" s="78"/>
      <c r="H513" s="78"/>
      <c r="I513" s="78"/>
    </row>
    <row r="514" spans="1:9" x14ac:dyDescent="0.2">
      <c r="A514" s="78"/>
      <c r="B514" s="78"/>
      <c r="C514" s="78"/>
      <c r="D514" s="78"/>
      <c r="E514" s="78"/>
      <c r="F514" s="78"/>
      <c r="G514" s="78"/>
      <c r="H514" s="78"/>
      <c r="I514" s="78"/>
    </row>
    <row r="515" spans="1:9" x14ac:dyDescent="0.2">
      <c r="A515" s="78"/>
      <c r="B515" s="78"/>
      <c r="C515" s="78"/>
      <c r="D515" s="78"/>
      <c r="E515" s="78"/>
      <c r="F515" s="78"/>
      <c r="G515" s="78"/>
      <c r="H515" s="78"/>
      <c r="I515" s="78"/>
    </row>
    <row r="516" spans="1:9" x14ac:dyDescent="0.2">
      <c r="A516" s="78"/>
      <c r="B516" s="78"/>
      <c r="C516" s="78"/>
      <c r="D516" s="78"/>
      <c r="E516" s="78"/>
      <c r="F516" s="78"/>
      <c r="G516" s="78"/>
      <c r="H516" s="78"/>
      <c r="I516" s="78"/>
    </row>
    <row r="517" spans="1:9" x14ac:dyDescent="0.2">
      <c r="A517" s="78"/>
      <c r="B517" s="78"/>
      <c r="C517" s="78"/>
      <c r="D517" s="78"/>
      <c r="E517" s="78"/>
      <c r="F517" s="78"/>
      <c r="G517" s="78"/>
      <c r="H517" s="78"/>
      <c r="I517" s="78"/>
    </row>
    <row r="518" spans="1:9" x14ac:dyDescent="0.2">
      <c r="A518" s="78"/>
      <c r="B518" s="78"/>
      <c r="C518" s="78"/>
      <c r="D518" s="78"/>
      <c r="E518" s="78"/>
      <c r="F518" s="78"/>
      <c r="G518" s="78"/>
      <c r="H518" s="78"/>
      <c r="I518" s="78"/>
    </row>
    <row r="519" spans="1:9" x14ac:dyDescent="0.2">
      <c r="A519" s="78"/>
      <c r="B519" s="78"/>
      <c r="C519" s="78"/>
      <c r="D519" s="78"/>
      <c r="E519" s="78"/>
      <c r="F519" s="78"/>
      <c r="G519" s="78"/>
      <c r="H519" s="78"/>
      <c r="I519" s="78"/>
    </row>
    <row r="520" spans="1:9" x14ac:dyDescent="0.2">
      <c r="A520" s="78"/>
      <c r="B520" s="78"/>
      <c r="C520" s="78"/>
      <c r="D520" s="78"/>
      <c r="E520" s="78"/>
      <c r="F520" s="78"/>
      <c r="G520" s="78"/>
      <c r="H520" s="78"/>
      <c r="I520" s="78"/>
    </row>
    <row r="521" spans="1:9" x14ac:dyDescent="0.2">
      <c r="A521" s="78"/>
      <c r="B521" s="78"/>
      <c r="C521" s="78"/>
      <c r="D521" s="78"/>
      <c r="E521" s="78"/>
      <c r="F521" s="78"/>
      <c r="G521" s="78"/>
      <c r="H521" s="78"/>
      <c r="I521" s="78"/>
    </row>
    <row r="522" spans="1:9" x14ac:dyDescent="0.2">
      <c r="A522" s="78"/>
      <c r="B522" s="78"/>
      <c r="C522" s="78"/>
      <c r="D522" s="78"/>
      <c r="E522" s="78"/>
      <c r="F522" s="78"/>
      <c r="G522" s="78"/>
      <c r="H522" s="78"/>
      <c r="I522" s="78"/>
    </row>
    <row r="523" spans="1:9" x14ac:dyDescent="0.2">
      <c r="A523" s="78"/>
      <c r="B523" s="78"/>
      <c r="C523" s="78"/>
      <c r="D523" s="78"/>
      <c r="E523" s="78"/>
      <c r="F523" s="78"/>
      <c r="G523" s="78"/>
      <c r="H523" s="78"/>
      <c r="I523" s="78"/>
    </row>
    <row r="524" spans="1:9" x14ac:dyDescent="0.2">
      <c r="A524" s="78"/>
      <c r="B524" s="78"/>
      <c r="C524" s="78"/>
      <c r="D524" s="78"/>
      <c r="E524" s="78"/>
      <c r="F524" s="78"/>
      <c r="G524" s="78"/>
      <c r="H524" s="78"/>
      <c r="I524" s="78"/>
    </row>
    <row r="525" spans="1:9" x14ac:dyDescent="0.2">
      <c r="A525" s="78"/>
      <c r="B525" s="78"/>
      <c r="C525" s="78"/>
      <c r="D525" s="78"/>
      <c r="E525" s="78"/>
      <c r="F525" s="78"/>
      <c r="G525" s="78"/>
      <c r="H525" s="78"/>
      <c r="I525" s="78"/>
    </row>
    <row r="526" spans="1:9" x14ac:dyDescent="0.2">
      <c r="A526" s="78"/>
      <c r="B526" s="78"/>
      <c r="C526" s="78"/>
      <c r="D526" s="78"/>
      <c r="E526" s="78"/>
      <c r="F526" s="78"/>
      <c r="G526" s="78"/>
      <c r="H526" s="78"/>
      <c r="I526" s="78"/>
    </row>
    <row r="527" spans="1:9" x14ac:dyDescent="0.2">
      <c r="A527" s="78"/>
      <c r="B527" s="78"/>
      <c r="C527" s="78"/>
      <c r="D527" s="78"/>
      <c r="E527" s="78"/>
      <c r="F527" s="78"/>
      <c r="G527" s="78"/>
      <c r="H527" s="78"/>
      <c r="I527" s="78"/>
    </row>
    <row r="528" spans="1:9" x14ac:dyDescent="0.2">
      <c r="A528" s="78"/>
      <c r="B528" s="78"/>
      <c r="C528" s="78"/>
      <c r="D528" s="78"/>
      <c r="E528" s="78"/>
      <c r="F528" s="78"/>
      <c r="G528" s="78"/>
      <c r="H528" s="78"/>
      <c r="I528" s="78"/>
    </row>
    <row r="529" spans="1:9" x14ac:dyDescent="0.2">
      <c r="A529" s="78"/>
      <c r="B529" s="78"/>
      <c r="C529" s="78"/>
      <c r="D529" s="78"/>
      <c r="E529" s="78"/>
      <c r="F529" s="78"/>
      <c r="G529" s="78"/>
      <c r="H529" s="78"/>
      <c r="I529" s="78"/>
    </row>
    <row r="530" spans="1:9" x14ac:dyDescent="0.2">
      <c r="A530" s="78"/>
      <c r="B530" s="78"/>
      <c r="C530" s="78"/>
      <c r="D530" s="78"/>
      <c r="E530" s="78"/>
      <c r="F530" s="78"/>
      <c r="G530" s="78"/>
      <c r="H530" s="78"/>
      <c r="I530" s="78"/>
    </row>
    <row r="531" spans="1:9" x14ac:dyDescent="0.2">
      <c r="A531" s="78"/>
      <c r="B531" s="78"/>
      <c r="C531" s="78"/>
      <c r="D531" s="78"/>
      <c r="E531" s="78"/>
      <c r="F531" s="78"/>
      <c r="G531" s="78"/>
      <c r="H531" s="78"/>
      <c r="I531" s="78"/>
    </row>
    <row r="532" spans="1:9" x14ac:dyDescent="0.2">
      <c r="A532" s="78"/>
      <c r="B532" s="78"/>
      <c r="C532" s="78"/>
      <c r="D532" s="78"/>
      <c r="E532" s="78"/>
      <c r="F532" s="78"/>
      <c r="G532" s="78"/>
      <c r="H532" s="78"/>
      <c r="I532" s="78"/>
    </row>
    <row r="533" spans="1:9" x14ac:dyDescent="0.2">
      <c r="A533" s="78"/>
      <c r="B533" s="78"/>
      <c r="C533" s="78"/>
      <c r="D533" s="78"/>
      <c r="E533" s="78"/>
      <c r="F533" s="78"/>
      <c r="G533" s="78"/>
      <c r="H533" s="78"/>
      <c r="I533" s="78"/>
    </row>
    <row r="534" spans="1:9" x14ac:dyDescent="0.2">
      <c r="A534" s="78"/>
      <c r="B534" s="78"/>
      <c r="C534" s="78"/>
      <c r="D534" s="78"/>
      <c r="E534" s="78"/>
      <c r="F534" s="78"/>
      <c r="G534" s="78"/>
      <c r="H534" s="78"/>
      <c r="I534" s="78"/>
    </row>
    <row r="535" spans="1:9" x14ac:dyDescent="0.2">
      <c r="A535" s="78"/>
      <c r="B535" s="78"/>
      <c r="C535" s="78"/>
      <c r="D535" s="78"/>
      <c r="E535" s="78"/>
      <c r="F535" s="78"/>
      <c r="G535" s="78"/>
      <c r="H535" s="78"/>
      <c r="I535" s="78"/>
    </row>
    <row r="536" spans="1:9" x14ac:dyDescent="0.2">
      <c r="A536" s="78"/>
      <c r="B536" s="78"/>
      <c r="C536" s="78"/>
      <c r="D536" s="78"/>
      <c r="E536" s="78"/>
      <c r="F536" s="78"/>
      <c r="G536" s="78"/>
      <c r="H536" s="78"/>
      <c r="I536" s="78"/>
    </row>
    <row r="537" spans="1:9" x14ac:dyDescent="0.2">
      <c r="A537" s="78"/>
      <c r="B537" s="78"/>
      <c r="C537" s="78"/>
      <c r="D537" s="78"/>
      <c r="E537" s="78"/>
      <c r="F537" s="78"/>
      <c r="G537" s="78"/>
      <c r="H537" s="78"/>
      <c r="I537" s="78"/>
    </row>
    <row r="538" spans="1:9" x14ac:dyDescent="0.2">
      <c r="A538" s="78"/>
      <c r="B538" s="78"/>
      <c r="C538" s="78"/>
      <c r="D538" s="78"/>
      <c r="E538" s="78"/>
      <c r="F538" s="78"/>
      <c r="G538" s="78"/>
      <c r="H538" s="78"/>
      <c r="I538" s="78"/>
    </row>
    <row r="539" spans="1:9" x14ac:dyDescent="0.2">
      <c r="A539" s="78"/>
      <c r="B539" s="78"/>
      <c r="C539" s="78"/>
      <c r="D539" s="78"/>
      <c r="E539" s="78"/>
      <c r="F539" s="78"/>
      <c r="G539" s="78"/>
      <c r="H539" s="78"/>
      <c r="I539" s="78"/>
    </row>
    <row r="540" spans="1:9" x14ac:dyDescent="0.2">
      <c r="A540" s="78"/>
      <c r="B540" s="78"/>
      <c r="C540" s="78"/>
      <c r="D540" s="78"/>
      <c r="E540" s="78"/>
      <c r="F540" s="78"/>
      <c r="G540" s="78"/>
      <c r="H540" s="78"/>
      <c r="I540" s="78"/>
    </row>
    <row r="541" spans="1:9" x14ac:dyDescent="0.2">
      <c r="A541" s="78"/>
      <c r="B541" s="78"/>
      <c r="C541" s="78"/>
      <c r="D541" s="78"/>
      <c r="E541" s="78"/>
      <c r="F541" s="78"/>
      <c r="G541" s="78"/>
      <c r="H541" s="78"/>
      <c r="I541" s="78"/>
    </row>
    <row r="542" spans="1:9" x14ac:dyDescent="0.2">
      <c r="A542" s="78"/>
      <c r="B542" s="78"/>
      <c r="C542" s="78"/>
      <c r="D542" s="78"/>
      <c r="E542" s="78"/>
      <c r="F542" s="78"/>
      <c r="G542" s="78"/>
      <c r="H542" s="78"/>
      <c r="I542" s="78"/>
    </row>
    <row r="543" spans="1:9" x14ac:dyDescent="0.2">
      <c r="A543" s="78"/>
      <c r="B543" s="78"/>
      <c r="C543" s="78"/>
      <c r="D543" s="78"/>
      <c r="E543" s="78"/>
      <c r="F543" s="78"/>
      <c r="G543" s="78"/>
      <c r="H543" s="78"/>
      <c r="I543" s="78"/>
    </row>
    <row r="544" spans="1:9" x14ac:dyDescent="0.2">
      <c r="A544" s="78"/>
      <c r="B544" s="78"/>
      <c r="C544" s="78"/>
      <c r="D544" s="78"/>
      <c r="E544" s="78"/>
      <c r="F544" s="78"/>
      <c r="G544" s="78"/>
      <c r="H544" s="78"/>
      <c r="I544" s="78"/>
    </row>
    <row r="545" spans="1:9" x14ac:dyDescent="0.2">
      <c r="A545" s="78"/>
      <c r="B545" s="78"/>
      <c r="C545" s="78"/>
      <c r="D545" s="78"/>
      <c r="E545" s="78"/>
      <c r="F545" s="78"/>
      <c r="G545" s="78"/>
      <c r="H545" s="78"/>
      <c r="I545" s="78"/>
    </row>
    <row r="546" spans="1:9" x14ac:dyDescent="0.2">
      <c r="A546" s="78"/>
      <c r="B546" s="78"/>
      <c r="C546" s="78"/>
      <c r="D546" s="78"/>
      <c r="E546" s="78"/>
      <c r="F546" s="78"/>
      <c r="G546" s="78"/>
      <c r="H546" s="78"/>
      <c r="I546" s="78"/>
    </row>
    <row r="547" spans="1:9" x14ac:dyDescent="0.2">
      <c r="A547" s="78"/>
      <c r="B547" s="78"/>
      <c r="C547" s="78"/>
      <c r="D547" s="78"/>
      <c r="E547" s="78"/>
      <c r="F547" s="78"/>
      <c r="G547" s="78"/>
      <c r="H547" s="78"/>
      <c r="I547" s="78"/>
    </row>
    <row r="548" spans="1:9" x14ac:dyDescent="0.2">
      <c r="A548" s="78"/>
      <c r="B548" s="78"/>
      <c r="C548" s="78"/>
      <c r="D548" s="78"/>
      <c r="E548" s="78"/>
      <c r="F548" s="78"/>
      <c r="G548" s="78"/>
      <c r="H548" s="78"/>
      <c r="I548" s="78"/>
    </row>
    <row r="549" spans="1:9" x14ac:dyDescent="0.2">
      <c r="A549" s="78"/>
      <c r="B549" s="78"/>
      <c r="C549" s="78"/>
      <c r="D549" s="78"/>
      <c r="E549" s="78"/>
      <c r="F549" s="78"/>
      <c r="G549" s="78"/>
      <c r="H549" s="78"/>
      <c r="I549" s="78"/>
    </row>
    <row r="550" spans="1:9" x14ac:dyDescent="0.2">
      <c r="A550" s="78"/>
      <c r="B550" s="78"/>
      <c r="C550" s="78"/>
      <c r="D550" s="78"/>
      <c r="E550" s="78"/>
      <c r="F550" s="78"/>
      <c r="G550" s="78"/>
      <c r="H550" s="78"/>
      <c r="I550" s="78"/>
    </row>
    <row r="551" spans="1:9" x14ac:dyDescent="0.2">
      <c r="A551" s="78"/>
      <c r="B551" s="78"/>
      <c r="C551" s="78"/>
      <c r="D551" s="78"/>
      <c r="E551" s="78"/>
      <c r="F551" s="78"/>
      <c r="G551" s="78"/>
      <c r="H551" s="78"/>
      <c r="I551" s="78"/>
    </row>
    <row r="552" spans="1:9" x14ac:dyDescent="0.2">
      <c r="A552" s="78"/>
      <c r="B552" s="78"/>
      <c r="C552" s="78"/>
      <c r="D552" s="78"/>
      <c r="E552" s="78"/>
      <c r="F552" s="78"/>
      <c r="G552" s="78"/>
      <c r="H552" s="78"/>
      <c r="I552" s="78"/>
    </row>
    <row r="553" spans="1:9" x14ac:dyDescent="0.2">
      <c r="A553" s="78"/>
      <c r="B553" s="78"/>
      <c r="C553" s="78"/>
      <c r="D553" s="78"/>
      <c r="E553" s="78"/>
      <c r="F553" s="78"/>
      <c r="G553" s="78"/>
      <c r="H553" s="78"/>
      <c r="I553" s="78"/>
    </row>
    <row r="554" spans="1:9" x14ac:dyDescent="0.2">
      <c r="A554" s="78"/>
      <c r="B554" s="78"/>
      <c r="C554" s="78"/>
      <c r="D554" s="78"/>
      <c r="E554" s="78"/>
      <c r="F554" s="78"/>
      <c r="G554" s="78"/>
      <c r="H554" s="78"/>
      <c r="I554" s="78"/>
    </row>
    <row r="555" spans="1:9" x14ac:dyDescent="0.2">
      <c r="A555" s="78"/>
      <c r="B555" s="78"/>
      <c r="C555" s="78"/>
      <c r="D555" s="78"/>
      <c r="E555" s="78"/>
      <c r="F555" s="78"/>
      <c r="G555" s="78"/>
      <c r="H555" s="78"/>
      <c r="I555" s="78"/>
    </row>
    <row r="556" spans="1:9" x14ac:dyDescent="0.2">
      <c r="A556" s="78"/>
      <c r="B556" s="78"/>
      <c r="C556" s="78"/>
      <c r="D556" s="78"/>
      <c r="E556" s="78"/>
      <c r="F556" s="78"/>
      <c r="G556" s="78"/>
      <c r="H556" s="78"/>
      <c r="I556" s="78"/>
    </row>
    <row r="557" spans="1:9" x14ac:dyDescent="0.2">
      <c r="A557" s="78"/>
      <c r="B557" s="78"/>
      <c r="C557" s="78"/>
      <c r="D557" s="78"/>
      <c r="E557" s="78"/>
      <c r="F557" s="78"/>
      <c r="G557" s="78"/>
      <c r="H557" s="78"/>
      <c r="I557" s="78"/>
    </row>
    <row r="558" spans="1:9" x14ac:dyDescent="0.2">
      <c r="A558" s="78"/>
      <c r="B558" s="78"/>
      <c r="C558" s="78"/>
      <c r="D558" s="78"/>
      <c r="E558" s="78"/>
      <c r="F558" s="78"/>
      <c r="G558" s="78"/>
      <c r="H558" s="78"/>
      <c r="I558" s="78"/>
    </row>
    <row r="559" spans="1:9" x14ac:dyDescent="0.2">
      <c r="A559" s="78"/>
      <c r="B559" s="78"/>
      <c r="C559" s="78"/>
      <c r="D559" s="78"/>
      <c r="E559" s="78"/>
      <c r="F559" s="78"/>
      <c r="G559" s="78"/>
      <c r="H559" s="78"/>
      <c r="I559" s="78"/>
    </row>
    <row r="560" spans="1:9" x14ac:dyDescent="0.2">
      <c r="A560" s="78"/>
      <c r="B560" s="78"/>
      <c r="C560" s="78"/>
      <c r="D560" s="78"/>
      <c r="E560" s="78"/>
      <c r="F560" s="78"/>
      <c r="G560" s="78"/>
      <c r="H560" s="78"/>
      <c r="I560" s="78"/>
    </row>
    <row r="561" spans="1:9" x14ac:dyDescent="0.2">
      <c r="A561" s="78"/>
      <c r="B561" s="78"/>
      <c r="C561" s="78"/>
      <c r="D561" s="78"/>
      <c r="E561" s="78"/>
      <c r="F561" s="78"/>
      <c r="G561" s="78"/>
      <c r="H561" s="78"/>
      <c r="I561" s="78"/>
    </row>
    <row r="562" spans="1:9" x14ac:dyDescent="0.2">
      <c r="A562" s="78"/>
      <c r="B562" s="78"/>
      <c r="C562" s="78"/>
      <c r="D562" s="78"/>
      <c r="E562" s="78"/>
      <c r="F562" s="78"/>
      <c r="G562" s="78"/>
      <c r="H562" s="78"/>
      <c r="I562" s="78"/>
    </row>
    <row r="563" spans="1:9" x14ac:dyDescent="0.2">
      <c r="A563" s="78"/>
      <c r="B563" s="78"/>
      <c r="C563" s="78"/>
      <c r="D563" s="78"/>
      <c r="E563" s="78"/>
      <c r="F563" s="78"/>
      <c r="G563" s="78"/>
      <c r="H563" s="78"/>
      <c r="I563" s="78"/>
    </row>
    <row r="564" spans="1:9" x14ac:dyDescent="0.2">
      <c r="A564" s="78"/>
      <c r="B564" s="78"/>
      <c r="C564" s="78"/>
      <c r="D564" s="78"/>
      <c r="E564" s="78"/>
      <c r="F564" s="78"/>
      <c r="G564" s="78"/>
      <c r="H564" s="78"/>
      <c r="I564" s="78"/>
    </row>
    <row r="565" spans="1:9" x14ac:dyDescent="0.2">
      <c r="A565" s="78"/>
      <c r="B565" s="78"/>
      <c r="C565" s="78"/>
      <c r="D565" s="78"/>
      <c r="E565" s="78"/>
      <c r="F565" s="78"/>
      <c r="G565" s="78"/>
      <c r="H565" s="78"/>
      <c r="I565" s="78"/>
    </row>
    <row r="566" spans="1:9" x14ac:dyDescent="0.2">
      <c r="A566" s="78"/>
      <c r="B566" s="78"/>
      <c r="C566" s="78"/>
      <c r="D566" s="78"/>
      <c r="E566" s="78"/>
      <c r="F566" s="78"/>
      <c r="G566" s="78"/>
      <c r="H566" s="78"/>
      <c r="I566" s="78"/>
    </row>
    <row r="567" spans="1:9" x14ac:dyDescent="0.2">
      <c r="A567" s="78"/>
      <c r="B567" s="78"/>
      <c r="C567" s="78"/>
      <c r="D567" s="78"/>
      <c r="E567" s="78"/>
      <c r="F567" s="78"/>
      <c r="G567" s="78"/>
      <c r="H567" s="78"/>
      <c r="I567" s="78"/>
    </row>
    <row r="568" spans="1:9" x14ac:dyDescent="0.2">
      <c r="A568" s="78"/>
      <c r="B568" s="78"/>
      <c r="C568" s="78"/>
      <c r="D568" s="78"/>
      <c r="E568" s="78"/>
      <c r="F568" s="78"/>
      <c r="G568" s="78"/>
      <c r="H568" s="78"/>
      <c r="I568" s="78"/>
    </row>
    <row r="569" spans="1:9" x14ac:dyDescent="0.2">
      <c r="A569" s="78"/>
      <c r="B569" s="78"/>
      <c r="C569" s="78"/>
      <c r="D569" s="78"/>
      <c r="E569" s="78"/>
      <c r="F569" s="78"/>
      <c r="G569" s="78"/>
      <c r="H569" s="78"/>
      <c r="I569" s="78"/>
    </row>
    <row r="570" spans="1:9" x14ac:dyDescent="0.2">
      <c r="A570" s="78"/>
      <c r="B570" s="78"/>
      <c r="C570" s="78"/>
      <c r="D570" s="78"/>
      <c r="E570" s="78"/>
      <c r="F570" s="78"/>
      <c r="G570" s="78"/>
      <c r="H570" s="78"/>
      <c r="I570" s="78"/>
    </row>
    <row r="571" spans="1:9" x14ac:dyDescent="0.2">
      <c r="A571" s="78"/>
      <c r="B571" s="78"/>
      <c r="C571" s="78"/>
      <c r="D571" s="78"/>
      <c r="E571" s="78"/>
      <c r="F571" s="78"/>
      <c r="G571" s="78"/>
      <c r="H571" s="78"/>
      <c r="I571" s="78"/>
    </row>
    <row r="572" spans="1:9" x14ac:dyDescent="0.2">
      <c r="A572" s="78"/>
      <c r="B572" s="78"/>
      <c r="C572" s="78"/>
      <c r="D572" s="78"/>
      <c r="E572" s="78"/>
      <c r="F572" s="78"/>
      <c r="G572" s="78"/>
      <c r="H572" s="78"/>
      <c r="I572" s="78"/>
    </row>
    <row r="573" spans="1:9" x14ac:dyDescent="0.2">
      <c r="A573" s="78"/>
      <c r="B573" s="78"/>
      <c r="C573" s="78"/>
      <c r="D573" s="78"/>
      <c r="E573" s="78"/>
      <c r="F573" s="78"/>
      <c r="G573" s="78"/>
      <c r="H573" s="78"/>
      <c r="I573" s="78"/>
    </row>
    <row r="574" spans="1:9" x14ac:dyDescent="0.2">
      <c r="A574" s="78"/>
      <c r="B574" s="78"/>
      <c r="C574" s="78"/>
      <c r="D574" s="78"/>
      <c r="E574" s="78"/>
      <c r="F574" s="78"/>
      <c r="G574" s="78"/>
      <c r="H574" s="78"/>
      <c r="I574" s="78"/>
    </row>
    <row r="575" spans="1:9" x14ac:dyDescent="0.2">
      <c r="A575" s="78"/>
      <c r="B575" s="78"/>
      <c r="C575" s="78"/>
      <c r="D575" s="78"/>
      <c r="E575" s="78"/>
      <c r="F575" s="78"/>
      <c r="G575" s="78"/>
      <c r="H575" s="78"/>
      <c r="I575" s="78"/>
    </row>
    <row r="576" spans="1:9" x14ac:dyDescent="0.2">
      <c r="A576" s="78"/>
      <c r="B576" s="78"/>
      <c r="C576" s="78"/>
      <c r="D576" s="78"/>
      <c r="E576" s="78"/>
      <c r="F576" s="78"/>
      <c r="G576" s="78"/>
      <c r="H576" s="78"/>
      <c r="I576" s="78"/>
    </row>
    <row r="577" spans="1:9" x14ac:dyDescent="0.2">
      <c r="A577" s="78"/>
      <c r="B577" s="78"/>
      <c r="C577" s="78"/>
      <c r="D577" s="78"/>
      <c r="E577" s="78"/>
      <c r="F577" s="78"/>
      <c r="G577" s="78"/>
      <c r="H577" s="78"/>
      <c r="I577" s="78"/>
    </row>
    <row r="578" spans="1:9" x14ac:dyDescent="0.2">
      <c r="A578" s="78"/>
      <c r="B578" s="78"/>
      <c r="C578" s="78"/>
      <c r="D578" s="78"/>
      <c r="E578" s="78"/>
      <c r="F578" s="78"/>
      <c r="G578" s="78"/>
      <c r="H578" s="78"/>
      <c r="I578" s="78"/>
    </row>
    <row r="579" spans="1:9" x14ac:dyDescent="0.2">
      <c r="A579" s="78"/>
      <c r="B579" s="78"/>
      <c r="C579" s="78"/>
      <c r="D579" s="78"/>
      <c r="E579" s="78"/>
      <c r="F579" s="78"/>
      <c r="G579" s="78"/>
      <c r="H579" s="78"/>
      <c r="I579" s="78"/>
    </row>
    <row r="580" spans="1:9" x14ac:dyDescent="0.2">
      <c r="A580" s="78"/>
      <c r="B580" s="78"/>
      <c r="C580" s="78"/>
      <c r="D580" s="78"/>
      <c r="E580" s="78"/>
      <c r="F580" s="78"/>
      <c r="G580" s="78"/>
      <c r="H580" s="78"/>
      <c r="I580" s="78"/>
    </row>
    <row r="581" spans="1:9" x14ac:dyDescent="0.2">
      <c r="A581" s="78"/>
      <c r="B581" s="78"/>
      <c r="C581" s="78"/>
      <c r="D581" s="78"/>
      <c r="E581" s="78"/>
      <c r="F581" s="78"/>
      <c r="G581" s="78"/>
      <c r="H581" s="78"/>
      <c r="I581" s="78"/>
    </row>
    <row r="582" spans="1:9" x14ac:dyDescent="0.2">
      <c r="A582" s="78"/>
      <c r="B582" s="78"/>
      <c r="C582" s="78"/>
      <c r="D582" s="78"/>
      <c r="E582" s="78"/>
      <c r="F582" s="78"/>
      <c r="G582" s="78"/>
      <c r="H582" s="78"/>
      <c r="I582" s="78"/>
    </row>
    <row r="583" spans="1:9" x14ac:dyDescent="0.2">
      <c r="A583" s="78"/>
      <c r="B583" s="78"/>
      <c r="C583" s="78"/>
      <c r="D583" s="78"/>
      <c r="E583" s="78"/>
      <c r="F583" s="78"/>
      <c r="G583" s="78"/>
      <c r="H583" s="78"/>
      <c r="I583" s="78"/>
    </row>
    <row r="584" spans="1:9" x14ac:dyDescent="0.2">
      <c r="A584" s="78"/>
      <c r="B584" s="78"/>
      <c r="C584" s="78"/>
      <c r="D584" s="78"/>
      <c r="E584" s="78"/>
      <c r="F584" s="78"/>
      <c r="G584" s="78"/>
      <c r="H584" s="78"/>
      <c r="I584" s="78"/>
    </row>
    <row r="585" spans="1:9" x14ac:dyDescent="0.2">
      <c r="A585" s="78"/>
      <c r="B585" s="78"/>
      <c r="C585" s="78"/>
      <c r="D585" s="78"/>
      <c r="E585" s="78"/>
      <c r="F585" s="78"/>
      <c r="G585" s="78"/>
      <c r="H585" s="78"/>
      <c r="I585" s="78"/>
    </row>
    <row r="586" spans="1:9" x14ac:dyDescent="0.2">
      <c r="A586" s="78"/>
      <c r="B586" s="78"/>
      <c r="C586" s="78"/>
      <c r="D586" s="78"/>
      <c r="E586" s="78"/>
      <c r="F586" s="78"/>
      <c r="G586" s="78"/>
      <c r="H586" s="78"/>
      <c r="I586" s="78"/>
    </row>
    <row r="587" spans="1:9" x14ac:dyDescent="0.2">
      <c r="A587" s="78"/>
      <c r="B587" s="78"/>
      <c r="C587" s="78"/>
      <c r="D587" s="78"/>
      <c r="E587" s="78"/>
      <c r="F587" s="78"/>
      <c r="G587" s="78"/>
      <c r="H587" s="78"/>
      <c r="I587" s="78"/>
    </row>
    <row r="588" spans="1:9" x14ac:dyDescent="0.2">
      <c r="A588" s="78"/>
      <c r="B588" s="78"/>
      <c r="C588" s="78"/>
      <c r="D588" s="78"/>
      <c r="E588" s="78"/>
      <c r="F588" s="78"/>
      <c r="G588" s="78"/>
      <c r="H588" s="78"/>
      <c r="I588" s="78"/>
    </row>
    <row r="589" spans="1:9" x14ac:dyDescent="0.2">
      <c r="A589" s="78"/>
      <c r="B589" s="78"/>
      <c r="C589" s="78"/>
      <c r="D589" s="78"/>
      <c r="E589" s="78"/>
      <c r="F589" s="78"/>
      <c r="G589" s="78"/>
      <c r="H589" s="78"/>
      <c r="I589" s="78"/>
    </row>
    <row r="590" spans="1:9" x14ac:dyDescent="0.2">
      <c r="A590" s="78"/>
      <c r="B590" s="78"/>
      <c r="C590" s="78"/>
      <c r="D590" s="78"/>
      <c r="E590" s="78"/>
      <c r="F590" s="78"/>
      <c r="G590" s="78"/>
      <c r="H590" s="78"/>
      <c r="I590" s="78"/>
    </row>
    <row r="591" spans="1:9" x14ac:dyDescent="0.2">
      <c r="A591" s="78"/>
      <c r="B591" s="78"/>
      <c r="C591" s="78"/>
      <c r="D591" s="78"/>
      <c r="E591" s="78"/>
      <c r="F591" s="78"/>
      <c r="G591" s="78"/>
      <c r="H591" s="78"/>
      <c r="I591" s="78"/>
    </row>
    <row r="592" spans="1:9" x14ac:dyDescent="0.2">
      <c r="A592" s="78"/>
      <c r="B592" s="78"/>
      <c r="C592" s="78"/>
      <c r="D592" s="78"/>
      <c r="E592" s="78"/>
      <c r="F592" s="78"/>
      <c r="G592" s="78"/>
      <c r="H592" s="78"/>
      <c r="I592" s="78"/>
    </row>
    <row r="593" spans="1:9" x14ac:dyDescent="0.2">
      <c r="A593" s="78"/>
      <c r="B593" s="78"/>
      <c r="C593" s="78"/>
      <c r="D593" s="78"/>
      <c r="E593" s="78"/>
      <c r="F593" s="78"/>
      <c r="G593" s="78"/>
      <c r="H593" s="78"/>
      <c r="I593" s="78"/>
    </row>
    <row r="594" spans="1:9" x14ac:dyDescent="0.2">
      <c r="A594" s="78"/>
      <c r="B594" s="78"/>
      <c r="C594" s="78"/>
      <c r="D594" s="78"/>
      <c r="E594" s="78"/>
      <c r="F594" s="78"/>
      <c r="G594" s="78"/>
      <c r="H594" s="78"/>
      <c r="I594" s="78"/>
    </row>
    <row r="595" spans="1:9" x14ac:dyDescent="0.2">
      <c r="A595" s="78"/>
      <c r="B595" s="78"/>
      <c r="C595" s="78"/>
      <c r="D595" s="78"/>
      <c r="E595" s="78"/>
      <c r="F595" s="78"/>
      <c r="G595" s="78"/>
      <c r="H595" s="78"/>
      <c r="I595" s="78"/>
    </row>
    <row r="596" spans="1:9" x14ac:dyDescent="0.2">
      <c r="A596" s="78"/>
      <c r="B596" s="78"/>
      <c r="C596" s="78"/>
      <c r="D596" s="78"/>
      <c r="E596" s="78"/>
      <c r="F596" s="78"/>
      <c r="G596" s="78"/>
      <c r="H596" s="78"/>
      <c r="I596" s="78"/>
    </row>
    <row r="597" spans="1:9" x14ac:dyDescent="0.2">
      <c r="A597" s="78"/>
      <c r="B597" s="78"/>
      <c r="C597" s="78"/>
      <c r="D597" s="78"/>
      <c r="E597" s="78"/>
      <c r="F597" s="78"/>
      <c r="G597" s="78"/>
      <c r="H597" s="78"/>
      <c r="I597" s="78"/>
    </row>
    <row r="598" spans="1:9" x14ac:dyDescent="0.2">
      <c r="A598" s="78"/>
      <c r="B598" s="78"/>
      <c r="C598" s="78"/>
      <c r="D598" s="78"/>
      <c r="E598" s="78"/>
      <c r="F598" s="78"/>
      <c r="G598" s="78"/>
      <c r="H598" s="78"/>
      <c r="I598" s="78"/>
    </row>
    <row r="599" spans="1:9" x14ac:dyDescent="0.2">
      <c r="A599" s="78"/>
      <c r="B599" s="78"/>
      <c r="C599" s="78"/>
      <c r="D599" s="78"/>
      <c r="E599" s="78"/>
      <c r="F599" s="78"/>
      <c r="G599" s="78"/>
      <c r="H599" s="78"/>
      <c r="I599" s="78"/>
    </row>
    <row r="600" spans="1:9" x14ac:dyDescent="0.2">
      <c r="A600" s="78"/>
      <c r="B600" s="78"/>
      <c r="C600" s="78"/>
      <c r="D600" s="78"/>
      <c r="E600" s="78"/>
      <c r="F600" s="78"/>
      <c r="G600" s="78"/>
      <c r="H600" s="78"/>
      <c r="I600" s="78"/>
    </row>
    <row r="601" spans="1:9" x14ac:dyDescent="0.2">
      <c r="A601" s="78"/>
      <c r="B601" s="78"/>
      <c r="C601" s="78"/>
      <c r="D601" s="78"/>
      <c r="E601" s="78"/>
      <c r="F601" s="78"/>
      <c r="G601" s="78"/>
      <c r="H601" s="78"/>
      <c r="I601" s="78"/>
    </row>
    <row r="602" spans="1:9" x14ac:dyDescent="0.2">
      <c r="A602" s="78"/>
      <c r="B602" s="78"/>
      <c r="C602" s="78"/>
      <c r="D602" s="78"/>
      <c r="E602" s="78"/>
      <c r="F602" s="78"/>
      <c r="G602" s="78"/>
      <c r="H602" s="78"/>
      <c r="I602" s="78"/>
    </row>
    <row r="603" spans="1:9" x14ac:dyDescent="0.2">
      <c r="A603" s="78"/>
      <c r="B603" s="78"/>
      <c r="C603" s="78"/>
      <c r="D603" s="78"/>
      <c r="E603" s="78"/>
      <c r="F603" s="78"/>
      <c r="G603" s="78"/>
      <c r="H603" s="78"/>
      <c r="I603" s="78"/>
    </row>
    <row r="604" spans="1:9" x14ac:dyDescent="0.2">
      <c r="A604" s="78"/>
      <c r="B604" s="78"/>
      <c r="C604" s="78"/>
      <c r="D604" s="78"/>
      <c r="E604" s="78"/>
      <c r="F604" s="78"/>
      <c r="G604" s="78"/>
      <c r="H604" s="78"/>
      <c r="I604" s="78"/>
    </row>
    <row r="605" spans="1:9" x14ac:dyDescent="0.2">
      <c r="A605" s="78"/>
      <c r="B605" s="78"/>
      <c r="C605" s="78"/>
      <c r="D605" s="78"/>
      <c r="E605" s="78"/>
      <c r="F605" s="78"/>
      <c r="G605" s="78"/>
      <c r="H605" s="78"/>
      <c r="I605" s="78"/>
    </row>
    <row r="606" spans="1:9" x14ac:dyDescent="0.2">
      <c r="A606" s="78"/>
      <c r="B606" s="78"/>
      <c r="C606" s="78"/>
      <c r="D606" s="78"/>
      <c r="E606" s="78"/>
      <c r="F606" s="78"/>
      <c r="G606" s="78"/>
      <c r="H606" s="78"/>
      <c r="I606" s="78"/>
    </row>
    <row r="607" spans="1:9" x14ac:dyDescent="0.2">
      <c r="A607" s="78"/>
      <c r="B607" s="78"/>
      <c r="C607" s="78"/>
      <c r="D607" s="78"/>
      <c r="E607" s="78"/>
      <c r="F607" s="78"/>
      <c r="G607" s="78"/>
      <c r="H607" s="78"/>
      <c r="I607" s="78"/>
    </row>
    <row r="608" spans="1:9" x14ac:dyDescent="0.2">
      <c r="A608" s="78"/>
      <c r="B608" s="78"/>
      <c r="C608" s="78"/>
      <c r="D608" s="78"/>
      <c r="E608" s="78"/>
      <c r="F608" s="78"/>
      <c r="G608" s="78"/>
      <c r="H608" s="78"/>
      <c r="I608" s="78"/>
    </row>
    <row r="609" spans="1:9" x14ac:dyDescent="0.2">
      <c r="A609" s="78"/>
      <c r="B609" s="78"/>
      <c r="C609" s="78"/>
      <c r="D609" s="78"/>
      <c r="E609" s="78"/>
      <c r="F609" s="78"/>
      <c r="G609" s="78"/>
      <c r="H609" s="78"/>
      <c r="I609" s="78"/>
    </row>
    <row r="610" spans="1:9" x14ac:dyDescent="0.2">
      <c r="A610" s="78"/>
      <c r="B610" s="78"/>
      <c r="C610" s="78"/>
      <c r="D610" s="78"/>
      <c r="E610" s="78"/>
      <c r="F610" s="78"/>
      <c r="G610" s="78"/>
      <c r="H610" s="78"/>
      <c r="I610" s="78"/>
    </row>
    <row r="611" spans="1:9" x14ac:dyDescent="0.2">
      <c r="A611" s="78"/>
      <c r="B611" s="78"/>
      <c r="C611" s="78"/>
      <c r="D611" s="78"/>
      <c r="E611" s="78"/>
      <c r="F611" s="78"/>
      <c r="G611" s="78"/>
      <c r="H611" s="78"/>
      <c r="I611" s="78"/>
    </row>
    <row r="612" spans="1:9" x14ac:dyDescent="0.2">
      <c r="A612" s="78"/>
      <c r="B612" s="78"/>
      <c r="C612" s="78"/>
      <c r="D612" s="78"/>
      <c r="E612" s="78"/>
      <c r="F612" s="78"/>
      <c r="G612" s="78"/>
      <c r="H612" s="78"/>
      <c r="I612" s="78"/>
    </row>
    <row r="613" spans="1:9" x14ac:dyDescent="0.2">
      <c r="A613" s="78"/>
      <c r="B613" s="78"/>
      <c r="C613" s="78"/>
      <c r="D613" s="78"/>
      <c r="E613" s="78"/>
      <c r="F613" s="78"/>
      <c r="G613" s="78"/>
      <c r="H613" s="78"/>
      <c r="I613" s="78"/>
    </row>
    <row r="614" spans="1:9" x14ac:dyDescent="0.2">
      <c r="A614" s="78"/>
      <c r="B614" s="78"/>
      <c r="C614" s="78"/>
      <c r="D614" s="78"/>
      <c r="E614" s="78"/>
      <c r="F614" s="78"/>
      <c r="G614" s="78"/>
      <c r="H614" s="78"/>
      <c r="I614" s="78"/>
    </row>
    <row r="615" spans="1:9" x14ac:dyDescent="0.2">
      <c r="A615" s="78"/>
      <c r="B615" s="78"/>
      <c r="C615" s="78"/>
      <c r="D615" s="78"/>
      <c r="E615" s="78"/>
      <c r="F615" s="78"/>
      <c r="G615" s="78"/>
      <c r="H615" s="78"/>
      <c r="I615" s="78"/>
    </row>
    <row r="616" spans="1:9" x14ac:dyDescent="0.2">
      <c r="A616" s="78"/>
      <c r="B616" s="78"/>
      <c r="C616" s="78"/>
      <c r="D616" s="78"/>
      <c r="E616" s="78"/>
      <c r="F616" s="78"/>
      <c r="G616" s="78"/>
      <c r="H616" s="78"/>
      <c r="I616" s="78"/>
    </row>
    <row r="617" spans="1:9" x14ac:dyDescent="0.2">
      <c r="A617" s="78"/>
      <c r="B617" s="78"/>
      <c r="C617" s="78"/>
      <c r="D617" s="78"/>
      <c r="E617" s="78"/>
      <c r="F617" s="78"/>
      <c r="G617" s="78"/>
      <c r="H617" s="78"/>
      <c r="I617" s="78"/>
    </row>
    <row r="618" spans="1:9" x14ac:dyDescent="0.2">
      <c r="A618" s="78"/>
      <c r="B618" s="78"/>
      <c r="C618" s="78"/>
      <c r="D618" s="78"/>
      <c r="E618" s="78"/>
      <c r="F618" s="78"/>
      <c r="G618" s="78"/>
      <c r="H618" s="78"/>
      <c r="I618" s="78"/>
    </row>
    <row r="619" spans="1:9" x14ac:dyDescent="0.2">
      <c r="A619" s="78"/>
      <c r="B619" s="78"/>
      <c r="C619" s="78"/>
      <c r="D619" s="78"/>
      <c r="E619" s="78"/>
      <c r="F619" s="78"/>
      <c r="G619" s="78"/>
      <c r="H619" s="78"/>
      <c r="I619" s="78"/>
    </row>
    <row r="620" spans="1:9" x14ac:dyDescent="0.2">
      <c r="A620" s="78"/>
      <c r="B620" s="78"/>
      <c r="C620" s="78"/>
      <c r="D620" s="78"/>
      <c r="E620" s="78"/>
      <c r="F620" s="78"/>
      <c r="G620" s="78"/>
      <c r="H620" s="78"/>
      <c r="I620" s="78"/>
    </row>
    <row r="621" spans="1:9" x14ac:dyDescent="0.2">
      <c r="A621" s="78"/>
      <c r="B621" s="78"/>
      <c r="C621" s="78"/>
      <c r="D621" s="78"/>
      <c r="E621" s="78"/>
      <c r="F621" s="78"/>
      <c r="G621" s="78"/>
      <c r="H621" s="78"/>
      <c r="I621" s="78"/>
    </row>
    <row r="622" spans="1:9" x14ac:dyDescent="0.2">
      <c r="A622" s="78"/>
      <c r="B622" s="78"/>
      <c r="C622" s="78"/>
      <c r="D622" s="78"/>
      <c r="E622" s="78"/>
      <c r="F622" s="78"/>
      <c r="G622" s="78"/>
      <c r="H622" s="78"/>
      <c r="I622" s="78"/>
    </row>
    <row r="623" spans="1:9" x14ac:dyDescent="0.2">
      <c r="A623" s="78"/>
      <c r="B623" s="78"/>
      <c r="C623" s="78"/>
      <c r="D623" s="78"/>
      <c r="E623" s="78"/>
      <c r="F623" s="78"/>
      <c r="G623" s="78"/>
      <c r="H623" s="78"/>
      <c r="I623" s="78"/>
    </row>
    <row r="624" spans="1:9" x14ac:dyDescent="0.2">
      <c r="A624" s="78"/>
      <c r="B624" s="78"/>
      <c r="C624" s="78"/>
      <c r="D624" s="78"/>
      <c r="E624" s="78"/>
      <c r="F624" s="78"/>
      <c r="G624" s="78"/>
      <c r="H624" s="78"/>
      <c r="I624" s="78"/>
    </row>
    <row r="625" spans="1:9" x14ac:dyDescent="0.2">
      <c r="A625" s="78"/>
      <c r="B625" s="78"/>
      <c r="C625" s="78"/>
      <c r="D625" s="78"/>
      <c r="E625" s="78"/>
      <c r="F625" s="78"/>
      <c r="G625" s="78"/>
      <c r="H625" s="78"/>
      <c r="I625" s="78"/>
    </row>
    <row r="626" spans="1:9" x14ac:dyDescent="0.2">
      <c r="A626" s="78"/>
      <c r="B626" s="78"/>
      <c r="C626" s="78"/>
      <c r="D626" s="78"/>
      <c r="E626" s="78"/>
      <c r="F626" s="78"/>
      <c r="G626" s="78"/>
      <c r="H626" s="78"/>
      <c r="I626" s="78"/>
    </row>
    <row r="627" spans="1:9" x14ac:dyDescent="0.2">
      <c r="A627" s="78"/>
      <c r="B627" s="78"/>
      <c r="C627" s="78"/>
      <c r="D627" s="78"/>
      <c r="E627" s="78"/>
      <c r="F627" s="78"/>
      <c r="G627" s="78"/>
      <c r="H627" s="78"/>
      <c r="I627" s="78"/>
    </row>
    <row r="628" spans="1:9" x14ac:dyDescent="0.2">
      <c r="A628" s="78"/>
      <c r="B628" s="78"/>
      <c r="C628" s="78"/>
      <c r="D628" s="78"/>
      <c r="E628" s="78"/>
      <c r="F628" s="78"/>
      <c r="G628" s="78"/>
      <c r="H628" s="78"/>
      <c r="I628" s="78"/>
    </row>
    <row r="629" spans="1:9" x14ac:dyDescent="0.2">
      <c r="A629" s="78"/>
      <c r="B629" s="78"/>
      <c r="C629" s="78"/>
      <c r="D629" s="78"/>
      <c r="E629" s="78"/>
      <c r="F629" s="78"/>
      <c r="G629" s="78"/>
      <c r="H629" s="78"/>
      <c r="I629" s="78"/>
    </row>
    <row r="630" spans="1:9" x14ac:dyDescent="0.2">
      <c r="A630" s="78"/>
      <c r="B630" s="78"/>
      <c r="C630" s="78"/>
      <c r="D630" s="78"/>
      <c r="E630" s="78"/>
      <c r="F630" s="78"/>
      <c r="G630" s="78"/>
      <c r="H630" s="78"/>
      <c r="I630" s="78"/>
    </row>
    <row r="631" spans="1:9" x14ac:dyDescent="0.2">
      <c r="A631" s="78"/>
      <c r="B631" s="78"/>
      <c r="C631" s="78"/>
      <c r="D631" s="78"/>
      <c r="E631" s="78"/>
      <c r="F631" s="78"/>
      <c r="G631" s="78"/>
      <c r="H631" s="78"/>
      <c r="I631" s="78"/>
    </row>
    <row r="632" spans="1:9" x14ac:dyDescent="0.2">
      <c r="A632" s="78"/>
      <c r="B632" s="78"/>
      <c r="C632" s="78"/>
      <c r="D632" s="78"/>
      <c r="E632" s="78"/>
      <c r="F632" s="78"/>
      <c r="G632" s="78"/>
      <c r="H632" s="78"/>
      <c r="I632" s="78"/>
    </row>
    <row r="633" spans="1:9" x14ac:dyDescent="0.2">
      <c r="A633" s="78"/>
      <c r="B633" s="78"/>
      <c r="C633" s="78"/>
      <c r="D633" s="78"/>
      <c r="E633" s="78"/>
      <c r="F633" s="78"/>
      <c r="G633" s="78"/>
      <c r="H633" s="78"/>
      <c r="I633" s="78"/>
    </row>
    <row r="634" spans="1:9" x14ac:dyDescent="0.2">
      <c r="A634" s="78"/>
      <c r="B634" s="78"/>
      <c r="C634" s="78"/>
      <c r="D634" s="78"/>
      <c r="E634" s="78"/>
      <c r="F634" s="78"/>
      <c r="G634" s="78"/>
      <c r="H634" s="78"/>
      <c r="I634" s="78"/>
    </row>
    <row r="635" spans="1:9" x14ac:dyDescent="0.2">
      <c r="A635" s="78"/>
      <c r="B635" s="78"/>
      <c r="C635" s="78"/>
      <c r="D635" s="78"/>
      <c r="E635" s="78"/>
      <c r="F635" s="78"/>
      <c r="G635" s="78"/>
      <c r="H635" s="78"/>
      <c r="I635" s="78"/>
    </row>
    <row r="636" spans="1:9" x14ac:dyDescent="0.2">
      <c r="A636" s="78"/>
      <c r="B636" s="78"/>
      <c r="C636" s="78"/>
      <c r="D636" s="78"/>
      <c r="E636" s="78"/>
      <c r="F636" s="78"/>
      <c r="G636" s="78"/>
      <c r="H636" s="78"/>
      <c r="I636" s="78"/>
    </row>
    <row r="637" spans="1:9" x14ac:dyDescent="0.2">
      <c r="A637" s="78"/>
      <c r="B637" s="78"/>
      <c r="C637" s="78"/>
      <c r="D637" s="78"/>
      <c r="E637" s="78"/>
      <c r="F637" s="78"/>
      <c r="G637" s="78"/>
      <c r="H637" s="78"/>
      <c r="I637" s="78"/>
    </row>
    <row r="638" spans="1:9" x14ac:dyDescent="0.2">
      <c r="A638" s="78"/>
      <c r="B638" s="78"/>
      <c r="C638" s="78"/>
      <c r="D638" s="78"/>
      <c r="E638" s="78"/>
      <c r="F638" s="78"/>
      <c r="G638" s="78"/>
      <c r="H638" s="78"/>
      <c r="I638" s="78"/>
    </row>
    <row r="639" spans="1:9" x14ac:dyDescent="0.2">
      <c r="A639" s="78"/>
      <c r="B639" s="78"/>
      <c r="C639" s="78"/>
      <c r="D639" s="78"/>
      <c r="E639" s="78"/>
      <c r="F639" s="78"/>
      <c r="G639" s="78"/>
      <c r="H639" s="78"/>
      <c r="I639" s="78"/>
    </row>
    <row r="640" spans="1:9" x14ac:dyDescent="0.2">
      <c r="A640" s="78"/>
      <c r="B640" s="78"/>
      <c r="C640" s="78"/>
      <c r="D640" s="78"/>
      <c r="E640" s="78"/>
      <c r="F640" s="78"/>
      <c r="G640" s="78"/>
      <c r="H640" s="78"/>
      <c r="I640" s="78"/>
    </row>
    <row r="641" spans="1:9" x14ac:dyDescent="0.2">
      <c r="A641" s="78"/>
      <c r="B641" s="78"/>
      <c r="C641" s="78"/>
      <c r="D641" s="78"/>
      <c r="E641" s="78"/>
      <c r="F641" s="78"/>
      <c r="G641" s="78"/>
      <c r="H641" s="78"/>
      <c r="I641" s="78"/>
    </row>
    <row r="642" spans="1:9" x14ac:dyDescent="0.2">
      <c r="A642" s="78"/>
      <c r="B642" s="78"/>
      <c r="C642" s="78"/>
      <c r="D642" s="78"/>
      <c r="E642" s="78"/>
      <c r="F642" s="78"/>
      <c r="G642" s="78"/>
      <c r="H642" s="78"/>
      <c r="I642" s="78"/>
    </row>
    <row r="643" spans="1:9" x14ac:dyDescent="0.2">
      <c r="A643" s="78"/>
      <c r="B643" s="78"/>
      <c r="C643" s="78"/>
      <c r="D643" s="78"/>
      <c r="E643" s="78"/>
      <c r="F643" s="78"/>
      <c r="G643" s="78"/>
      <c r="H643" s="78"/>
      <c r="I643" s="78"/>
    </row>
    <row r="644" spans="1:9" x14ac:dyDescent="0.2">
      <c r="A644" s="78"/>
      <c r="B644" s="78"/>
      <c r="C644" s="78"/>
      <c r="D644" s="78"/>
      <c r="E644" s="78"/>
      <c r="F644" s="78"/>
      <c r="G644" s="78"/>
      <c r="H644" s="78"/>
      <c r="I644" s="78"/>
    </row>
    <row r="645" spans="1:9" x14ac:dyDescent="0.2">
      <c r="A645" s="78"/>
      <c r="B645" s="78"/>
      <c r="C645" s="78"/>
      <c r="D645" s="78"/>
      <c r="E645" s="78"/>
      <c r="F645" s="78"/>
      <c r="G645" s="78"/>
      <c r="H645" s="78"/>
      <c r="I645" s="78"/>
    </row>
    <row r="646" spans="1:9" x14ac:dyDescent="0.2">
      <c r="A646" s="78"/>
      <c r="B646" s="78"/>
      <c r="C646" s="78"/>
      <c r="D646" s="78"/>
      <c r="E646" s="78"/>
      <c r="F646" s="78"/>
      <c r="G646" s="78"/>
      <c r="H646" s="78"/>
      <c r="I646" s="78"/>
    </row>
    <row r="647" spans="1:9" x14ac:dyDescent="0.2">
      <c r="A647" s="78"/>
      <c r="B647" s="78"/>
      <c r="C647" s="78"/>
      <c r="D647" s="78"/>
      <c r="E647" s="78"/>
      <c r="F647" s="78"/>
      <c r="G647" s="78"/>
      <c r="H647" s="78"/>
      <c r="I647" s="78"/>
    </row>
    <row r="648" spans="1:9" x14ac:dyDescent="0.2">
      <c r="A648" s="78"/>
      <c r="B648" s="78"/>
      <c r="C648" s="78"/>
      <c r="D648" s="78"/>
      <c r="E648" s="78"/>
      <c r="F648" s="78"/>
      <c r="G648" s="78"/>
      <c r="H648" s="78"/>
      <c r="I648" s="78"/>
    </row>
    <row r="649" spans="1:9" x14ac:dyDescent="0.2">
      <c r="A649" s="78"/>
      <c r="B649" s="78"/>
      <c r="C649" s="78"/>
      <c r="D649" s="78"/>
      <c r="E649" s="78"/>
      <c r="F649" s="78"/>
      <c r="G649" s="78"/>
      <c r="H649" s="78"/>
      <c r="I649" s="78"/>
    </row>
    <row r="650" spans="1:9" x14ac:dyDescent="0.2">
      <c r="A650" s="78"/>
      <c r="B650" s="78"/>
      <c r="C650" s="78"/>
      <c r="D650" s="78"/>
      <c r="E650" s="78"/>
      <c r="F650" s="78"/>
      <c r="G650" s="78"/>
      <c r="H650" s="78"/>
      <c r="I650" s="78"/>
    </row>
    <row r="651" spans="1:9" x14ac:dyDescent="0.2">
      <c r="A651" s="78"/>
      <c r="B651" s="78"/>
      <c r="C651" s="78"/>
      <c r="D651" s="78"/>
      <c r="E651" s="78"/>
      <c r="F651" s="78"/>
      <c r="G651" s="78"/>
      <c r="H651" s="78"/>
      <c r="I651" s="78"/>
    </row>
    <row r="652" spans="1:9" x14ac:dyDescent="0.2">
      <c r="A652" s="78"/>
      <c r="B652" s="78"/>
      <c r="C652" s="78"/>
      <c r="D652" s="78"/>
      <c r="E652" s="78"/>
      <c r="F652" s="78"/>
      <c r="G652" s="78"/>
      <c r="H652" s="78"/>
      <c r="I652" s="78"/>
    </row>
    <row r="653" spans="1:9" x14ac:dyDescent="0.2">
      <c r="A653" s="78"/>
      <c r="B653" s="78"/>
      <c r="C653" s="78"/>
      <c r="D653" s="78"/>
      <c r="E653" s="78"/>
      <c r="F653" s="78"/>
      <c r="G653" s="78"/>
      <c r="H653" s="78"/>
      <c r="I653" s="78"/>
    </row>
    <row r="654" spans="1:9" x14ac:dyDescent="0.2">
      <c r="A654" s="78"/>
      <c r="B654" s="78"/>
      <c r="C654" s="78"/>
      <c r="D654" s="78"/>
      <c r="E654" s="78"/>
      <c r="F654" s="78"/>
      <c r="G654" s="78"/>
      <c r="H654" s="78"/>
      <c r="I654" s="78"/>
    </row>
    <row r="655" spans="1:9" x14ac:dyDescent="0.2">
      <c r="A655" s="78"/>
      <c r="B655" s="78"/>
      <c r="C655" s="78"/>
      <c r="D655" s="78"/>
      <c r="E655" s="78"/>
      <c r="F655" s="78"/>
      <c r="G655" s="78"/>
      <c r="H655" s="78"/>
      <c r="I655" s="78"/>
    </row>
    <row r="656" spans="1:9" x14ac:dyDescent="0.2">
      <c r="A656" s="78"/>
      <c r="B656" s="78"/>
      <c r="C656" s="78"/>
      <c r="D656" s="78"/>
      <c r="E656" s="78"/>
      <c r="F656" s="78"/>
      <c r="G656" s="78"/>
      <c r="H656" s="78"/>
      <c r="I656" s="78"/>
    </row>
    <row r="657" spans="1:9" x14ac:dyDescent="0.2">
      <c r="A657" s="78"/>
      <c r="B657" s="78"/>
      <c r="C657" s="78"/>
      <c r="D657" s="78"/>
      <c r="E657" s="78"/>
      <c r="F657" s="78"/>
      <c r="G657" s="78"/>
      <c r="H657" s="78"/>
      <c r="I657" s="78"/>
    </row>
    <row r="658" spans="1:9" x14ac:dyDescent="0.2">
      <c r="A658" s="78"/>
      <c r="B658" s="78"/>
      <c r="C658" s="78"/>
      <c r="D658" s="78"/>
      <c r="E658" s="78"/>
      <c r="F658" s="78"/>
      <c r="G658" s="78"/>
      <c r="H658" s="78"/>
      <c r="I658" s="78"/>
    </row>
    <row r="659" spans="1:9" x14ac:dyDescent="0.2">
      <c r="A659" s="78"/>
      <c r="B659" s="78"/>
      <c r="C659" s="78"/>
      <c r="D659" s="78"/>
      <c r="E659" s="78"/>
      <c r="F659" s="78"/>
      <c r="G659" s="78"/>
      <c r="H659" s="78"/>
      <c r="I659" s="78"/>
    </row>
    <row r="660" spans="1:9" x14ac:dyDescent="0.2">
      <c r="A660" s="78"/>
      <c r="B660" s="78"/>
      <c r="C660" s="78"/>
      <c r="D660" s="78"/>
      <c r="E660" s="78"/>
      <c r="F660" s="78"/>
      <c r="G660" s="78"/>
      <c r="H660" s="78"/>
      <c r="I660" s="78"/>
    </row>
    <row r="661" spans="1:9" x14ac:dyDescent="0.2">
      <c r="A661" s="78"/>
      <c r="B661" s="78"/>
      <c r="C661" s="78"/>
      <c r="D661" s="78"/>
      <c r="E661" s="78"/>
      <c r="F661" s="78"/>
      <c r="G661" s="78"/>
      <c r="H661" s="78"/>
      <c r="I661" s="78"/>
    </row>
    <row r="662" spans="1:9" x14ac:dyDescent="0.2">
      <c r="A662" s="78"/>
      <c r="B662" s="78"/>
      <c r="C662" s="78"/>
      <c r="D662" s="78"/>
      <c r="E662" s="78"/>
      <c r="F662" s="78"/>
      <c r="G662" s="78"/>
      <c r="H662" s="78"/>
      <c r="I662" s="78"/>
    </row>
    <row r="663" spans="1:9" x14ac:dyDescent="0.2">
      <c r="A663" s="78"/>
      <c r="B663" s="78"/>
      <c r="C663" s="78"/>
      <c r="D663" s="78"/>
      <c r="E663" s="78"/>
      <c r="F663" s="78"/>
      <c r="G663" s="78"/>
      <c r="H663" s="78"/>
      <c r="I663" s="78"/>
    </row>
    <row r="664" spans="1:9" x14ac:dyDescent="0.2">
      <c r="A664" s="78"/>
      <c r="B664" s="78"/>
      <c r="C664" s="78"/>
      <c r="D664" s="78"/>
      <c r="E664" s="78"/>
      <c r="F664" s="78"/>
      <c r="G664" s="78"/>
      <c r="H664" s="78"/>
      <c r="I664" s="78"/>
    </row>
    <row r="665" spans="1:9" x14ac:dyDescent="0.2">
      <c r="A665" s="78"/>
      <c r="B665" s="78"/>
      <c r="C665" s="78"/>
      <c r="D665" s="78"/>
      <c r="E665" s="78"/>
      <c r="F665" s="78"/>
      <c r="G665" s="78"/>
      <c r="H665" s="78"/>
      <c r="I665" s="78"/>
    </row>
    <row r="666" spans="1:9" x14ac:dyDescent="0.2">
      <c r="A666" s="78"/>
      <c r="B666" s="78"/>
      <c r="C666" s="78"/>
      <c r="D666" s="78"/>
      <c r="E666" s="78"/>
      <c r="F666" s="78"/>
      <c r="G666" s="78"/>
      <c r="H666" s="78"/>
      <c r="I666" s="78"/>
    </row>
    <row r="667" spans="1:9" x14ac:dyDescent="0.2">
      <c r="A667" s="78"/>
      <c r="B667" s="78"/>
      <c r="C667" s="78"/>
      <c r="D667" s="78"/>
      <c r="E667" s="78"/>
      <c r="F667" s="78"/>
      <c r="G667" s="78"/>
      <c r="H667" s="78"/>
      <c r="I667" s="78"/>
    </row>
    <row r="668" spans="1:9" x14ac:dyDescent="0.2">
      <c r="A668" s="78"/>
      <c r="B668" s="78"/>
      <c r="C668" s="78"/>
      <c r="D668" s="78"/>
      <c r="E668" s="78"/>
      <c r="F668" s="78"/>
      <c r="G668" s="78"/>
      <c r="H668" s="78"/>
      <c r="I668" s="78"/>
    </row>
    <row r="669" spans="1:9" x14ac:dyDescent="0.2">
      <c r="A669" s="78"/>
      <c r="B669" s="78"/>
      <c r="C669" s="78"/>
      <c r="D669" s="78"/>
      <c r="E669" s="78"/>
      <c r="F669" s="78"/>
      <c r="G669" s="78"/>
      <c r="H669" s="78"/>
      <c r="I669" s="78"/>
    </row>
    <row r="670" spans="1:9" x14ac:dyDescent="0.2">
      <c r="A670" s="78"/>
      <c r="B670" s="78"/>
      <c r="C670" s="78"/>
      <c r="D670" s="78"/>
      <c r="E670" s="78"/>
      <c r="F670" s="78"/>
      <c r="G670" s="78"/>
      <c r="H670" s="78"/>
      <c r="I670" s="78"/>
    </row>
    <row r="671" spans="1:9" x14ac:dyDescent="0.2">
      <c r="A671" s="78"/>
      <c r="B671" s="78"/>
      <c r="C671" s="78"/>
      <c r="D671" s="78"/>
      <c r="E671" s="78"/>
      <c r="F671" s="78"/>
      <c r="G671" s="78"/>
      <c r="H671" s="78"/>
      <c r="I671" s="78"/>
    </row>
    <row r="672" spans="1:9" x14ac:dyDescent="0.2">
      <c r="A672" s="78"/>
      <c r="B672" s="78"/>
      <c r="C672" s="78"/>
      <c r="D672" s="78"/>
      <c r="E672" s="78"/>
      <c r="F672" s="78"/>
      <c r="G672" s="78"/>
      <c r="H672" s="78"/>
      <c r="I672" s="78"/>
    </row>
    <row r="673" spans="1:9" x14ac:dyDescent="0.2">
      <c r="A673" s="78"/>
      <c r="B673" s="78"/>
      <c r="C673" s="78"/>
      <c r="D673" s="78"/>
      <c r="E673" s="78"/>
      <c r="F673" s="78"/>
      <c r="G673" s="78"/>
      <c r="H673" s="78"/>
      <c r="I673" s="78"/>
    </row>
    <row r="674" spans="1:9" x14ac:dyDescent="0.2">
      <c r="A674" s="78"/>
      <c r="B674" s="78"/>
      <c r="C674" s="78"/>
      <c r="D674" s="78"/>
      <c r="E674" s="78"/>
      <c r="F674" s="78"/>
      <c r="G674" s="78"/>
      <c r="H674" s="78"/>
      <c r="I674" s="78"/>
    </row>
    <row r="675" spans="1:9" x14ac:dyDescent="0.2">
      <c r="A675" s="78"/>
      <c r="B675" s="78"/>
      <c r="C675" s="78"/>
      <c r="D675" s="78"/>
      <c r="E675" s="78"/>
      <c r="F675" s="78"/>
      <c r="G675" s="78"/>
      <c r="H675" s="78"/>
      <c r="I675" s="78"/>
    </row>
    <row r="676" spans="1:9" x14ac:dyDescent="0.2">
      <c r="A676" s="78"/>
      <c r="B676" s="78"/>
      <c r="C676" s="78"/>
      <c r="D676" s="78"/>
      <c r="E676" s="78"/>
      <c r="F676" s="78"/>
      <c r="G676" s="78"/>
      <c r="H676" s="78"/>
      <c r="I676" s="78"/>
    </row>
    <row r="677" spans="1:9" x14ac:dyDescent="0.2">
      <c r="A677" s="78"/>
      <c r="B677" s="78"/>
      <c r="C677" s="78"/>
      <c r="D677" s="78"/>
      <c r="E677" s="78"/>
      <c r="F677" s="78"/>
      <c r="G677" s="78"/>
      <c r="H677" s="78"/>
      <c r="I677" s="78"/>
    </row>
    <row r="678" spans="1:9" x14ac:dyDescent="0.2">
      <c r="A678" s="78"/>
      <c r="B678" s="78"/>
      <c r="C678" s="78"/>
      <c r="D678" s="78"/>
      <c r="E678" s="78"/>
      <c r="F678" s="78"/>
      <c r="G678" s="78"/>
      <c r="H678" s="78"/>
      <c r="I678" s="78"/>
    </row>
    <row r="679" spans="1:9" x14ac:dyDescent="0.2">
      <c r="A679" s="78"/>
      <c r="B679" s="78"/>
      <c r="C679" s="78"/>
      <c r="D679" s="78"/>
      <c r="E679" s="78"/>
      <c r="F679" s="78"/>
      <c r="G679" s="78"/>
      <c r="H679" s="78"/>
      <c r="I679" s="78"/>
    </row>
    <row r="680" spans="1:9" x14ac:dyDescent="0.2">
      <c r="A680" s="78"/>
      <c r="B680" s="78"/>
      <c r="C680" s="78"/>
      <c r="D680" s="78"/>
      <c r="E680" s="78"/>
      <c r="F680" s="78"/>
      <c r="G680" s="78"/>
      <c r="H680" s="78"/>
      <c r="I680" s="78"/>
    </row>
    <row r="681" spans="1:9" x14ac:dyDescent="0.2">
      <c r="A681" s="78"/>
      <c r="B681" s="78"/>
      <c r="C681" s="78"/>
      <c r="D681" s="78"/>
      <c r="E681" s="78"/>
      <c r="F681" s="78"/>
      <c r="G681" s="78"/>
      <c r="H681" s="78"/>
      <c r="I681" s="78"/>
    </row>
    <row r="682" spans="1:9" x14ac:dyDescent="0.2">
      <c r="A682" s="78"/>
      <c r="B682" s="78"/>
      <c r="C682" s="78"/>
      <c r="D682" s="78"/>
      <c r="E682" s="78"/>
      <c r="F682" s="78"/>
      <c r="G682" s="78"/>
      <c r="H682" s="78"/>
      <c r="I682" s="78"/>
    </row>
    <row r="683" spans="1:9" x14ac:dyDescent="0.2">
      <c r="A683" s="78"/>
      <c r="B683" s="78"/>
      <c r="C683" s="78"/>
      <c r="D683" s="78"/>
      <c r="E683" s="78"/>
      <c r="F683" s="78"/>
      <c r="G683" s="78"/>
      <c r="H683" s="78"/>
      <c r="I683" s="78"/>
    </row>
    <row r="684" spans="1:9" x14ac:dyDescent="0.2">
      <c r="A684" s="78"/>
      <c r="B684" s="78"/>
      <c r="C684" s="78"/>
      <c r="D684" s="78"/>
      <c r="E684" s="78"/>
      <c r="F684" s="78"/>
      <c r="G684" s="78"/>
      <c r="H684" s="78"/>
      <c r="I684" s="78"/>
    </row>
    <row r="685" spans="1:9" x14ac:dyDescent="0.2">
      <c r="A685" s="78"/>
      <c r="B685" s="78"/>
      <c r="C685" s="78"/>
      <c r="D685" s="78"/>
      <c r="E685" s="78"/>
      <c r="F685" s="78"/>
      <c r="G685" s="78"/>
      <c r="H685" s="78"/>
      <c r="I685" s="78"/>
    </row>
    <row r="686" spans="1:9" x14ac:dyDescent="0.2">
      <c r="A686" s="78"/>
      <c r="B686" s="78"/>
      <c r="C686" s="78"/>
      <c r="D686" s="78"/>
      <c r="E686" s="78"/>
      <c r="F686" s="78"/>
      <c r="G686" s="78"/>
      <c r="H686" s="78"/>
      <c r="I686" s="78"/>
    </row>
    <row r="687" spans="1:9" x14ac:dyDescent="0.2">
      <c r="A687" s="78"/>
      <c r="B687" s="78"/>
      <c r="C687" s="78"/>
      <c r="D687" s="78"/>
      <c r="E687" s="78"/>
      <c r="F687" s="78"/>
      <c r="G687" s="78"/>
      <c r="H687" s="78"/>
      <c r="I687" s="78"/>
    </row>
    <row r="688" spans="1:9" x14ac:dyDescent="0.2">
      <c r="A688" s="78"/>
      <c r="B688" s="78"/>
      <c r="C688" s="78"/>
      <c r="D688" s="78"/>
      <c r="E688" s="78"/>
      <c r="F688" s="78"/>
      <c r="G688" s="78"/>
      <c r="H688" s="78"/>
      <c r="I688" s="78"/>
    </row>
    <row r="689" spans="1:9" x14ac:dyDescent="0.2">
      <c r="A689" s="78"/>
      <c r="B689" s="78"/>
      <c r="C689" s="78"/>
      <c r="D689" s="78"/>
      <c r="E689" s="78"/>
      <c r="F689" s="78"/>
      <c r="G689" s="78"/>
      <c r="H689" s="78"/>
      <c r="I689" s="78"/>
    </row>
    <row r="690" spans="1:9" x14ac:dyDescent="0.2">
      <c r="A690" s="78"/>
      <c r="B690" s="78"/>
      <c r="C690" s="78"/>
      <c r="D690" s="78"/>
      <c r="E690" s="78"/>
      <c r="F690" s="78"/>
      <c r="G690" s="78"/>
      <c r="H690" s="78"/>
      <c r="I690" s="78"/>
    </row>
    <row r="691" spans="1:9" x14ac:dyDescent="0.2">
      <c r="A691" s="78"/>
      <c r="B691" s="78"/>
      <c r="C691" s="78"/>
      <c r="D691" s="78"/>
      <c r="E691" s="78"/>
      <c r="F691" s="78"/>
      <c r="G691" s="78"/>
      <c r="H691" s="78"/>
      <c r="I691" s="78"/>
    </row>
    <row r="692" spans="1:9" x14ac:dyDescent="0.2">
      <c r="A692" s="78"/>
      <c r="B692" s="78"/>
      <c r="C692" s="78"/>
      <c r="D692" s="78"/>
      <c r="E692" s="78"/>
      <c r="F692" s="78"/>
      <c r="G692" s="78"/>
      <c r="H692" s="78"/>
      <c r="I692" s="78"/>
    </row>
    <row r="693" spans="1:9" x14ac:dyDescent="0.2">
      <c r="A693" s="78"/>
      <c r="B693" s="78"/>
      <c r="C693" s="78"/>
      <c r="D693" s="78"/>
      <c r="E693" s="78"/>
      <c r="F693" s="78"/>
      <c r="G693" s="78"/>
      <c r="H693" s="78"/>
      <c r="I693" s="78"/>
    </row>
    <row r="694" spans="1:9" x14ac:dyDescent="0.2">
      <c r="A694" s="78"/>
      <c r="B694" s="78"/>
      <c r="C694" s="78"/>
      <c r="D694" s="78"/>
      <c r="E694" s="78"/>
      <c r="F694" s="78"/>
      <c r="G694" s="78"/>
      <c r="H694" s="78"/>
      <c r="I694" s="78"/>
    </row>
    <row r="695" spans="1:9" x14ac:dyDescent="0.2">
      <c r="A695" s="78"/>
      <c r="B695" s="78"/>
      <c r="C695" s="78"/>
      <c r="D695" s="78"/>
      <c r="E695" s="78"/>
      <c r="F695" s="78"/>
      <c r="G695" s="78"/>
      <c r="H695" s="78"/>
      <c r="I695" s="78"/>
    </row>
    <row r="696" spans="1:9" x14ac:dyDescent="0.2">
      <c r="A696" s="78"/>
      <c r="B696" s="78"/>
      <c r="C696" s="78"/>
      <c r="D696" s="78"/>
      <c r="E696" s="78"/>
      <c r="F696" s="78"/>
      <c r="G696" s="78"/>
      <c r="H696" s="78"/>
      <c r="I696" s="78"/>
    </row>
    <row r="697" spans="1:9" x14ac:dyDescent="0.2">
      <c r="A697" s="78"/>
      <c r="B697" s="78"/>
      <c r="C697" s="78"/>
      <c r="D697" s="78"/>
      <c r="E697" s="78"/>
      <c r="F697" s="78"/>
      <c r="G697" s="78"/>
      <c r="H697" s="78"/>
      <c r="I697" s="78"/>
    </row>
    <row r="698" spans="1:9" x14ac:dyDescent="0.2">
      <c r="A698" s="78"/>
      <c r="B698" s="78"/>
      <c r="C698" s="78"/>
      <c r="D698" s="78"/>
      <c r="E698" s="78"/>
      <c r="F698" s="78"/>
      <c r="G698" s="78"/>
      <c r="H698" s="78"/>
      <c r="I698" s="78"/>
    </row>
    <row r="699" spans="1:9" x14ac:dyDescent="0.2">
      <c r="A699" s="78"/>
      <c r="B699" s="78"/>
      <c r="C699" s="78"/>
      <c r="D699" s="78"/>
      <c r="E699" s="78"/>
      <c r="F699" s="78"/>
      <c r="G699" s="78"/>
      <c r="H699" s="78"/>
      <c r="I699" s="78"/>
    </row>
    <row r="700" spans="1:9" x14ac:dyDescent="0.2">
      <c r="A700" s="78"/>
      <c r="B700" s="78"/>
      <c r="C700" s="78"/>
      <c r="D700" s="78"/>
      <c r="E700" s="78"/>
      <c r="F700" s="78"/>
      <c r="G700" s="78"/>
      <c r="H700" s="78"/>
      <c r="I700" s="78"/>
    </row>
    <row r="701" spans="1:9" x14ac:dyDescent="0.2">
      <c r="A701" s="78"/>
      <c r="B701" s="78"/>
      <c r="C701" s="78"/>
      <c r="D701" s="78"/>
      <c r="E701" s="78"/>
      <c r="F701" s="78"/>
      <c r="G701" s="78"/>
      <c r="H701" s="78"/>
      <c r="I701" s="78"/>
    </row>
    <row r="702" spans="1:9" x14ac:dyDescent="0.2">
      <c r="A702" s="78"/>
      <c r="B702" s="78"/>
      <c r="C702" s="78"/>
      <c r="D702" s="78"/>
      <c r="E702" s="78"/>
      <c r="F702" s="78"/>
      <c r="G702" s="78"/>
      <c r="H702" s="78"/>
      <c r="I702" s="78"/>
    </row>
    <row r="703" spans="1:9" x14ac:dyDescent="0.2">
      <c r="A703" s="78"/>
      <c r="B703" s="78"/>
      <c r="C703" s="78"/>
      <c r="D703" s="78"/>
      <c r="E703" s="78"/>
      <c r="F703" s="78"/>
      <c r="G703" s="78"/>
      <c r="H703" s="78"/>
      <c r="I703" s="78"/>
    </row>
    <row r="704" spans="1:9" x14ac:dyDescent="0.2">
      <c r="A704" s="78"/>
      <c r="B704" s="78"/>
      <c r="C704" s="78"/>
      <c r="D704" s="78"/>
      <c r="E704" s="78"/>
      <c r="F704" s="78"/>
      <c r="G704" s="78"/>
      <c r="H704" s="78"/>
      <c r="I704" s="78"/>
    </row>
    <row r="705" spans="1:9" x14ac:dyDescent="0.2">
      <c r="A705" s="78"/>
      <c r="B705" s="78"/>
      <c r="C705" s="78"/>
      <c r="D705" s="78"/>
      <c r="E705" s="78"/>
      <c r="F705" s="78"/>
      <c r="G705" s="78"/>
      <c r="H705" s="78"/>
      <c r="I705" s="78"/>
    </row>
    <row r="706" spans="1:9" x14ac:dyDescent="0.2">
      <c r="A706" s="78"/>
      <c r="B706" s="78"/>
      <c r="C706" s="78"/>
      <c r="D706" s="78"/>
      <c r="E706" s="78"/>
      <c r="F706" s="78"/>
      <c r="G706" s="78"/>
      <c r="H706" s="78"/>
      <c r="I706" s="78"/>
    </row>
    <row r="707" spans="1:9" x14ac:dyDescent="0.2">
      <c r="A707" s="78"/>
      <c r="B707" s="78"/>
      <c r="C707" s="78"/>
      <c r="D707" s="78"/>
      <c r="E707" s="78"/>
      <c r="F707" s="78"/>
      <c r="G707" s="78"/>
      <c r="H707" s="78"/>
      <c r="I707" s="78"/>
    </row>
    <row r="708" spans="1:9" x14ac:dyDescent="0.2">
      <c r="A708" s="78"/>
      <c r="B708" s="78"/>
      <c r="C708" s="78"/>
      <c r="D708" s="78"/>
      <c r="E708" s="78"/>
      <c r="F708" s="78"/>
      <c r="G708" s="78"/>
      <c r="H708" s="78"/>
      <c r="I708" s="78"/>
    </row>
    <row r="709" spans="1:9" x14ac:dyDescent="0.2">
      <c r="A709" s="78"/>
      <c r="B709" s="78"/>
      <c r="C709" s="78"/>
      <c r="D709" s="78"/>
      <c r="E709" s="78"/>
      <c r="F709" s="78"/>
      <c r="G709" s="78"/>
      <c r="H709" s="78"/>
      <c r="I709" s="78"/>
    </row>
    <row r="710" spans="1:9" x14ac:dyDescent="0.2">
      <c r="A710" s="78"/>
      <c r="B710" s="78"/>
      <c r="C710" s="78"/>
      <c r="D710" s="78"/>
      <c r="E710" s="78"/>
      <c r="F710" s="78"/>
      <c r="G710" s="78"/>
      <c r="H710" s="78"/>
      <c r="I710" s="78"/>
    </row>
    <row r="711" spans="1:9" x14ac:dyDescent="0.2">
      <c r="A711" s="78"/>
      <c r="B711" s="78"/>
      <c r="C711" s="78"/>
      <c r="D711" s="78"/>
      <c r="E711" s="78"/>
      <c r="F711" s="78"/>
      <c r="G711" s="78"/>
      <c r="H711" s="78"/>
      <c r="I711" s="78"/>
    </row>
    <row r="712" spans="1:9" x14ac:dyDescent="0.2">
      <c r="A712" s="78"/>
      <c r="B712" s="78"/>
      <c r="C712" s="78"/>
      <c r="D712" s="78"/>
      <c r="E712" s="78"/>
      <c r="F712" s="78"/>
      <c r="G712" s="78"/>
      <c r="H712" s="78"/>
      <c r="I712" s="78"/>
    </row>
    <row r="713" spans="1:9" x14ac:dyDescent="0.2">
      <c r="A713" s="78"/>
      <c r="B713" s="78"/>
      <c r="C713" s="78"/>
      <c r="D713" s="78"/>
      <c r="E713" s="78"/>
      <c r="F713" s="78"/>
      <c r="G713" s="78"/>
      <c r="H713" s="78"/>
      <c r="I713" s="78"/>
    </row>
    <row r="714" spans="1:9" x14ac:dyDescent="0.2">
      <c r="A714" s="78"/>
      <c r="B714" s="78"/>
      <c r="C714" s="78"/>
      <c r="D714" s="78"/>
      <c r="E714" s="78"/>
      <c r="F714" s="78"/>
      <c r="G714" s="78"/>
      <c r="H714" s="78"/>
      <c r="I714" s="78"/>
    </row>
    <row r="715" spans="1:9" x14ac:dyDescent="0.2">
      <c r="A715" s="78"/>
      <c r="B715" s="78"/>
      <c r="C715" s="78"/>
      <c r="D715" s="78"/>
      <c r="E715" s="78"/>
      <c r="F715" s="78"/>
      <c r="G715" s="78"/>
      <c r="H715" s="78"/>
      <c r="I715" s="78"/>
    </row>
    <row r="716" spans="1:9" x14ac:dyDescent="0.2">
      <c r="A716" s="78"/>
      <c r="B716" s="78"/>
      <c r="C716" s="78"/>
      <c r="D716" s="78"/>
      <c r="E716" s="78"/>
      <c r="F716" s="78"/>
      <c r="G716" s="78"/>
      <c r="H716" s="78"/>
      <c r="I716" s="78"/>
    </row>
    <row r="717" spans="1:9" x14ac:dyDescent="0.2">
      <c r="A717" s="78"/>
      <c r="B717" s="78"/>
      <c r="C717" s="78"/>
      <c r="D717" s="78"/>
      <c r="E717" s="78"/>
      <c r="F717" s="78"/>
      <c r="G717" s="78"/>
      <c r="H717" s="78"/>
      <c r="I717" s="78"/>
    </row>
    <row r="718" spans="1:9" x14ac:dyDescent="0.2">
      <c r="A718" s="78"/>
      <c r="B718" s="78"/>
      <c r="C718" s="78"/>
      <c r="D718" s="78"/>
      <c r="E718" s="78"/>
      <c r="F718" s="78"/>
      <c r="G718" s="78"/>
      <c r="H718" s="78"/>
      <c r="I718" s="78"/>
    </row>
    <row r="719" spans="1:9" x14ac:dyDescent="0.2">
      <c r="A719" s="78"/>
      <c r="B719" s="78"/>
      <c r="C719" s="78"/>
      <c r="D719" s="78"/>
      <c r="E719" s="78"/>
      <c r="F719" s="78"/>
      <c r="G719" s="78"/>
      <c r="H719" s="78"/>
      <c r="I719" s="78"/>
    </row>
    <row r="720" spans="1:9" x14ac:dyDescent="0.2">
      <c r="A720" s="78"/>
      <c r="B720" s="78"/>
      <c r="C720" s="78"/>
      <c r="D720" s="78"/>
      <c r="E720" s="78"/>
      <c r="F720" s="78"/>
      <c r="G720" s="78"/>
      <c r="H720" s="78"/>
      <c r="I720" s="78"/>
    </row>
    <row r="721" spans="1:9" x14ac:dyDescent="0.2">
      <c r="A721" s="78"/>
      <c r="B721" s="78"/>
      <c r="C721" s="78"/>
      <c r="D721" s="78"/>
      <c r="E721" s="78"/>
      <c r="F721" s="78"/>
      <c r="G721" s="78"/>
      <c r="H721" s="78"/>
      <c r="I721" s="78"/>
    </row>
    <row r="722" spans="1:9" x14ac:dyDescent="0.2">
      <c r="A722" s="78"/>
      <c r="B722" s="78"/>
      <c r="C722" s="78"/>
      <c r="D722" s="78"/>
      <c r="E722" s="78"/>
      <c r="F722" s="78"/>
      <c r="G722" s="78"/>
      <c r="H722" s="78"/>
      <c r="I722" s="78"/>
    </row>
    <row r="723" spans="1:9" x14ac:dyDescent="0.2">
      <c r="A723" s="78"/>
      <c r="B723" s="78"/>
      <c r="C723" s="78"/>
      <c r="D723" s="78"/>
      <c r="E723" s="78"/>
      <c r="F723" s="78"/>
      <c r="G723" s="78"/>
      <c r="H723" s="78"/>
      <c r="I723" s="78"/>
    </row>
    <row r="724" spans="1:9" x14ac:dyDescent="0.2">
      <c r="A724" s="78"/>
      <c r="B724" s="78"/>
      <c r="C724" s="78"/>
      <c r="D724" s="78"/>
      <c r="E724" s="78"/>
      <c r="F724" s="78"/>
      <c r="G724" s="78"/>
      <c r="H724" s="78"/>
      <c r="I724" s="78"/>
    </row>
    <row r="725" spans="1:9" x14ac:dyDescent="0.2">
      <c r="A725" s="78"/>
      <c r="B725" s="78"/>
      <c r="C725" s="78"/>
      <c r="D725" s="78"/>
      <c r="E725" s="78"/>
      <c r="F725" s="78"/>
      <c r="G725" s="78"/>
      <c r="H725" s="78"/>
      <c r="I725" s="78"/>
    </row>
    <row r="726" spans="1:9" x14ac:dyDescent="0.2">
      <c r="A726" s="78"/>
      <c r="B726" s="78"/>
      <c r="C726" s="78"/>
      <c r="D726" s="78"/>
      <c r="E726" s="78"/>
      <c r="F726" s="78"/>
      <c r="G726" s="78"/>
      <c r="H726" s="78"/>
      <c r="I726" s="78"/>
    </row>
    <row r="727" spans="1:9" x14ac:dyDescent="0.2">
      <c r="A727" s="78"/>
      <c r="B727" s="78"/>
      <c r="C727" s="78"/>
      <c r="D727" s="78"/>
      <c r="E727" s="78"/>
      <c r="F727" s="78"/>
      <c r="G727" s="78"/>
      <c r="H727" s="78"/>
      <c r="I727" s="78"/>
    </row>
    <row r="728" spans="1:9" x14ac:dyDescent="0.2">
      <c r="A728" s="78"/>
      <c r="B728" s="78"/>
      <c r="C728" s="78"/>
      <c r="D728" s="78"/>
      <c r="E728" s="78"/>
      <c r="F728" s="78"/>
      <c r="G728" s="78"/>
      <c r="H728" s="78"/>
      <c r="I728" s="78"/>
    </row>
    <row r="729" spans="1:9" x14ac:dyDescent="0.2">
      <c r="A729" s="78"/>
      <c r="B729" s="78"/>
      <c r="C729" s="78"/>
      <c r="D729" s="78"/>
      <c r="E729" s="78"/>
      <c r="F729" s="78"/>
      <c r="G729" s="78"/>
      <c r="H729" s="78"/>
      <c r="I729" s="78"/>
    </row>
    <row r="730" spans="1:9" x14ac:dyDescent="0.2">
      <c r="A730" s="78"/>
      <c r="B730" s="78"/>
      <c r="C730" s="78"/>
      <c r="D730" s="78"/>
      <c r="E730" s="78"/>
      <c r="F730" s="78"/>
      <c r="G730" s="78"/>
      <c r="H730" s="78"/>
      <c r="I730" s="78"/>
    </row>
    <row r="731" spans="1:9" x14ac:dyDescent="0.2">
      <c r="A731" s="78"/>
      <c r="B731" s="78"/>
      <c r="C731" s="78"/>
      <c r="D731" s="78"/>
      <c r="E731" s="78"/>
      <c r="F731" s="78"/>
      <c r="G731" s="78"/>
      <c r="H731" s="78"/>
      <c r="I731" s="78"/>
    </row>
    <row r="732" spans="1:9" x14ac:dyDescent="0.2">
      <c r="A732" s="78"/>
      <c r="B732" s="78"/>
      <c r="C732" s="78"/>
      <c r="D732" s="78"/>
      <c r="E732" s="78"/>
      <c r="F732" s="78"/>
      <c r="G732" s="78"/>
      <c r="H732" s="78"/>
      <c r="I732" s="78"/>
    </row>
    <row r="733" spans="1:9" x14ac:dyDescent="0.2">
      <c r="A733" s="78"/>
      <c r="B733" s="78"/>
      <c r="C733" s="78"/>
      <c r="D733" s="78"/>
      <c r="E733" s="78"/>
      <c r="F733" s="78"/>
      <c r="G733" s="78"/>
      <c r="H733" s="78"/>
      <c r="I733" s="78"/>
    </row>
    <row r="734" spans="1:9" x14ac:dyDescent="0.2">
      <c r="A734" s="78"/>
      <c r="B734" s="78"/>
      <c r="C734" s="78"/>
      <c r="D734" s="78"/>
      <c r="E734" s="78"/>
      <c r="F734" s="78"/>
      <c r="G734" s="78"/>
      <c r="H734" s="78"/>
      <c r="I734" s="78"/>
    </row>
    <row r="735" spans="1:9" x14ac:dyDescent="0.2">
      <c r="A735" s="78"/>
      <c r="B735" s="78"/>
      <c r="C735" s="78"/>
      <c r="D735" s="78"/>
      <c r="E735" s="78"/>
      <c r="F735" s="78"/>
      <c r="G735" s="78"/>
      <c r="H735" s="78"/>
      <c r="I735" s="78"/>
    </row>
    <row r="736" spans="1:9" x14ac:dyDescent="0.2">
      <c r="A736" s="78"/>
      <c r="B736" s="78"/>
      <c r="C736" s="78"/>
      <c r="D736" s="78"/>
      <c r="E736" s="78"/>
      <c r="F736" s="78"/>
      <c r="G736" s="78"/>
      <c r="H736" s="78"/>
      <c r="I736" s="78"/>
    </row>
    <row r="737" spans="1:9" x14ac:dyDescent="0.2">
      <c r="A737" s="78"/>
      <c r="B737" s="78"/>
      <c r="C737" s="78"/>
      <c r="D737" s="78"/>
      <c r="E737" s="78"/>
      <c r="F737" s="78"/>
      <c r="G737" s="78"/>
      <c r="H737" s="78"/>
      <c r="I737" s="78"/>
    </row>
    <row r="738" spans="1:9" x14ac:dyDescent="0.2">
      <c r="A738" s="78"/>
      <c r="B738" s="78"/>
      <c r="C738" s="78"/>
      <c r="D738" s="78"/>
      <c r="E738" s="78"/>
      <c r="F738" s="78"/>
      <c r="G738" s="78"/>
      <c r="H738" s="78"/>
      <c r="I738" s="78"/>
    </row>
    <row r="739" spans="1:9" x14ac:dyDescent="0.2">
      <c r="A739" s="78"/>
      <c r="B739" s="78"/>
      <c r="C739" s="78"/>
      <c r="D739" s="78"/>
      <c r="E739" s="78"/>
      <c r="F739" s="78"/>
      <c r="G739" s="78"/>
      <c r="H739" s="78"/>
      <c r="I739" s="78"/>
    </row>
    <row r="740" spans="1:9" x14ac:dyDescent="0.2">
      <c r="A740" s="78"/>
      <c r="B740" s="78"/>
      <c r="C740" s="78"/>
      <c r="D740" s="78"/>
      <c r="E740" s="78"/>
      <c r="F740" s="78"/>
      <c r="G740" s="78"/>
      <c r="H740" s="78"/>
      <c r="I740" s="78"/>
    </row>
    <row r="741" spans="1:9" x14ac:dyDescent="0.2">
      <c r="A741" s="78"/>
      <c r="B741" s="78"/>
      <c r="C741" s="78"/>
      <c r="D741" s="78"/>
      <c r="E741" s="78"/>
      <c r="F741" s="78"/>
      <c r="G741" s="78"/>
      <c r="H741" s="78"/>
      <c r="I741" s="78"/>
    </row>
    <row r="742" spans="1:9" x14ac:dyDescent="0.2">
      <c r="A742" s="78"/>
      <c r="B742" s="78"/>
      <c r="C742" s="78"/>
      <c r="D742" s="78"/>
      <c r="E742" s="78"/>
      <c r="F742" s="78"/>
      <c r="G742" s="78"/>
      <c r="H742" s="78"/>
      <c r="I742" s="78"/>
    </row>
    <row r="743" spans="1:9" x14ac:dyDescent="0.2">
      <c r="A743" s="78"/>
      <c r="B743" s="78"/>
      <c r="C743" s="78"/>
      <c r="D743" s="78"/>
      <c r="E743" s="78"/>
      <c r="F743" s="78"/>
      <c r="G743" s="78"/>
      <c r="H743" s="78"/>
      <c r="I743" s="78"/>
    </row>
    <row r="744" spans="1:9" x14ac:dyDescent="0.2">
      <c r="A744" s="78"/>
      <c r="B744" s="78"/>
      <c r="C744" s="78"/>
      <c r="D744" s="78"/>
      <c r="E744" s="78"/>
      <c r="F744" s="78"/>
      <c r="G744" s="78"/>
      <c r="H744" s="78"/>
      <c r="I744" s="78"/>
    </row>
    <row r="745" spans="1:9" x14ac:dyDescent="0.2">
      <c r="A745" s="78"/>
      <c r="B745" s="78"/>
      <c r="C745" s="78"/>
      <c r="D745" s="78"/>
      <c r="E745" s="78"/>
      <c r="F745" s="78"/>
      <c r="G745" s="78"/>
      <c r="H745" s="78"/>
      <c r="I745" s="78"/>
    </row>
    <row r="746" spans="1:9" x14ac:dyDescent="0.2">
      <c r="A746" s="78"/>
      <c r="B746" s="78"/>
      <c r="C746" s="78"/>
      <c r="D746" s="78"/>
      <c r="E746" s="78"/>
      <c r="F746" s="78"/>
      <c r="G746" s="78"/>
      <c r="H746" s="78"/>
      <c r="I746" s="78"/>
    </row>
    <row r="747" spans="1:9" x14ac:dyDescent="0.2">
      <c r="A747" s="78"/>
      <c r="B747" s="78"/>
      <c r="C747" s="78"/>
      <c r="D747" s="78"/>
      <c r="E747" s="78"/>
      <c r="F747" s="78"/>
      <c r="G747" s="78"/>
      <c r="H747" s="78"/>
      <c r="I747" s="78"/>
    </row>
    <row r="748" spans="1:9" x14ac:dyDescent="0.2">
      <c r="A748" s="78"/>
      <c r="B748" s="78"/>
      <c r="C748" s="78"/>
      <c r="D748" s="78"/>
      <c r="E748" s="78"/>
      <c r="F748" s="78"/>
      <c r="G748" s="78"/>
      <c r="H748" s="78"/>
      <c r="I748" s="78"/>
    </row>
    <row r="749" spans="1:9" x14ac:dyDescent="0.2">
      <c r="A749" s="78"/>
      <c r="B749" s="78"/>
      <c r="C749" s="78"/>
      <c r="D749" s="78"/>
      <c r="E749" s="78"/>
      <c r="F749" s="78"/>
      <c r="G749" s="78"/>
      <c r="H749" s="78"/>
      <c r="I749" s="78"/>
    </row>
    <row r="750" spans="1:9" x14ac:dyDescent="0.2">
      <c r="A750" s="78"/>
      <c r="B750" s="78"/>
      <c r="C750" s="78"/>
      <c r="D750" s="78"/>
      <c r="E750" s="78"/>
      <c r="F750" s="78"/>
      <c r="G750" s="78"/>
      <c r="H750" s="78"/>
      <c r="I750" s="78"/>
    </row>
    <row r="751" spans="1:9" x14ac:dyDescent="0.2">
      <c r="A751" s="78"/>
      <c r="B751" s="78"/>
      <c r="C751" s="78"/>
      <c r="D751" s="78"/>
      <c r="E751" s="78"/>
      <c r="F751" s="78"/>
      <c r="G751" s="78"/>
      <c r="H751" s="78"/>
      <c r="I751" s="78"/>
    </row>
    <row r="752" spans="1:9" x14ac:dyDescent="0.2">
      <c r="A752" s="78"/>
      <c r="B752" s="78"/>
      <c r="C752" s="78"/>
      <c r="D752" s="78"/>
      <c r="E752" s="78"/>
      <c r="F752" s="78"/>
      <c r="G752" s="78"/>
      <c r="H752" s="78"/>
      <c r="I752" s="78"/>
    </row>
    <row r="753" spans="1:9" x14ac:dyDescent="0.2">
      <c r="A753" s="78"/>
      <c r="B753" s="78"/>
      <c r="C753" s="78"/>
      <c r="D753" s="78"/>
      <c r="E753" s="78"/>
      <c r="F753" s="78"/>
      <c r="G753" s="78"/>
      <c r="H753" s="78"/>
      <c r="I753" s="78"/>
    </row>
    <row r="754" spans="1:9" x14ac:dyDescent="0.2">
      <c r="A754" s="78"/>
      <c r="B754" s="78"/>
      <c r="C754" s="78"/>
      <c r="D754" s="78"/>
      <c r="E754" s="78"/>
      <c r="F754" s="78"/>
      <c r="G754" s="78"/>
      <c r="H754" s="78"/>
      <c r="I754" s="78"/>
    </row>
    <row r="755" spans="1:9" x14ac:dyDescent="0.2">
      <c r="A755" s="78"/>
      <c r="B755" s="78"/>
      <c r="C755" s="78"/>
      <c r="D755" s="78"/>
      <c r="E755" s="78"/>
      <c r="F755" s="78"/>
      <c r="G755" s="78"/>
      <c r="H755" s="78"/>
      <c r="I755" s="78"/>
    </row>
    <row r="756" spans="1:9" x14ac:dyDescent="0.2">
      <c r="A756" s="78"/>
      <c r="B756" s="78"/>
      <c r="C756" s="78"/>
      <c r="D756" s="78"/>
      <c r="E756" s="78"/>
      <c r="F756" s="78"/>
      <c r="G756" s="78"/>
      <c r="H756" s="78"/>
      <c r="I756" s="78"/>
    </row>
    <row r="757" spans="1:9" x14ac:dyDescent="0.2">
      <c r="A757" s="78"/>
      <c r="B757" s="78"/>
      <c r="C757" s="78"/>
      <c r="D757" s="78"/>
      <c r="E757" s="78"/>
      <c r="F757" s="78"/>
      <c r="G757" s="78"/>
      <c r="H757" s="78"/>
      <c r="I757" s="78"/>
    </row>
    <row r="758" spans="1:9" x14ac:dyDescent="0.2">
      <c r="A758" s="78"/>
      <c r="B758" s="78"/>
      <c r="C758" s="78"/>
      <c r="D758" s="78"/>
      <c r="E758" s="78"/>
      <c r="F758" s="78"/>
      <c r="G758" s="78"/>
      <c r="H758" s="78"/>
      <c r="I758" s="78"/>
    </row>
    <row r="759" spans="1:9" x14ac:dyDescent="0.2">
      <c r="A759" s="78"/>
      <c r="B759" s="78"/>
      <c r="C759" s="78"/>
      <c r="D759" s="78"/>
      <c r="E759" s="78"/>
      <c r="F759" s="78"/>
      <c r="G759" s="78"/>
      <c r="H759" s="78"/>
      <c r="I759" s="78"/>
    </row>
    <row r="760" spans="1:9" x14ac:dyDescent="0.2">
      <c r="A760" s="78"/>
      <c r="B760" s="78"/>
      <c r="C760" s="78"/>
      <c r="D760" s="78"/>
      <c r="E760" s="78"/>
      <c r="F760" s="78"/>
      <c r="G760" s="78"/>
      <c r="H760" s="78"/>
      <c r="I760" s="78"/>
    </row>
    <row r="761" spans="1:9" x14ac:dyDescent="0.2">
      <c r="A761" s="78"/>
      <c r="B761" s="78"/>
      <c r="C761" s="78"/>
      <c r="D761" s="78"/>
      <c r="E761" s="78"/>
      <c r="F761" s="78"/>
      <c r="G761" s="78"/>
      <c r="H761" s="78"/>
      <c r="I761" s="78"/>
    </row>
    <row r="762" spans="1:9" x14ac:dyDescent="0.2">
      <c r="A762" s="78"/>
      <c r="B762" s="78"/>
      <c r="C762" s="78"/>
      <c r="D762" s="78"/>
      <c r="E762" s="78"/>
      <c r="F762" s="78"/>
      <c r="G762" s="78"/>
      <c r="H762" s="78"/>
      <c r="I762" s="78"/>
    </row>
    <row r="763" spans="1:9" x14ac:dyDescent="0.2">
      <c r="A763" s="78"/>
      <c r="B763" s="78"/>
      <c r="C763" s="78"/>
      <c r="D763" s="78"/>
      <c r="E763" s="78"/>
      <c r="F763" s="78"/>
      <c r="G763" s="78"/>
      <c r="H763" s="78"/>
      <c r="I763" s="78"/>
    </row>
    <row r="764" spans="1:9" x14ac:dyDescent="0.2">
      <c r="A764" s="78"/>
      <c r="B764" s="78"/>
      <c r="C764" s="78"/>
      <c r="D764" s="78"/>
      <c r="E764" s="78"/>
      <c r="F764" s="78"/>
      <c r="G764" s="78"/>
      <c r="H764" s="78"/>
      <c r="I764" s="78"/>
    </row>
    <row r="765" spans="1:9" x14ac:dyDescent="0.2">
      <c r="A765" s="78"/>
      <c r="B765" s="78"/>
      <c r="C765" s="78"/>
      <c r="D765" s="78"/>
      <c r="E765" s="78"/>
      <c r="F765" s="78"/>
      <c r="G765" s="78"/>
      <c r="H765" s="78"/>
      <c r="I765" s="78"/>
    </row>
    <row r="766" spans="1:9" x14ac:dyDescent="0.2">
      <c r="A766" s="78"/>
      <c r="B766" s="78"/>
      <c r="C766" s="78"/>
      <c r="D766" s="78"/>
      <c r="E766" s="78"/>
      <c r="F766" s="78"/>
      <c r="G766" s="78"/>
      <c r="H766" s="78"/>
      <c r="I766" s="78"/>
    </row>
    <row r="767" spans="1:9" x14ac:dyDescent="0.2">
      <c r="A767" s="78"/>
      <c r="B767" s="78"/>
      <c r="C767" s="78"/>
      <c r="D767" s="78"/>
      <c r="E767" s="78"/>
      <c r="F767" s="78"/>
      <c r="G767" s="78"/>
      <c r="H767" s="78"/>
      <c r="I767" s="78"/>
    </row>
    <row r="768" spans="1:9" x14ac:dyDescent="0.2">
      <c r="A768" s="78"/>
      <c r="B768" s="78"/>
      <c r="C768" s="78"/>
      <c r="D768" s="78"/>
      <c r="E768" s="78"/>
      <c r="F768" s="78"/>
      <c r="G768" s="78"/>
      <c r="H768" s="78"/>
      <c r="I768" s="78"/>
    </row>
    <row r="769" spans="1:9" x14ac:dyDescent="0.2">
      <c r="A769" s="78"/>
      <c r="B769" s="78"/>
      <c r="C769" s="78"/>
      <c r="D769" s="78"/>
      <c r="E769" s="78"/>
      <c r="F769" s="78"/>
      <c r="G769" s="78"/>
      <c r="H769" s="78"/>
      <c r="I769" s="78"/>
    </row>
    <row r="770" spans="1:9" x14ac:dyDescent="0.2">
      <c r="A770" s="78"/>
      <c r="B770" s="78"/>
      <c r="C770" s="78"/>
      <c r="D770" s="78"/>
      <c r="E770" s="78"/>
      <c r="F770" s="78"/>
      <c r="G770" s="78"/>
      <c r="H770" s="78"/>
      <c r="I770" s="78"/>
    </row>
    <row r="771" spans="1:9" x14ac:dyDescent="0.2">
      <c r="A771" s="78"/>
      <c r="B771" s="78"/>
      <c r="C771" s="78"/>
      <c r="D771" s="78"/>
      <c r="E771" s="78"/>
      <c r="F771" s="78"/>
      <c r="G771" s="78"/>
      <c r="H771" s="78"/>
      <c r="I771" s="78"/>
    </row>
    <row r="772" spans="1:9" x14ac:dyDescent="0.2">
      <c r="A772" s="78"/>
      <c r="B772" s="78"/>
      <c r="C772" s="78"/>
      <c r="D772" s="78"/>
      <c r="E772" s="78"/>
      <c r="F772" s="78"/>
      <c r="G772" s="78"/>
      <c r="H772" s="78"/>
      <c r="I772" s="78"/>
    </row>
    <row r="773" spans="1:9" x14ac:dyDescent="0.2">
      <c r="A773" s="78"/>
      <c r="B773" s="78"/>
      <c r="C773" s="78"/>
      <c r="D773" s="78"/>
      <c r="E773" s="78"/>
      <c r="F773" s="78"/>
      <c r="G773" s="78"/>
      <c r="H773" s="78"/>
      <c r="I773" s="78"/>
    </row>
    <row r="774" spans="1:9" x14ac:dyDescent="0.2">
      <c r="A774" s="78"/>
      <c r="B774" s="78"/>
      <c r="C774" s="78"/>
      <c r="D774" s="78"/>
      <c r="E774" s="78"/>
      <c r="F774" s="78"/>
      <c r="G774" s="78"/>
      <c r="H774" s="78"/>
      <c r="I774" s="78"/>
    </row>
    <row r="775" spans="1:9" x14ac:dyDescent="0.2">
      <c r="A775" s="78"/>
      <c r="B775" s="78"/>
      <c r="C775" s="78"/>
      <c r="D775" s="78"/>
      <c r="E775" s="78"/>
      <c r="F775" s="78"/>
      <c r="G775" s="78"/>
      <c r="H775" s="78"/>
      <c r="I775" s="78"/>
    </row>
    <row r="776" spans="1:9" x14ac:dyDescent="0.2">
      <c r="A776" s="78"/>
      <c r="B776" s="78"/>
      <c r="C776" s="78"/>
      <c r="D776" s="78"/>
      <c r="E776" s="78"/>
      <c r="F776" s="78"/>
      <c r="G776" s="78"/>
      <c r="H776" s="78"/>
      <c r="I776" s="78"/>
    </row>
    <row r="777" spans="1:9" x14ac:dyDescent="0.2">
      <c r="A777" s="78"/>
      <c r="B777" s="78"/>
      <c r="C777" s="78"/>
      <c r="D777" s="78"/>
      <c r="E777" s="78"/>
      <c r="F777" s="78"/>
      <c r="G777" s="78"/>
      <c r="H777" s="78"/>
      <c r="I777" s="78"/>
    </row>
    <row r="778" spans="1:9" x14ac:dyDescent="0.2">
      <c r="A778" s="78"/>
      <c r="B778" s="78"/>
      <c r="C778" s="78"/>
      <c r="D778" s="78"/>
      <c r="E778" s="78"/>
      <c r="F778" s="78"/>
      <c r="G778" s="78"/>
      <c r="H778" s="78"/>
      <c r="I778" s="78"/>
    </row>
    <row r="779" spans="1:9" x14ac:dyDescent="0.2">
      <c r="A779" s="78"/>
      <c r="B779" s="78"/>
      <c r="C779" s="78"/>
      <c r="D779" s="78"/>
      <c r="E779" s="78"/>
      <c r="F779" s="78"/>
      <c r="G779" s="78"/>
      <c r="H779" s="78"/>
      <c r="I779" s="78"/>
    </row>
    <row r="780" spans="1:9" x14ac:dyDescent="0.2">
      <c r="A780" s="78"/>
      <c r="B780" s="78"/>
      <c r="C780" s="78"/>
      <c r="D780" s="78"/>
      <c r="E780" s="78"/>
      <c r="F780" s="78"/>
      <c r="G780" s="78"/>
      <c r="H780" s="78"/>
      <c r="I780" s="78"/>
    </row>
    <row r="781" spans="1:9" x14ac:dyDescent="0.2">
      <c r="A781" s="78"/>
      <c r="B781" s="78"/>
      <c r="C781" s="78"/>
      <c r="D781" s="78"/>
      <c r="E781" s="78"/>
      <c r="F781" s="78"/>
      <c r="G781" s="78"/>
      <c r="H781" s="78"/>
      <c r="I781" s="78"/>
    </row>
    <row r="782" spans="1:9" x14ac:dyDescent="0.2">
      <c r="A782" s="78"/>
      <c r="B782" s="78"/>
      <c r="C782" s="78"/>
      <c r="D782" s="78"/>
      <c r="E782" s="78"/>
      <c r="F782" s="78"/>
      <c r="G782" s="78"/>
      <c r="H782" s="78"/>
      <c r="I782" s="78"/>
    </row>
    <row r="783" spans="1:9" x14ac:dyDescent="0.2">
      <c r="A783" s="78"/>
      <c r="B783" s="78"/>
      <c r="C783" s="78"/>
      <c r="D783" s="78"/>
      <c r="E783" s="78"/>
      <c r="F783" s="78"/>
      <c r="G783" s="78"/>
      <c r="H783" s="78"/>
      <c r="I783" s="78"/>
    </row>
    <row r="784" spans="1:9" x14ac:dyDescent="0.2">
      <c r="A784" s="78"/>
      <c r="B784" s="78"/>
      <c r="C784" s="78"/>
      <c r="D784" s="78"/>
      <c r="E784" s="78"/>
      <c r="F784" s="78"/>
      <c r="G784" s="78"/>
      <c r="H784" s="78"/>
      <c r="I784" s="78"/>
    </row>
    <row r="785" spans="1:9" x14ac:dyDescent="0.2">
      <c r="A785" s="78"/>
      <c r="B785" s="78"/>
      <c r="C785" s="78"/>
      <c r="D785" s="78"/>
      <c r="E785" s="78"/>
      <c r="F785" s="78"/>
      <c r="G785" s="78"/>
      <c r="H785" s="78"/>
      <c r="I785" s="78"/>
    </row>
    <row r="786" spans="1:9" x14ac:dyDescent="0.2">
      <c r="A786" s="78"/>
      <c r="B786" s="78"/>
      <c r="C786" s="78"/>
      <c r="D786" s="78"/>
      <c r="E786" s="78"/>
      <c r="F786" s="78"/>
      <c r="G786" s="78"/>
      <c r="H786" s="78"/>
      <c r="I786" s="78"/>
    </row>
    <row r="787" spans="1:9" x14ac:dyDescent="0.2">
      <c r="A787" s="78"/>
      <c r="B787" s="78"/>
      <c r="C787" s="78"/>
      <c r="D787" s="78"/>
      <c r="E787" s="78"/>
      <c r="F787" s="78"/>
      <c r="G787" s="78"/>
      <c r="H787" s="78"/>
      <c r="I787" s="78"/>
    </row>
    <row r="788" spans="1:9" x14ac:dyDescent="0.2">
      <c r="A788" s="78"/>
      <c r="B788" s="78"/>
      <c r="C788" s="78"/>
      <c r="D788" s="78"/>
      <c r="E788" s="78"/>
      <c r="F788" s="78"/>
      <c r="G788" s="78"/>
      <c r="H788" s="78"/>
      <c r="I788" s="78"/>
    </row>
    <row r="789" spans="1:9" x14ac:dyDescent="0.2">
      <c r="A789" s="78"/>
      <c r="B789" s="78"/>
      <c r="C789" s="78"/>
      <c r="D789" s="78"/>
      <c r="E789" s="78"/>
      <c r="F789" s="78"/>
      <c r="G789" s="78"/>
      <c r="H789" s="78"/>
      <c r="I789" s="78"/>
    </row>
    <row r="790" spans="1:9" x14ac:dyDescent="0.2">
      <c r="A790" s="78"/>
      <c r="B790" s="78"/>
      <c r="C790" s="78"/>
      <c r="D790" s="78"/>
      <c r="E790" s="78"/>
      <c r="F790" s="78"/>
      <c r="G790" s="78"/>
      <c r="H790" s="78"/>
      <c r="I790" s="78"/>
    </row>
    <row r="791" spans="1:9" x14ac:dyDescent="0.2">
      <c r="A791" s="78"/>
      <c r="B791" s="78"/>
      <c r="C791" s="78"/>
      <c r="D791" s="78"/>
      <c r="E791" s="78"/>
      <c r="F791" s="78"/>
      <c r="G791" s="78"/>
      <c r="H791" s="78"/>
      <c r="I791" s="78"/>
    </row>
    <row r="792" spans="1:9" x14ac:dyDescent="0.2">
      <c r="A792" s="78"/>
      <c r="B792" s="78"/>
      <c r="C792" s="78"/>
      <c r="D792" s="78"/>
      <c r="E792" s="78"/>
      <c r="F792" s="78"/>
      <c r="G792" s="78"/>
      <c r="H792" s="78"/>
      <c r="I792" s="78"/>
    </row>
    <row r="793" spans="1:9" x14ac:dyDescent="0.2">
      <c r="A793" s="78"/>
      <c r="B793" s="78"/>
      <c r="C793" s="78"/>
      <c r="D793" s="78"/>
      <c r="E793" s="78"/>
      <c r="F793" s="78"/>
      <c r="G793" s="78"/>
      <c r="H793" s="78"/>
      <c r="I793" s="78"/>
    </row>
    <row r="794" spans="1:9" x14ac:dyDescent="0.2">
      <c r="A794" s="78"/>
      <c r="B794" s="78"/>
      <c r="C794" s="78"/>
      <c r="D794" s="78"/>
      <c r="E794" s="78"/>
      <c r="F794" s="78"/>
      <c r="G794" s="78"/>
      <c r="H794" s="78"/>
      <c r="I794" s="78"/>
    </row>
    <row r="795" spans="1:9" x14ac:dyDescent="0.2">
      <c r="A795" s="78"/>
      <c r="B795" s="78"/>
      <c r="C795" s="78"/>
      <c r="D795" s="78"/>
      <c r="E795" s="78"/>
      <c r="F795" s="78"/>
      <c r="G795" s="78"/>
      <c r="H795" s="78"/>
      <c r="I795" s="78"/>
    </row>
    <row r="796" spans="1:9" x14ac:dyDescent="0.2">
      <c r="A796" s="78"/>
      <c r="B796" s="78"/>
      <c r="C796" s="78"/>
      <c r="D796" s="78"/>
      <c r="E796" s="78"/>
      <c r="F796" s="78"/>
      <c r="G796" s="78"/>
      <c r="H796" s="78"/>
      <c r="I796" s="78"/>
    </row>
    <row r="797" spans="1:9" x14ac:dyDescent="0.2">
      <c r="A797" s="78"/>
      <c r="B797" s="78"/>
      <c r="C797" s="78"/>
      <c r="D797" s="78"/>
      <c r="E797" s="78"/>
      <c r="F797" s="78"/>
      <c r="G797" s="78"/>
      <c r="H797" s="78"/>
      <c r="I797" s="78"/>
    </row>
    <row r="798" spans="1:9" x14ac:dyDescent="0.2">
      <c r="A798" s="78"/>
      <c r="B798" s="78"/>
      <c r="C798" s="78"/>
      <c r="D798" s="78"/>
      <c r="E798" s="78"/>
      <c r="F798" s="78"/>
      <c r="G798" s="78"/>
      <c r="H798" s="78"/>
      <c r="I798" s="78"/>
    </row>
    <row r="799" spans="1:9" x14ac:dyDescent="0.2">
      <c r="A799" s="78"/>
      <c r="B799" s="78"/>
      <c r="C799" s="78"/>
      <c r="D799" s="78"/>
      <c r="E799" s="78"/>
      <c r="F799" s="78"/>
      <c r="G799" s="78"/>
      <c r="H799" s="78"/>
      <c r="I799" s="78"/>
    </row>
    <row r="800" spans="1:9" x14ac:dyDescent="0.2">
      <c r="A800" s="78"/>
      <c r="B800" s="78"/>
      <c r="C800" s="78"/>
      <c r="D800" s="78"/>
      <c r="E800" s="78"/>
      <c r="F800" s="78"/>
      <c r="G800" s="78"/>
      <c r="H800" s="78"/>
      <c r="I800" s="78"/>
    </row>
    <row r="801" spans="1:9" x14ac:dyDescent="0.2">
      <c r="A801" s="78"/>
      <c r="B801" s="78"/>
      <c r="C801" s="78"/>
      <c r="D801" s="78"/>
      <c r="E801" s="78"/>
      <c r="F801" s="78"/>
      <c r="G801" s="78"/>
      <c r="H801" s="78"/>
      <c r="I801" s="78"/>
    </row>
    <row r="802" spans="1:9" x14ac:dyDescent="0.2">
      <c r="A802" s="78"/>
      <c r="B802" s="78"/>
      <c r="C802" s="78"/>
      <c r="D802" s="78"/>
      <c r="E802" s="78"/>
      <c r="F802" s="78"/>
      <c r="G802" s="78"/>
      <c r="H802" s="78"/>
      <c r="I802" s="78"/>
    </row>
    <row r="803" spans="1:9" x14ac:dyDescent="0.2">
      <c r="A803" s="78"/>
      <c r="B803" s="78"/>
      <c r="C803" s="78"/>
      <c r="D803" s="78"/>
      <c r="E803" s="78"/>
      <c r="F803" s="78"/>
      <c r="G803" s="78"/>
      <c r="H803" s="78"/>
      <c r="I803" s="78"/>
    </row>
    <row r="804" spans="1:9" x14ac:dyDescent="0.2">
      <c r="A804" s="78"/>
      <c r="B804" s="78"/>
      <c r="C804" s="78"/>
      <c r="D804" s="78"/>
      <c r="E804" s="78"/>
      <c r="F804" s="78"/>
      <c r="G804" s="78"/>
      <c r="H804" s="78"/>
      <c r="I804" s="78"/>
    </row>
    <row r="805" spans="1:9" x14ac:dyDescent="0.2">
      <c r="A805" s="78"/>
      <c r="B805" s="78"/>
      <c r="C805" s="78"/>
      <c r="D805" s="78"/>
      <c r="E805" s="78"/>
      <c r="F805" s="78"/>
      <c r="G805" s="78"/>
      <c r="H805" s="78"/>
      <c r="I805" s="78"/>
    </row>
    <row r="806" spans="1:9" x14ac:dyDescent="0.2">
      <c r="A806" s="78"/>
      <c r="B806" s="78"/>
      <c r="C806" s="78"/>
      <c r="D806" s="78"/>
      <c r="E806" s="78"/>
      <c r="F806" s="78"/>
      <c r="G806" s="78"/>
      <c r="H806" s="78"/>
      <c r="I806" s="78"/>
    </row>
    <row r="807" spans="1:9" x14ac:dyDescent="0.2">
      <c r="A807" s="78"/>
      <c r="B807" s="78"/>
      <c r="C807" s="78"/>
      <c r="D807" s="78"/>
      <c r="E807" s="78"/>
      <c r="F807" s="78"/>
      <c r="G807" s="78"/>
      <c r="H807" s="78"/>
      <c r="I807" s="78"/>
    </row>
    <row r="808" spans="1:9" x14ac:dyDescent="0.2">
      <c r="A808" s="78"/>
      <c r="B808" s="78"/>
      <c r="C808" s="78"/>
      <c r="D808" s="78"/>
      <c r="E808" s="78"/>
      <c r="F808" s="78"/>
      <c r="G808" s="78"/>
      <c r="H808" s="78"/>
      <c r="I808" s="78"/>
    </row>
    <row r="809" spans="1:9" x14ac:dyDescent="0.2">
      <c r="A809" s="78"/>
      <c r="B809" s="78"/>
      <c r="C809" s="78"/>
      <c r="D809" s="78"/>
      <c r="E809" s="78"/>
      <c r="F809" s="78"/>
      <c r="G809" s="78"/>
      <c r="H809" s="78"/>
      <c r="I809" s="78"/>
    </row>
    <row r="810" spans="1:9" x14ac:dyDescent="0.2">
      <c r="A810" s="78"/>
      <c r="B810" s="78"/>
      <c r="C810" s="78"/>
      <c r="D810" s="78"/>
      <c r="E810" s="78"/>
      <c r="F810" s="78"/>
      <c r="G810" s="78"/>
      <c r="H810" s="78"/>
      <c r="I810" s="78"/>
    </row>
    <row r="811" spans="1:9" x14ac:dyDescent="0.2">
      <c r="A811" s="78"/>
      <c r="B811" s="78"/>
      <c r="C811" s="78"/>
      <c r="D811" s="78"/>
      <c r="E811" s="78"/>
      <c r="F811" s="78"/>
      <c r="G811" s="78"/>
      <c r="H811" s="78"/>
      <c r="I811" s="78"/>
    </row>
    <row r="812" spans="1:9" x14ac:dyDescent="0.2">
      <c r="A812" s="78"/>
      <c r="B812" s="78"/>
      <c r="C812" s="78"/>
      <c r="D812" s="78"/>
      <c r="E812" s="78"/>
      <c r="F812" s="78"/>
      <c r="G812" s="78"/>
      <c r="H812" s="78"/>
      <c r="I812" s="78"/>
    </row>
    <row r="813" spans="1:9" x14ac:dyDescent="0.2">
      <c r="A813" s="78"/>
      <c r="B813" s="78"/>
      <c r="C813" s="78"/>
      <c r="D813" s="78"/>
      <c r="E813" s="78"/>
      <c r="F813" s="78"/>
      <c r="G813" s="78"/>
      <c r="H813" s="78"/>
      <c r="I813" s="78"/>
    </row>
    <row r="814" spans="1:9" x14ac:dyDescent="0.2">
      <c r="A814" s="78"/>
      <c r="B814" s="78"/>
      <c r="C814" s="78"/>
      <c r="D814" s="78"/>
      <c r="E814" s="78"/>
      <c r="F814" s="78"/>
      <c r="G814" s="78"/>
      <c r="H814" s="78"/>
      <c r="I814" s="78"/>
    </row>
    <row r="815" spans="1:9" x14ac:dyDescent="0.2">
      <c r="A815" s="78"/>
      <c r="B815" s="78"/>
      <c r="C815" s="78"/>
      <c r="D815" s="78"/>
      <c r="E815" s="78"/>
      <c r="F815" s="78"/>
      <c r="G815" s="78"/>
      <c r="H815" s="78"/>
      <c r="I815" s="78"/>
    </row>
    <row r="816" spans="1:9" x14ac:dyDescent="0.2">
      <c r="A816" s="78"/>
      <c r="B816" s="78"/>
      <c r="C816" s="78"/>
      <c r="D816" s="78"/>
      <c r="E816" s="78"/>
      <c r="F816" s="78"/>
      <c r="G816" s="78"/>
      <c r="H816" s="78"/>
      <c r="I816" s="78"/>
    </row>
    <row r="817" spans="1:9" x14ac:dyDescent="0.2">
      <c r="A817" s="78"/>
      <c r="B817" s="78"/>
      <c r="C817" s="78"/>
      <c r="D817" s="78"/>
      <c r="E817" s="78"/>
      <c r="F817" s="78"/>
      <c r="G817" s="78"/>
      <c r="H817" s="78"/>
      <c r="I817" s="78"/>
    </row>
    <row r="818" spans="1:9" x14ac:dyDescent="0.2">
      <c r="A818" s="78"/>
      <c r="B818" s="78"/>
      <c r="C818" s="78"/>
      <c r="D818" s="78"/>
      <c r="E818" s="78"/>
      <c r="F818" s="78"/>
      <c r="G818" s="78"/>
      <c r="H818" s="78"/>
      <c r="I818" s="78"/>
    </row>
    <row r="819" spans="1:9" x14ac:dyDescent="0.2">
      <c r="A819" s="78"/>
      <c r="B819" s="78"/>
      <c r="C819" s="78"/>
      <c r="D819" s="78"/>
      <c r="E819" s="78"/>
      <c r="F819" s="78"/>
      <c r="G819" s="78"/>
      <c r="H819" s="78"/>
      <c r="I819" s="78"/>
    </row>
    <row r="820" spans="1:9" x14ac:dyDescent="0.2">
      <c r="A820" s="78"/>
      <c r="B820" s="78"/>
      <c r="C820" s="78"/>
      <c r="D820" s="78"/>
      <c r="E820" s="78"/>
      <c r="F820" s="78"/>
      <c r="G820" s="78"/>
      <c r="H820" s="78"/>
      <c r="I820" s="78"/>
    </row>
    <row r="821" spans="1:9" x14ac:dyDescent="0.2">
      <c r="A821" s="78"/>
      <c r="B821" s="78"/>
      <c r="C821" s="78"/>
      <c r="D821" s="78"/>
      <c r="E821" s="78"/>
      <c r="F821" s="78"/>
      <c r="G821" s="78"/>
      <c r="H821" s="78"/>
      <c r="I821" s="78"/>
    </row>
    <row r="822" spans="1:9" x14ac:dyDescent="0.2">
      <c r="A822" s="78"/>
      <c r="B822" s="78"/>
      <c r="C822" s="78"/>
      <c r="D822" s="78"/>
      <c r="E822" s="78"/>
      <c r="F822" s="78"/>
      <c r="G822" s="78"/>
      <c r="H822" s="78"/>
      <c r="I822" s="78"/>
    </row>
    <row r="823" spans="1:9" x14ac:dyDescent="0.2">
      <c r="A823" s="78"/>
      <c r="B823" s="78"/>
      <c r="C823" s="78"/>
      <c r="D823" s="78"/>
      <c r="E823" s="78"/>
      <c r="F823" s="78"/>
      <c r="G823" s="78"/>
      <c r="H823" s="78"/>
      <c r="I823" s="78"/>
    </row>
    <row r="824" spans="1:9" x14ac:dyDescent="0.2">
      <c r="A824" s="78"/>
      <c r="B824" s="78"/>
      <c r="C824" s="78"/>
      <c r="D824" s="78"/>
      <c r="E824" s="78"/>
      <c r="F824" s="78"/>
      <c r="G824" s="78"/>
      <c r="H824" s="78"/>
      <c r="I824" s="78"/>
    </row>
    <row r="825" spans="1:9" x14ac:dyDescent="0.2">
      <c r="A825" s="78"/>
      <c r="B825" s="78"/>
      <c r="C825" s="78"/>
      <c r="D825" s="78"/>
      <c r="E825" s="78"/>
      <c r="F825" s="78"/>
      <c r="G825" s="78"/>
      <c r="H825" s="78"/>
      <c r="I825" s="78"/>
    </row>
    <row r="826" spans="1:9" x14ac:dyDescent="0.2">
      <c r="A826" s="78"/>
      <c r="B826" s="78"/>
      <c r="C826" s="78"/>
      <c r="D826" s="78"/>
      <c r="E826" s="78"/>
      <c r="F826" s="78"/>
      <c r="G826" s="78"/>
      <c r="H826" s="78"/>
      <c r="I826" s="78"/>
    </row>
    <row r="827" spans="1:9" x14ac:dyDescent="0.2">
      <c r="A827" s="78"/>
      <c r="B827" s="78"/>
      <c r="C827" s="78"/>
      <c r="D827" s="78"/>
      <c r="E827" s="78"/>
      <c r="F827" s="78"/>
      <c r="G827" s="78"/>
      <c r="H827" s="78"/>
      <c r="I827" s="78"/>
    </row>
    <row r="828" spans="1:9" x14ac:dyDescent="0.2">
      <c r="A828" s="78"/>
      <c r="B828" s="78"/>
      <c r="C828" s="78"/>
      <c r="D828" s="78"/>
      <c r="E828" s="78"/>
      <c r="F828" s="78"/>
      <c r="G828" s="78"/>
      <c r="H828" s="78"/>
      <c r="I828" s="78"/>
    </row>
    <row r="829" spans="1:9" x14ac:dyDescent="0.2">
      <c r="A829" s="78"/>
      <c r="B829" s="78"/>
      <c r="C829" s="78"/>
      <c r="D829" s="78"/>
      <c r="E829" s="78"/>
      <c r="F829" s="78"/>
      <c r="G829" s="78"/>
      <c r="H829" s="78"/>
      <c r="I829" s="78"/>
    </row>
    <row r="830" spans="1:9" x14ac:dyDescent="0.2">
      <c r="A830" s="78"/>
      <c r="B830" s="78"/>
      <c r="C830" s="78"/>
      <c r="D830" s="78"/>
      <c r="E830" s="78"/>
      <c r="F830" s="78"/>
      <c r="G830" s="78"/>
      <c r="H830" s="78"/>
      <c r="I830" s="78"/>
    </row>
    <row r="831" spans="1:9" x14ac:dyDescent="0.2">
      <c r="A831" s="78"/>
      <c r="B831" s="78"/>
      <c r="C831" s="78"/>
      <c r="D831" s="78"/>
      <c r="E831" s="78"/>
      <c r="F831" s="78"/>
      <c r="G831" s="78"/>
      <c r="H831" s="78"/>
      <c r="I831" s="78"/>
    </row>
    <row r="832" spans="1:9" x14ac:dyDescent="0.2">
      <c r="A832" s="78"/>
      <c r="B832" s="78"/>
      <c r="C832" s="78"/>
      <c r="D832" s="78"/>
      <c r="E832" s="78"/>
      <c r="F832" s="78"/>
      <c r="G832" s="78"/>
      <c r="H832" s="78"/>
      <c r="I832" s="78"/>
    </row>
    <row r="833" spans="1:9" x14ac:dyDescent="0.2">
      <c r="A833" s="78"/>
      <c r="B833" s="78"/>
      <c r="C833" s="78"/>
      <c r="D833" s="78"/>
      <c r="E833" s="78"/>
      <c r="F833" s="78"/>
      <c r="G833" s="78"/>
      <c r="H833" s="78"/>
      <c r="I833" s="78"/>
    </row>
    <row r="834" spans="1:9" x14ac:dyDescent="0.2">
      <c r="A834" s="78"/>
      <c r="B834" s="78"/>
      <c r="C834" s="78"/>
      <c r="D834" s="78"/>
      <c r="E834" s="78"/>
      <c r="F834" s="78"/>
      <c r="G834" s="78"/>
      <c r="H834" s="78"/>
      <c r="I834" s="78"/>
    </row>
    <row r="835" spans="1:9" x14ac:dyDescent="0.2">
      <c r="A835" s="78"/>
      <c r="B835" s="78"/>
      <c r="C835" s="78"/>
      <c r="D835" s="78"/>
      <c r="E835" s="78"/>
      <c r="F835" s="78"/>
      <c r="G835" s="78"/>
      <c r="H835" s="78"/>
      <c r="I835" s="78"/>
    </row>
    <row r="836" spans="1:9" x14ac:dyDescent="0.2">
      <c r="A836" s="78"/>
      <c r="B836" s="78"/>
      <c r="C836" s="78"/>
      <c r="D836" s="78"/>
      <c r="E836" s="78"/>
      <c r="F836" s="78"/>
      <c r="G836" s="78"/>
      <c r="H836" s="78"/>
      <c r="I836" s="78"/>
    </row>
    <row r="837" spans="1:9" x14ac:dyDescent="0.2">
      <c r="A837" s="78"/>
      <c r="B837" s="78"/>
      <c r="C837" s="78"/>
      <c r="D837" s="78"/>
      <c r="E837" s="78"/>
      <c r="F837" s="78"/>
      <c r="G837" s="78"/>
      <c r="H837" s="78"/>
      <c r="I837" s="78"/>
    </row>
    <row r="838" spans="1:9" x14ac:dyDescent="0.2">
      <c r="A838" s="78"/>
      <c r="B838" s="78"/>
      <c r="C838" s="78"/>
      <c r="D838" s="78"/>
      <c r="E838" s="78"/>
      <c r="F838" s="78"/>
      <c r="G838" s="78"/>
      <c r="H838" s="78"/>
      <c r="I838" s="78"/>
    </row>
    <row r="839" spans="1:9" x14ac:dyDescent="0.2">
      <c r="A839" s="78"/>
      <c r="B839" s="78"/>
      <c r="C839" s="78"/>
      <c r="D839" s="78"/>
      <c r="E839" s="78"/>
      <c r="F839" s="78"/>
      <c r="G839" s="78"/>
      <c r="H839" s="78"/>
      <c r="I839" s="78"/>
    </row>
    <row r="840" spans="1:9" x14ac:dyDescent="0.2">
      <c r="A840" s="78"/>
      <c r="B840" s="78"/>
      <c r="C840" s="78"/>
      <c r="D840" s="78"/>
      <c r="E840" s="78"/>
      <c r="F840" s="78"/>
      <c r="G840" s="78"/>
      <c r="H840" s="78"/>
      <c r="I840" s="78"/>
    </row>
    <row r="841" spans="1:9" x14ac:dyDescent="0.2">
      <c r="A841" s="78"/>
      <c r="B841" s="78"/>
      <c r="C841" s="78"/>
      <c r="D841" s="78"/>
      <c r="E841" s="78"/>
      <c r="F841" s="78"/>
      <c r="G841" s="78"/>
      <c r="H841" s="78"/>
      <c r="I841" s="78"/>
    </row>
    <row r="842" spans="1:9" x14ac:dyDescent="0.2">
      <c r="A842" s="78"/>
      <c r="B842" s="78"/>
      <c r="C842" s="78"/>
      <c r="D842" s="78"/>
      <c r="E842" s="78"/>
      <c r="F842" s="78"/>
      <c r="G842" s="78"/>
      <c r="H842" s="78"/>
      <c r="I842" s="78"/>
    </row>
    <row r="843" spans="1:9" x14ac:dyDescent="0.2">
      <c r="A843" s="78"/>
      <c r="B843" s="78"/>
      <c r="C843" s="78"/>
      <c r="D843" s="78"/>
      <c r="E843" s="78"/>
      <c r="F843" s="78"/>
      <c r="G843" s="78"/>
      <c r="H843" s="78"/>
      <c r="I843" s="78"/>
    </row>
    <row r="844" spans="1:9" x14ac:dyDescent="0.2">
      <c r="A844" s="78"/>
      <c r="B844" s="78"/>
      <c r="C844" s="78"/>
      <c r="D844" s="78"/>
      <c r="E844" s="78"/>
      <c r="F844" s="78"/>
      <c r="G844" s="78"/>
      <c r="H844" s="78"/>
      <c r="I844" s="78"/>
    </row>
    <row r="845" spans="1:9" x14ac:dyDescent="0.2">
      <c r="A845" s="78"/>
      <c r="B845" s="78"/>
      <c r="C845" s="78"/>
      <c r="D845" s="78"/>
      <c r="E845" s="78"/>
      <c r="F845" s="78"/>
      <c r="G845" s="78"/>
      <c r="H845" s="78"/>
      <c r="I845" s="78"/>
    </row>
    <row r="846" spans="1:9" x14ac:dyDescent="0.2">
      <c r="A846" s="78"/>
      <c r="B846" s="78"/>
      <c r="C846" s="78"/>
      <c r="D846" s="78"/>
      <c r="E846" s="78"/>
      <c r="F846" s="78"/>
      <c r="G846" s="78"/>
      <c r="H846" s="78"/>
      <c r="I846" s="78"/>
    </row>
    <row r="847" spans="1:9" x14ac:dyDescent="0.2">
      <c r="A847" s="78"/>
      <c r="B847" s="78"/>
      <c r="C847" s="78"/>
      <c r="D847" s="78"/>
      <c r="E847" s="78"/>
      <c r="F847" s="78"/>
      <c r="G847" s="78"/>
      <c r="H847" s="78"/>
      <c r="I847" s="78"/>
    </row>
    <row r="848" spans="1:9" x14ac:dyDescent="0.2">
      <c r="A848" s="78"/>
      <c r="B848" s="78"/>
      <c r="C848" s="78"/>
      <c r="D848" s="78"/>
      <c r="E848" s="78"/>
      <c r="F848" s="78"/>
      <c r="G848" s="78"/>
      <c r="H848" s="78"/>
      <c r="I848" s="78"/>
    </row>
    <row r="849" spans="1:9" x14ac:dyDescent="0.2">
      <c r="A849" s="78"/>
      <c r="B849" s="78"/>
      <c r="C849" s="78"/>
      <c r="D849" s="78"/>
      <c r="E849" s="78"/>
      <c r="F849" s="78"/>
      <c r="G849" s="78"/>
      <c r="H849" s="78"/>
      <c r="I849" s="78"/>
    </row>
    <row r="850" spans="1:9" x14ac:dyDescent="0.2">
      <c r="A850" s="78"/>
      <c r="B850" s="78"/>
      <c r="C850" s="78"/>
      <c r="D850" s="78"/>
      <c r="E850" s="78"/>
      <c r="F850" s="78"/>
      <c r="G850" s="78"/>
      <c r="H850" s="78"/>
      <c r="I850" s="78"/>
    </row>
    <row r="851" spans="1:9" x14ac:dyDescent="0.2">
      <c r="A851" s="78"/>
      <c r="B851" s="78"/>
      <c r="C851" s="78"/>
      <c r="D851" s="78"/>
      <c r="E851" s="78"/>
      <c r="F851" s="78"/>
      <c r="G851" s="78"/>
      <c r="H851" s="78"/>
      <c r="I851" s="78"/>
    </row>
    <row r="852" spans="1:9" x14ac:dyDescent="0.2">
      <c r="A852" s="78"/>
      <c r="B852" s="78"/>
      <c r="C852" s="78"/>
      <c r="D852" s="78"/>
      <c r="E852" s="78"/>
      <c r="F852" s="78"/>
      <c r="G852" s="78"/>
      <c r="H852" s="78"/>
      <c r="I852" s="78"/>
    </row>
    <row r="853" spans="1:9" x14ac:dyDescent="0.2">
      <c r="A853" s="78"/>
      <c r="B853" s="78"/>
      <c r="C853" s="78"/>
      <c r="D853" s="78"/>
      <c r="E853" s="78"/>
      <c r="F853" s="78"/>
      <c r="G853" s="78"/>
      <c r="H853" s="78"/>
      <c r="I853" s="78"/>
    </row>
    <row r="854" spans="1:9" x14ac:dyDescent="0.2">
      <c r="A854" s="78"/>
      <c r="B854" s="78"/>
      <c r="C854" s="78"/>
      <c r="D854" s="78"/>
      <c r="E854" s="78"/>
      <c r="F854" s="78"/>
      <c r="G854" s="78"/>
      <c r="H854" s="78"/>
      <c r="I854" s="78"/>
    </row>
    <row r="855" spans="1:9" x14ac:dyDescent="0.2">
      <c r="A855" s="78"/>
      <c r="B855" s="78"/>
      <c r="C855" s="78"/>
      <c r="D855" s="78"/>
      <c r="E855" s="78"/>
      <c r="F855" s="78"/>
      <c r="G855" s="78"/>
      <c r="H855" s="78"/>
      <c r="I855" s="78"/>
    </row>
    <row r="856" spans="1:9" x14ac:dyDescent="0.2">
      <c r="A856" s="78"/>
      <c r="B856" s="78"/>
      <c r="C856" s="78"/>
      <c r="D856" s="78"/>
      <c r="E856" s="78"/>
      <c r="F856" s="78"/>
      <c r="G856" s="78"/>
      <c r="H856" s="78"/>
      <c r="I856" s="78"/>
    </row>
    <row r="857" spans="1:9" x14ac:dyDescent="0.2">
      <c r="A857" s="78"/>
      <c r="B857" s="78"/>
      <c r="C857" s="78"/>
      <c r="D857" s="78"/>
      <c r="E857" s="78"/>
      <c r="F857" s="78"/>
      <c r="G857" s="78"/>
      <c r="H857" s="78"/>
      <c r="I857" s="78"/>
    </row>
    <row r="858" spans="1:9" x14ac:dyDescent="0.2">
      <c r="A858" s="78"/>
      <c r="B858" s="78"/>
      <c r="C858" s="78"/>
      <c r="D858" s="78"/>
      <c r="E858" s="78"/>
      <c r="F858" s="78"/>
      <c r="G858" s="78"/>
      <c r="H858" s="78"/>
      <c r="I858" s="78"/>
    </row>
    <row r="859" spans="1:9" x14ac:dyDescent="0.2">
      <c r="A859" s="78"/>
      <c r="B859" s="78"/>
      <c r="C859" s="78"/>
      <c r="D859" s="78"/>
      <c r="E859" s="78"/>
      <c r="F859" s="78"/>
      <c r="G859" s="78"/>
      <c r="H859" s="78"/>
      <c r="I859" s="78"/>
    </row>
    <row r="860" spans="1:9" x14ac:dyDescent="0.2">
      <c r="A860" s="78"/>
      <c r="B860" s="78"/>
      <c r="C860" s="78"/>
      <c r="D860" s="78"/>
      <c r="E860" s="78"/>
      <c r="F860" s="78"/>
      <c r="G860" s="78"/>
      <c r="H860" s="78"/>
      <c r="I860" s="78"/>
    </row>
    <row r="861" spans="1:9" x14ac:dyDescent="0.2">
      <c r="A861" s="78"/>
      <c r="B861" s="78"/>
      <c r="C861" s="78"/>
      <c r="D861" s="78"/>
      <c r="E861" s="78"/>
      <c r="F861" s="78"/>
      <c r="G861" s="78"/>
      <c r="H861" s="78"/>
      <c r="I861" s="78"/>
    </row>
    <row r="862" spans="1:9" x14ac:dyDescent="0.2">
      <c r="A862" s="78"/>
      <c r="B862" s="78"/>
      <c r="C862" s="78"/>
      <c r="D862" s="78"/>
      <c r="E862" s="78"/>
      <c r="F862" s="78"/>
      <c r="G862" s="78"/>
      <c r="H862" s="78"/>
      <c r="I862" s="78"/>
    </row>
    <row r="863" spans="1:9" x14ac:dyDescent="0.2">
      <c r="A863" s="78"/>
      <c r="B863" s="78"/>
      <c r="C863" s="78"/>
      <c r="D863" s="78"/>
      <c r="E863" s="78"/>
      <c r="F863" s="78"/>
      <c r="G863" s="78"/>
      <c r="H863" s="78"/>
      <c r="I863" s="78"/>
    </row>
    <row r="864" spans="1:9" x14ac:dyDescent="0.2">
      <c r="A864" s="78"/>
      <c r="B864" s="78"/>
      <c r="C864" s="78"/>
      <c r="D864" s="78"/>
      <c r="E864" s="78"/>
      <c r="F864" s="78"/>
      <c r="G864" s="78"/>
      <c r="H864" s="78"/>
      <c r="I864" s="78"/>
    </row>
    <row r="865" spans="1:9" x14ac:dyDescent="0.2">
      <c r="A865" s="78"/>
      <c r="B865" s="78"/>
      <c r="C865" s="78"/>
      <c r="D865" s="78"/>
      <c r="E865" s="78"/>
      <c r="F865" s="78"/>
      <c r="G865" s="78"/>
      <c r="H865" s="78"/>
      <c r="I865" s="78"/>
    </row>
    <row r="866" spans="1:9" x14ac:dyDescent="0.2">
      <c r="A866" s="78"/>
      <c r="B866" s="78"/>
      <c r="C866" s="78"/>
      <c r="D866" s="78"/>
      <c r="E866" s="78"/>
      <c r="F866" s="78"/>
      <c r="G866" s="78"/>
      <c r="H866" s="78"/>
      <c r="I866" s="78"/>
    </row>
    <row r="867" spans="1:9" x14ac:dyDescent="0.2">
      <c r="A867" s="78"/>
      <c r="B867" s="78"/>
      <c r="C867" s="78"/>
      <c r="D867" s="78"/>
      <c r="E867" s="78"/>
      <c r="F867" s="78"/>
      <c r="G867" s="78"/>
      <c r="H867" s="78"/>
      <c r="I867" s="78"/>
    </row>
    <row r="868" spans="1:9" x14ac:dyDescent="0.2">
      <c r="A868" s="78"/>
      <c r="B868" s="78"/>
      <c r="C868" s="78"/>
      <c r="D868" s="78"/>
      <c r="E868" s="78"/>
      <c r="F868" s="78"/>
      <c r="G868" s="78"/>
      <c r="H868" s="78"/>
      <c r="I868" s="78"/>
    </row>
    <row r="869" spans="1:9" x14ac:dyDescent="0.2">
      <c r="A869" s="78"/>
      <c r="B869" s="78"/>
      <c r="C869" s="78"/>
      <c r="D869" s="78"/>
      <c r="E869" s="78"/>
      <c r="F869" s="78"/>
      <c r="G869" s="78"/>
      <c r="H869" s="78"/>
      <c r="I869" s="78"/>
    </row>
    <row r="870" spans="1:9" x14ac:dyDescent="0.2">
      <c r="A870" s="78"/>
      <c r="B870" s="78"/>
      <c r="C870" s="78"/>
      <c r="D870" s="78"/>
      <c r="E870" s="78"/>
      <c r="F870" s="78"/>
      <c r="G870" s="78"/>
      <c r="H870" s="78"/>
      <c r="I870" s="78"/>
    </row>
    <row r="871" spans="1:9" x14ac:dyDescent="0.2">
      <c r="A871" s="78"/>
      <c r="B871" s="78"/>
      <c r="C871" s="78"/>
      <c r="D871" s="78"/>
      <c r="E871" s="78"/>
      <c r="F871" s="78"/>
      <c r="G871" s="78"/>
      <c r="H871" s="78"/>
      <c r="I871" s="78"/>
    </row>
    <row r="872" spans="1:9" x14ac:dyDescent="0.2">
      <c r="A872" s="78"/>
      <c r="B872" s="78"/>
      <c r="C872" s="78"/>
      <c r="D872" s="78"/>
      <c r="E872" s="78"/>
      <c r="F872" s="78"/>
      <c r="G872" s="78"/>
      <c r="H872" s="78"/>
      <c r="I872" s="78"/>
    </row>
    <row r="873" spans="1:9" x14ac:dyDescent="0.2">
      <c r="A873" s="78"/>
      <c r="B873" s="78"/>
      <c r="C873" s="78"/>
      <c r="D873" s="78"/>
      <c r="E873" s="78"/>
      <c r="F873" s="78"/>
      <c r="G873" s="78"/>
      <c r="H873" s="78"/>
      <c r="I873" s="78"/>
    </row>
    <row r="874" spans="1:9" x14ac:dyDescent="0.2">
      <c r="A874" s="78"/>
      <c r="B874" s="78"/>
      <c r="C874" s="78"/>
      <c r="D874" s="78"/>
      <c r="E874" s="78"/>
      <c r="F874" s="78"/>
      <c r="G874" s="78"/>
      <c r="H874" s="78"/>
      <c r="I874" s="78"/>
    </row>
    <row r="875" spans="1:9" x14ac:dyDescent="0.2">
      <c r="A875" s="78"/>
      <c r="B875" s="78"/>
      <c r="C875" s="78"/>
      <c r="D875" s="78"/>
      <c r="E875" s="78"/>
      <c r="F875" s="78"/>
      <c r="G875" s="78"/>
      <c r="H875" s="78"/>
      <c r="I875" s="78"/>
    </row>
    <row r="876" spans="1:9" x14ac:dyDescent="0.2">
      <c r="A876" s="78"/>
      <c r="B876" s="78"/>
      <c r="C876" s="78"/>
      <c r="D876" s="78"/>
      <c r="E876" s="78"/>
      <c r="F876" s="78"/>
      <c r="G876" s="78"/>
      <c r="H876" s="78"/>
      <c r="I876" s="78"/>
    </row>
    <row r="877" spans="1:9" x14ac:dyDescent="0.2">
      <c r="A877" s="78"/>
      <c r="B877" s="78"/>
      <c r="C877" s="78"/>
      <c r="D877" s="78"/>
      <c r="E877" s="78"/>
      <c r="F877" s="78"/>
      <c r="G877" s="78"/>
      <c r="H877" s="78"/>
      <c r="I877" s="78"/>
    </row>
    <row r="878" spans="1:9" x14ac:dyDescent="0.2">
      <c r="A878" s="78"/>
      <c r="B878" s="78"/>
      <c r="C878" s="78"/>
      <c r="D878" s="78"/>
      <c r="E878" s="78"/>
      <c r="F878" s="78"/>
      <c r="G878" s="78"/>
      <c r="H878" s="78"/>
      <c r="I878" s="78"/>
    </row>
    <row r="879" spans="1:9" x14ac:dyDescent="0.2">
      <c r="A879" s="78"/>
      <c r="B879" s="78"/>
      <c r="C879" s="78"/>
      <c r="D879" s="78"/>
      <c r="E879" s="78"/>
      <c r="F879" s="78"/>
      <c r="G879" s="78"/>
      <c r="H879" s="78"/>
      <c r="I879" s="78"/>
    </row>
    <row r="880" spans="1:9" x14ac:dyDescent="0.2">
      <c r="A880" s="78"/>
      <c r="B880" s="78"/>
      <c r="C880" s="78"/>
      <c r="D880" s="78"/>
      <c r="E880" s="78"/>
      <c r="F880" s="78"/>
      <c r="G880" s="78"/>
      <c r="H880" s="78"/>
      <c r="I880" s="78"/>
    </row>
    <row r="881" spans="1:9" x14ac:dyDescent="0.2">
      <c r="A881" s="78"/>
      <c r="B881" s="78"/>
      <c r="C881" s="78"/>
      <c r="D881" s="78"/>
      <c r="E881" s="78"/>
      <c r="F881" s="78"/>
      <c r="G881" s="78"/>
      <c r="H881" s="78"/>
      <c r="I881" s="78"/>
    </row>
    <row r="882" spans="1:9" x14ac:dyDescent="0.2">
      <c r="A882" s="78"/>
      <c r="B882" s="78"/>
      <c r="C882" s="78"/>
      <c r="D882" s="78"/>
      <c r="E882" s="78"/>
      <c r="F882" s="78"/>
      <c r="G882" s="78"/>
      <c r="H882" s="78"/>
      <c r="I882" s="78"/>
    </row>
    <row r="883" spans="1:9" x14ac:dyDescent="0.2">
      <c r="A883" s="78"/>
      <c r="B883" s="78"/>
      <c r="C883" s="78"/>
      <c r="D883" s="78"/>
      <c r="E883" s="78"/>
      <c r="F883" s="78"/>
      <c r="G883" s="78"/>
      <c r="H883" s="78"/>
      <c r="I883" s="78"/>
    </row>
    <row r="884" spans="1:9" x14ac:dyDescent="0.2">
      <c r="A884" s="78"/>
      <c r="B884" s="78"/>
      <c r="C884" s="78"/>
      <c r="D884" s="78"/>
      <c r="E884" s="78"/>
      <c r="F884" s="78"/>
      <c r="G884" s="78"/>
      <c r="H884" s="78"/>
      <c r="I884" s="78"/>
    </row>
    <row r="885" spans="1:9" x14ac:dyDescent="0.2">
      <c r="A885" s="78"/>
      <c r="B885" s="78"/>
      <c r="C885" s="78"/>
      <c r="D885" s="78"/>
      <c r="E885" s="78"/>
      <c r="F885" s="78"/>
      <c r="G885" s="78"/>
      <c r="H885" s="78"/>
      <c r="I885" s="78"/>
    </row>
    <row r="886" spans="1:9" x14ac:dyDescent="0.2">
      <c r="A886" s="78"/>
      <c r="B886" s="78"/>
      <c r="C886" s="78"/>
      <c r="D886" s="78"/>
      <c r="E886" s="78"/>
      <c r="F886" s="78"/>
      <c r="G886" s="78"/>
      <c r="H886" s="78"/>
      <c r="I886" s="78"/>
    </row>
    <row r="887" spans="1:9" x14ac:dyDescent="0.2">
      <c r="A887" s="78"/>
      <c r="B887" s="78"/>
      <c r="C887" s="78"/>
      <c r="D887" s="78"/>
      <c r="E887" s="78"/>
      <c r="F887" s="78"/>
      <c r="G887" s="78"/>
      <c r="H887" s="78"/>
      <c r="I887" s="78"/>
    </row>
    <row r="888" spans="1:9" x14ac:dyDescent="0.2">
      <c r="A888" s="78"/>
      <c r="B888" s="78"/>
      <c r="C888" s="78"/>
      <c r="D888" s="78"/>
      <c r="E888" s="78"/>
      <c r="F888" s="78"/>
      <c r="G888" s="78"/>
      <c r="H888" s="78"/>
      <c r="I888" s="78"/>
    </row>
    <row r="889" spans="1:9" x14ac:dyDescent="0.2">
      <c r="A889" s="78"/>
      <c r="B889" s="78"/>
      <c r="C889" s="78"/>
      <c r="D889" s="78"/>
      <c r="E889" s="78"/>
      <c r="F889" s="78"/>
      <c r="G889" s="78"/>
      <c r="H889" s="78"/>
      <c r="I889" s="78"/>
    </row>
    <row r="890" spans="1:9" x14ac:dyDescent="0.2">
      <c r="A890" s="78"/>
      <c r="B890" s="78"/>
      <c r="C890" s="78"/>
      <c r="D890" s="78"/>
      <c r="E890" s="78"/>
      <c r="F890" s="78"/>
      <c r="G890" s="78"/>
      <c r="H890" s="78"/>
      <c r="I890" s="78"/>
    </row>
    <row r="891" spans="1:9" x14ac:dyDescent="0.2">
      <c r="A891" s="78"/>
      <c r="B891" s="78"/>
      <c r="C891" s="78"/>
      <c r="D891" s="78"/>
      <c r="E891" s="78"/>
      <c r="F891" s="78"/>
      <c r="G891" s="78"/>
      <c r="H891" s="78"/>
      <c r="I891" s="78"/>
    </row>
    <row r="892" spans="1:9" x14ac:dyDescent="0.2">
      <c r="A892" s="78"/>
      <c r="B892" s="78"/>
      <c r="C892" s="78"/>
      <c r="D892" s="78"/>
      <c r="E892" s="78"/>
      <c r="F892" s="78"/>
      <c r="G892" s="78"/>
      <c r="H892" s="78"/>
      <c r="I892" s="78"/>
    </row>
    <row r="893" spans="1:9" x14ac:dyDescent="0.2">
      <c r="A893" s="78"/>
      <c r="B893" s="78"/>
      <c r="C893" s="78"/>
      <c r="D893" s="78"/>
      <c r="E893" s="78"/>
      <c r="F893" s="78"/>
      <c r="G893" s="78"/>
      <c r="H893" s="78"/>
      <c r="I893" s="78"/>
    </row>
    <row r="894" spans="1:9" x14ac:dyDescent="0.2">
      <c r="A894" s="78"/>
      <c r="B894" s="78"/>
      <c r="C894" s="78"/>
      <c r="D894" s="78"/>
      <c r="E894" s="78"/>
      <c r="F894" s="78"/>
      <c r="G894" s="78"/>
      <c r="H894" s="78"/>
      <c r="I894" s="78"/>
    </row>
    <row r="895" spans="1:9" x14ac:dyDescent="0.2">
      <c r="A895" s="78"/>
      <c r="B895" s="78"/>
      <c r="C895" s="78"/>
      <c r="D895" s="78"/>
      <c r="E895" s="78"/>
      <c r="F895" s="78"/>
      <c r="G895" s="78"/>
      <c r="H895" s="78"/>
      <c r="I895" s="78"/>
    </row>
    <row r="896" spans="1:9" x14ac:dyDescent="0.2">
      <c r="A896" s="78"/>
      <c r="B896" s="78"/>
      <c r="C896" s="78"/>
      <c r="D896" s="78"/>
      <c r="E896" s="78"/>
      <c r="F896" s="78"/>
      <c r="G896" s="78"/>
      <c r="H896" s="78"/>
      <c r="I896" s="78"/>
    </row>
    <row r="897" spans="1:9" x14ac:dyDescent="0.2">
      <c r="A897" s="78"/>
      <c r="B897" s="78"/>
      <c r="C897" s="78"/>
      <c r="D897" s="78"/>
      <c r="E897" s="78"/>
      <c r="F897" s="78"/>
      <c r="G897" s="78"/>
      <c r="H897" s="78"/>
      <c r="I897" s="78"/>
    </row>
    <row r="898" spans="1:9" x14ac:dyDescent="0.2">
      <c r="A898" s="78"/>
      <c r="B898" s="78"/>
      <c r="C898" s="78"/>
      <c r="D898" s="78"/>
      <c r="E898" s="78"/>
      <c r="F898" s="78"/>
      <c r="G898" s="78"/>
      <c r="H898" s="78"/>
      <c r="I898" s="78"/>
    </row>
    <row r="899" spans="1:9" x14ac:dyDescent="0.2">
      <c r="A899" s="78"/>
      <c r="B899" s="78"/>
      <c r="C899" s="78"/>
      <c r="D899" s="78"/>
      <c r="E899" s="78"/>
      <c r="F899" s="78"/>
      <c r="G899" s="78"/>
      <c r="H899" s="78"/>
      <c r="I899" s="78"/>
    </row>
    <row r="900" spans="1:9" x14ac:dyDescent="0.2">
      <c r="A900" s="78"/>
      <c r="B900" s="78"/>
      <c r="C900" s="78"/>
      <c r="D900" s="78"/>
      <c r="E900" s="78"/>
      <c r="F900" s="78"/>
      <c r="G900" s="78"/>
      <c r="H900" s="78"/>
      <c r="I900" s="78"/>
    </row>
    <row r="901" spans="1:9" x14ac:dyDescent="0.2">
      <c r="A901" s="78"/>
      <c r="B901" s="78"/>
      <c r="C901" s="78"/>
      <c r="D901" s="78"/>
      <c r="E901" s="78"/>
      <c r="F901" s="78"/>
      <c r="G901" s="78"/>
      <c r="H901" s="78"/>
      <c r="I901" s="78"/>
    </row>
    <row r="902" spans="1:9" x14ac:dyDescent="0.2">
      <c r="A902" s="78"/>
      <c r="B902" s="78"/>
      <c r="C902" s="78"/>
      <c r="D902" s="78"/>
      <c r="E902" s="78"/>
      <c r="F902" s="78"/>
      <c r="G902" s="78"/>
      <c r="H902" s="78"/>
      <c r="I902" s="78"/>
    </row>
    <row r="903" spans="1:9" x14ac:dyDescent="0.2">
      <c r="A903" s="78"/>
      <c r="B903" s="78"/>
      <c r="C903" s="78"/>
      <c r="D903" s="78"/>
      <c r="E903" s="78"/>
      <c r="F903" s="78"/>
      <c r="G903" s="78"/>
      <c r="H903" s="78"/>
      <c r="I903" s="78"/>
    </row>
    <row r="904" spans="1:9" x14ac:dyDescent="0.2">
      <c r="A904" s="78"/>
      <c r="B904" s="78"/>
      <c r="C904" s="78"/>
      <c r="D904" s="78"/>
      <c r="E904" s="78"/>
      <c r="F904" s="78"/>
      <c r="G904" s="78"/>
      <c r="H904" s="78"/>
      <c r="I904" s="78"/>
    </row>
    <row r="905" spans="1:9" x14ac:dyDescent="0.2">
      <c r="A905" s="78"/>
      <c r="B905" s="78"/>
      <c r="C905" s="78"/>
      <c r="D905" s="78"/>
      <c r="E905" s="78"/>
      <c r="F905" s="78"/>
      <c r="G905" s="78"/>
      <c r="H905" s="78"/>
      <c r="I905" s="78"/>
    </row>
    <row r="906" spans="1:9" x14ac:dyDescent="0.2">
      <c r="A906" s="78"/>
      <c r="B906" s="78"/>
      <c r="C906" s="78"/>
      <c r="D906" s="78"/>
      <c r="E906" s="78"/>
      <c r="F906" s="78"/>
      <c r="G906" s="78"/>
      <c r="H906" s="78"/>
      <c r="I906" s="78"/>
    </row>
    <row r="907" spans="1:9" x14ac:dyDescent="0.2">
      <c r="A907" s="78"/>
      <c r="B907" s="78"/>
      <c r="C907" s="78"/>
      <c r="D907" s="78"/>
      <c r="E907" s="78"/>
      <c r="F907" s="78"/>
      <c r="G907" s="78"/>
      <c r="H907" s="78"/>
      <c r="I907" s="78"/>
    </row>
    <row r="908" spans="1:9" x14ac:dyDescent="0.2">
      <c r="A908" s="78"/>
      <c r="B908" s="78"/>
      <c r="C908" s="78"/>
      <c r="D908" s="78"/>
      <c r="E908" s="78"/>
      <c r="F908" s="78"/>
      <c r="G908" s="78"/>
      <c r="H908" s="78"/>
      <c r="I908" s="78"/>
    </row>
    <row r="909" spans="1:9" x14ac:dyDescent="0.2">
      <c r="A909" s="78"/>
      <c r="B909" s="78"/>
      <c r="C909" s="78"/>
      <c r="D909" s="78"/>
      <c r="E909" s="78"/>
      <c r="F909" s="78"/>
      <c r="G909" s="78"/>
      <c r="H909" s="78"/>
      <c r="I909" s="78"/>
    </row>
    <row r="910" spans="1:9" x14ac:dyDescent="0.2">
      <c r="A910" s="78"/>
      <c r="B910" s="78"/>
      <c r="C910" s="78"/>
      <c r="D910" s="78"/>
      <c r="E910" s="78"/>
      <c r="F910" s="78"/>
      <c r="G910" s="78"/>
      <c r="H910" s="78"/>
      <c r="I910" s="78"/>
    </row>
    <row r="911" spans="1:9" x14ac:dyDescent="0.2">
      <c r="A911" s="78"/>
      <c r="B911" s="78"/>
      <c r="C911" s="78"/>
      <c r="D911" s="78"/>
      <c r="E911" s="78"/>
      <c r="F911" s="78"/>
      <c r="G911" s="78"/>
      <c r="H911" s="78"/>
      <c r="I911" s="78"/>
    </row>
    <row r="912" spans="1:9" x14ac:dyDescent="0.2">
      <c r="A912" s="78"/>
      <c r="B912" s="78"/>
      <c r="C912" s="78"/>
      <c r="D912" s="78"/>
      <c r="E912" s="78"/>
      <c r="F912" s="78"/>
      <c r="G912" s="78"/>
      <c r="H912" s="78"/>
      <c r="I912" s="78"/>
    </row>
    <row r="913" spans="1:9" x14ac:dyDescent="0.2">
      <c r="A913" s="78"/>
      <c r="B913" s="78"/>
      <c r="C913" s="78"/>
      <c r="D913" s="78"/>
      <c r="E913" s="78"/>
      <c r="F913" s="78"/>
      <c r="G913" s="78"/>
      <c r="H913" s="78"/>
      <c r="I913" s="78"/>
    </row>
    <row r="914" spans="1:9" x14ac:dyDescent="0.2">
      <c r="A914" s="78"/>
      <c r="B914" s="78"/>
      <c r="C914" s="78"/>
      <c r="D914" s="78"/>
      <c r="E914" s="78"/>
      <c r="F914" s="78"/>
      <c r="G914" s="78"/>
      <c r="H914" s="78"/>
      <c r="I914" s="78"/>
    </row>
    <row r="915" spans="1:9" x14ac:dyDescent="0.2">
      <c r="A915" s="78"/>
      <c r="B915" s="78"/>
      <c r="C915" s="78"/>
      <c r="D915" s="78"/>
      <c r="E915" s="78"/>
      <c r="F915" s="78"/>
      <c r="G915" s="78"/>
      <c r="H915" s="78"/>
      <c r="I915" s="78"/>
    </row>
    <row r="916" spans="1:9" x14ac:dyDescent="0.2">
      <c r="A916" s="78"/>
      <c r="B916" s="78"/>
      <c r="C916" s="78"/>
      <c r="D916" s="78"/>
      <c r="E916" s="78"/>
      <c r="F916" s="78"/>
      <c r="G916" s="78"/>
      <c r="H916" s="78"/>
      <c r="I916" s="78"/>
    </row>
    <row r="917" spans="1:9" x14ac:dyDescent="0.2">
      <c r="A917" s="78"/>
      <c r="B917" s="78"/>
      <c r="C917" s="78"/>
      <c r="D917" s="78"/>
      <c r="E917" s="78"/>
      <c r="F917" s="78"/>
      <c r="G917" s="78"/>
      <c r="H917" s="78"/>
      <c r="I917" s="78"/>
    </row>
    <row r="918" spans="1:9" x14ac:dyDescent="0.2">
      <c r="A918" s="78"/>
      <c r="B918" s="78"/>
      <c r="C918" s="78"/>
      <c r="D918" s="78"/>
      <c r="E918" s="78"/>
      <c r="F918" s="78"/>
      <c r="G918" s="78"/>
      <c r="H918" s="78"/>
      <c r="I918" s="78"/>
    </row>
    <row r="919" spans="1:9" x14ac:dyDescent="0.2">
      <c r="A919" s="78"/>
      <c r="B919" s="78"/>
      <c r="C919" s="78"/>
      <c r="D919" s="78"/>
      <c r="E919" s="78"/>
      <c r="F919" s="78"/>
      <c r="G919" s="78"/>
      <c r="H919" s="78"/>
      <c r="I919" s="78"/>
    </row>
    <row r="920" spans="1:9" x14ac:dyDescent="0.2">
      <c r="A920" s="78"/>
      <c r="B920" s="78"/>
      <c r="C920" s="78"/>
      <c r="D920" s="78"/>
      <c r="E920" s="78"/>
      <c r="F920" s="78"/>
      <c r="G920" s="78"/>
      <c r="H920" s="78"/>
      <c r="I920" s="78"/>
    </row>
    <row r="921" spans="1:9" x14ac:dyDescent="0.2">
      <c r="A921" s="78"/>
      <c r="B921" s="78"/>
      <c r="C921" s="78"/>
      <c r="D921" s="78"/>
      <c r="E921" s="78"/>
      <c r="F921" s="78"/>
      <c r="G921" s="78"/>
      <c r="H921" s="78"/>
      <c r="I921" s="78"/>
    </row>
    <row r="922" spans="1:9" x14ac:dyDescent="0.2">
      <c r="A922" s="78"/>
      <c r="B922" s="78"/>
      <c r="C922" s="78"/>
      <c r="D922" s="78"/>
      <c r="E922" s="78"/>
      <c r="F922" s="78"/>
      <c r="G922" s="78"/>
      <c r="H922" s="78"/>
      <c r="I922" s="78"/>
    </row>
    <row r="923" spans="1:9" x14ac:dyDescent="0.2">
      <c r="A923" s="78"/>
      <c r="B923" s="78"/>
      <c r="C923" s="78"/>
      <c r="D923" s="78"/>
      <c r="E923" s="78"/>
      <c r="F923" s="78"/>
      <c r="G923" s="78"/>
      <c r="H923" s="78"/>
      <c r="I923" s="78"/>
    </row>
    <row r="924" spans="1:9" x14ac:dyDescent="0.2">
      <c r="A924" s="78"/>
      <c r="B924" s="78"/>
      <c r="C924" s="78"/>
      <c r="D924" s="78"/>
      <c r="E924" s="78"/>
      <c r="F924" s="78"/>
      <c r="G924" s="78"/>
      <c r="H924" s="78"/>
      <c r="I924" s="78"/>
    </row>
    <row r="925" spans="1:9" x14ac:dyDescent="0.2">
      <c r="A925" s="78"/>
      <c r="B925" s="78"/>
      <c r="C925" s="78"/>
      <c r="D925" s="78"/>
      <c r="E925" s="78"/>
      <c r="F925" s="78"/>
      <c r="G925" s="78"/>
      <c r="H925" s="78"/>
      <c r="I925" s="78"/>
    </row>
    <row r="926" spans="1:9" x14ac:dyDescent="0.2">
      <c r="A926" s="78"/>
      <c r="B926" s="78"/>
      <c r="C926" s="78"/>
      <c r="D926" s="78"/>
      <c r="E926" s="78"/>
      <c r="F926" s="78"/>
      <c r="G926" s="78"/>
      <c r="H926" s="78"/>
      <c r="I926" s="78"/>
    </row>
    <row r="927" spans="1:9" x14ac:dyDescent="0.2">
      <c r="A927" s="78"/>
      <c r="B927" s="78"/>
      <c r="C927" s="78"/>
      <c r="D927" s="78"/>
      <c r="E927" s="78"/>
      <c r="F927" s="78"/>
      <c r="G927" s="78"/>
      <c r="H927" s="78"/>
      <c r="I927" s="78"/>
    </row>
    <row r="928" spans="1:9" x14ac:dyDescent="0.2">
      <c r="A928" s="78"/>
      <c r="B928" s="78"/>
      <c r="C928" s="78"/>
      <c r="D928" s="78"/>
      <c r="E928" s="78"/>
      <c r="F928" s="78"/>
      <c r="G928" s="78"/>
      <c r="H928" s="78"/>
      <c r="I928" s="78"/>
    </row>
    <row r="929" spans="1:9" x14ac:dyDescent="0.2">
      <c r="A929" s="78"/>
      <c r="B929" s="78"/>
      <c r="C929" s="78"/>
      <c r="D929" s="78"/>
      <c r="E929" s="78"/>
      <c r="F929" s="78"/>
      <c r="G929" s="78"/>
      <c r="H929" s="78"/>
      <c r="I929" s="78"/>
    </row>
    <row r="930" spans="1:9" x14ac:dyDescent="0.2">
      <c r="A930" s="78"/>
      <c r="B930" s="78"/>
      <c r="C930" s="78"/>
      <c r="D930" s="78"/>
      <c r="E930" s="78"/>
      <c r="F930" s="78"/>
      <c r="G930" s="78"/>
      <c r="H930" s="78"/>
      <c r="I930" s="78"/>
    </row>
    <row r="931" spans="1:9" x14ac:dyDescent="0.2">
      <c r="A931" s="78"/>
      <c r="B931" s="78"/>
      <c r="C931" s="78"/>
      <c r="D931" s="78"/>
      <c r="E931" s="78"/>
      <c r="F931" s="78"/>
      <c r="G931" s="78"/>
      <c r="H931" s="78"/>
      <c r="I931" s="78"/>
    </row>
    <row r="932" spans="1:9" x14ac:dyDescent="0.2">
      <c r="A932" s="78"/>
      <c r="B932" s="78"/>
      <c r="C932" s="78"/>
      <c r="D932" s="78"/>
      <c r="E932" s="78"/>
      <c r="F932" s="78"/>
      <c r="G932" s="78"/>
      <c r="H932" s="78"/>
      <c r="I932" s="78"/>
    </row>
    <row r="933" spans="1:9" x14ac:dyDescent="0.2">
      <c r="A933" s="78"/>
      <c r="B933" s="78"/>
      <c r="C933" s="78"/>
      <c r="D933" s="78"/>
      <c r="E933" s="78"/>
      <c r="F933" s="78"/>
      <c r="G933" s="78"/>
      <c r="H933" s="78"/>
      <c r="I933" s="78"/>
    </row>
    <row r="934" spans="1:9" x14ac:dyDescent="0.2">
      <c r="A934" s="78"/>
      <c r="B934" s="78"/>
      <c r="C934" s="78"/>
      <c r="D934" s="78"/>
      <c r="E934" s="78"/>
      <c r="F934" s="78"/>
      <c r="G934" s="78"/>
      <c r="H934" s="78"/>
      <c r="I934" s="78"/>
    </row>
    <row r="935" spans="1:9" x14ac:dyDescent="0.2">
      <c r="A935" s="78"/>
      <c r="B935" s="78"/>
      <c r="C935" s="78"/>
      <c r="D935" s="78"/>
      <c r="E935" s="78"/>
      <c r="F935" s="78"/>
      <c r="G935" s="78"/>
      <c r="H935" s="78"/>
      <c r="I935" s="78"/>
    </row>
    <row r="936" spans="1:9" x14ac:dyDescent="0.2">
      <c r="A936" s="78"/>
      <c r="B936" s="78"/>
      <c r="C936" s="78"/>
      <c r="D936" s="78"/>
      <c r="E936" s="78"/>
      <c r="F936" s="78"/>
      <c r="G936" s="78"/>
      <c r="H936" s="78"/>
      <c r="I936" s="78"/>
    </row>
    <row r="937" spans="1:9" x14ac:dyDescent="0.2">
      <c r="A937" s="78"/>
      <c r="B937" s="78"/>
      <c r="C937" s="78"/>
      <c r="D937" s="78"/>
      <c r="E937" s="78"/>
      <c r="F937" s="78"/>
      <c r="G937" s="78"/>
      <c r="H937" s="78"/>
      <c r="I937" s="78"/>
    </row>
    <row r="938" spans="1:9" x14ac:dyDescent="0.2">
      <c r="A938" s="78"/>
      <c r="B938" s="78"/>
      <c r="C938" s="78"/>
      <c r="D938" s="78"/>
      <c r="E938" s="78"/>
      <c r="F938" s="78"/>
      <c r="G938" s="78"/>
      <c r="H938" s="78"/>
      <c r="I938" s="78"/>
    </row>
    <row r="939" spans="1:9" x14ac:dyDescent="0.2">
      <c r="A939" s="78"/>
      <c r="B939" s="78"/>
      <c r="C939" s="78"/>
      <c r="D939" s="78"/>
      <c r="E939" s="78"/>
      <c r="F939" s="78"/>
      <c r="G939" s="78"/>
      <c r="H939" s="78"/>
      <c r="I939" s="78"/>
    </row>
    <row r="940" spans="1:9" x14ac:dyDescent="0.2">
      <c r="A940" s="78"/>
      <c r="B940" s="78"/>
      <c r="C940" s="78"/>
      <c r="D940" s="78"/>
      <c r="E940" s="78"/>
      <c r="F940" s="78"/>
      <c r="G940" s="78"/>
      <c r="H940" s="78"/>
      <c r="I940" s="78"/>
    </row>
    <row r="941" spans="1:9" x14ac:dyDescent="0.2">
      <c r="A941" s="78"/>
      <c r="B941" s="78"/>
      <c r="C941" s="78"/>
      <c r="D941" s="78"/>
      <c r="E941" s="78"/>
      <c r="F941" s="78"/>
      <c r="G941" s="78"/>
      <c r="H941" s="78"/>
      <c r="I941" s="78"/>
    </row>
    <row r="942" spans="1:9" x14ac:dyDescent="0.2">
      <c r="A942" s="78"/>
      <c r="B942" s="78"/>
      <c r="C942" s="78"/>
      <c r="D942" s="78"/>
      <c r="E942" s="78"/>
      <c r="F942" s="78"/>
      <c r="G942" s="78"/>
      <c r="H942" s="78"/>
      <c r="I942" s="78"/>
    </row>
    <row r="943" spans="1:9" x14ac:dyDescent="0.2">
      <c r="A943" s="78"/>
      <c r="B943" s="78"/>
      <c r="C943" s="78"/>
      <c r="D943" s="78"/>
      <c r="E943" s="78"/>
      <c r="F943" s="78"/>
      <c r="G943" s="78"/>
      <c r="H943" s="78"/>
      <c r="I943" s="78"/>
    </row>
    <row r="944" spans="1:9" x14ac:dyDescent="0.2">
      <c r="A944" s="78"/>
      <c r="B944" s="78"/>
      <c r="C944" s="78"/>
      <c r="D944" s="78"/>
      <c r="E944" s="78"/>
      <c r="F944" s="78"/>
      <c r="G944" s="78"/>
      <c r="H944" s="78"/>
      <c r="I944" s="78"/>
    </row>
    <row r="945" spans="1:9" x14ac:dyDescent="0.2">
      <c r="A945" s="78"/>
      <c r="B945" s="78"/>
      <c r="C945" s="78"/>
      <c r="D945" s="78"/>
      <c r="E945" s="78"/>
      <c r="F945" s="78"/>
      <c r="G945" s="78"/>
      <c r="H945" s="78"/>
      <c r="I945" s="78"/>
    </row>
    <row r="946" spans="1:9" x14ac:dyDescent="0.2">
      <c r="A946" s="78"/>
      <c r="B946" s="78"/>
      <c r="C946" s="78"/>
      <c r="D946" s="78"/>
      <c r="E946" s="78"/>
      <c r="F946" s="78"/>
      <c r="G946" s="78"/>
      <c r="H946" s="78"/>
      <c r="I946" s="78"/>
    </row>
    <row r="947" spans="1:9" x14ac:dyDescent="0.2">
      <c r="A947" s="78"/>
      <c r="B947" s="78"/>
      <c r="C947" s="78"/>
      <c r="D947" s="78"/>
      <c r="E947" s="78"/>
      <c r="F947" s="78"/>
      <c r="G947" s="78"/>
      <c r="H947" s="78"/>
      <c r="I947" s="78"/>
    </row>
    <row r="948" spans="1:9" x14ac:dyDescent="0.2">
      <c r="A948" s="78"/>
      <c r="B948" s="78"/>
      <c r="C948" s="78"/>
      <c r="D948" s="78"/>
      <c r="E948" s="78"/>
      <c r="F948" s="78"/>
      <c r="G948" s="78"/>
      <c r="H948" s="78"/>
      <c r="I948" s="78"/>
    </row>
    <row r="949" spans="1:9" x14ac:dyDescent="0.2">
      <c r="A949" s="78"/>
      <c r="B949" s="78"/>
      <c r="C949" s="78"/>
      <c r="D949" s="78"/>
      <c r="E949" s="78"/>
      <c r="F949" s="78"/>
      <c r="G949" s="78"/>
      <c r="H949" s="78"/>
      <c r="I949" s="78"/>
    </row>
    <row r="950" spans="1:9" x14ac:dyDescent="0.2">
      <c r="A950" s="78"/>
      <c r="B950" s="78"/>
      <c r="C950" s="78"/>
      <c r="D950" s="78"/>
      <c r="E950" s="78"/>
      <c r="F950" s="78"/>
      <c r="G950" s="78"/>
      <c r="H950" s="78"/>
      <c r="I950" s="78"/>
    </row>
    <row r="951" spans="1:9" x14ac:dyDescent="0.2">
      <c r="A951" s="78"/>
      <c r="B951" s="78"/>
      <c r="C951" s="78"/>
      <c r="D951" s="78"/>
      <c r="E951" s="78"/>
      <c r="F951" s="78"/>
      <c r="G951" s="78"/>
      <c r="H951" s="78"/>
      <c r="I951" s="78"/>
    </row>
    <row r="952" spans="1:9" x14ac:dyDescent="0.2">
      <c r="A952" s="78"/>
      <c r="B952" s="78"/>
      <c r="C952" s="78"/>
      <c r="D952" s="78"/>
      <c r="E952" s="78"/>
      <c r="F952" s="78"/>
      <c r="G952" s="78"/>
      <c r="H952" s="78"/>
      <c r="I952" s="78"/>
    </row>
    <row r="953" spans="1:9" x14ac:dyDescent="0.2">
      <c r="A953" s="78"/>
      <c r="B953" s="78"/>
      <c r="C953" s="78"/>
      <c r="D953" s="78"/>
      <c r="E953" s="78"/>
      <c r="F953" s="78"/>
      <c r="G953" s="78"/>
      <c r="H953" s="78"/>
      <c r="I953" s="78"/>
    </row>
    <row r="954" spans="1:9" x14ac:dyDescent="0.2">
      <c r="A954" s="78"/>
      <c r="B954" s="78"/>
      <c r="C954" s="78"/>
      <c r="D954" s="78"/>
      <c r="E954" s="78"/>
      <c r="F954" s="78"/>
      <c r="G954" s="78"/>
      <c r="H954" s="78"/>
      <c r="I954" s="78"/>
    </row>
    <row r="955" spans="1:9" x14ac:dyDescent="0.2">
      <c r="A955" s="78"/>
      <c r="B955" s="78"/>
      <c r="C955" s="78"/>
      <c r="D955" s="78"/>
      <c r="E955" s="78"/>
      <c r="F955" s="78"/>
      <c r="G955" s="78"/>
      <c r="H955" s="78"/>
      <c r="I955" s="78"/>
    </row>
    <row r="956" spans="1:9" x14ac:dyDescent="0.2">
      <c r="A956" s="78"/>
      <c r="B956" s="78"/>
      <c r="C956" s="78"/>
      <c r="D956" s="78"/>
      <c r="E956" s="78"/>
      <c r="F956" s="78"/>
      <c r="G956" s="78"/>
      <c r="H956" s="78"/>
      <c r="I956" s="78"/>
    </row>
    <row r="957" spans="1:9" x14ac:dyDescent="0.2">
      <c r="A957" s="78"/>
      <c r="B957" s="78"/>
      <c r="C957" s="78"/>
      <c r="D957" s="78"/>
      <c r="E957" s="78"/>
      <c r="F957" s="78"/>
      <c r="G957" s="78"/>
      <c r="H957" s="78"/>
      <c r="I957" s="78"/>
    </row>
    <row r="958" spans="1:9" x14ac:dyDescent="0.2">
      <c r="A958" s="78"/>
      <c r="B958" s="78"/>
      <c r="C958" s="78"/>
      <c r="D958" s="78"/>
      <c r="E958" s="78"/>
      <c r="F958" s="78"/>
      <c r="G958" s="78"/>
      <c r="H958" s="78"/>
      <c r="I958" s="78"/>
    </row>
    <row r="959" spans="1:9" x14ac:dyDescent="0.2">
      <c r="A959" s="78"/>
      <c r="B959" s="78"/>
      <c r="C959" s="78"/>
      <c r="D959" s="78"/>
      <c r="E959" s="78"/>
      <c r="F959" s="78"/>
      <c r="G959" s="78"/>
      <c r="H959" s="78"/>
      <c r="I959" s="78"/>
    </row>
    <row r="960" spans="1:9" x14ac:dyDescent="0.2">
      <c r="A960" s="78"/>
      <c r="B960" s="78"/>
      <c r="C960" s="78"/>
      <c r="D960" s="78"/>
      <c r="E960" s="78"/>
      <c r="F960" s="78"/>
      <c r="G960" s="78"/>
      <c r="H960" s="78"/>
      <c r="I960" s="78"/>
    </row>
    <row r="961" spans="1:9" x14ac:dyDescent="0.2">
      <c r="A961" s="78"/>
      <c r="B961" s="78"/>
      <c r="C961" s="78"/>
      <c r="D961" s="78"/>
      <c r="E961" s="78"/>
      <c r="F961" s="78"/>
      <c r="G961" s="78"/>
      <c r="H961" s="78"/>
      <c r="I961" s="78"/>
    </row>
    <row r="962" spans="1:9" x14ac:dyDescent="0.2">
      <c r="A962" s="78"/>
      <c r="B962" s="78"/>
      <c r="C962" s="78"/>
      <c r="D962" s="78"/>
      <c r="E962" s="78"/>
      <c r="F962" s="78"/>
      <c r="G962" s="78"/>
      <c r="H962" s="78"/>
      <c r="I962" s="78"/>
    </row>
    <row r="963" spans="1:9" x14ac:dyDescent="0.2">
      <c r="A963" s="78"/>
      <c r="B963" s="78"/>
      <c r="C963" s="78"/>
      <c r="D963" s="78"/>
      <c r="E963" s="78"/>
      <c r="F963" s="78"/>
      <c r="G963" s="78"/>
      <c r="H963" s="78"/>
      <c r="I963" s="78"/>
    </row>
    <row r="964" spans="1:9" x14ac:dyDescent="0.2">
      <c r="A964" s="78"/>
      <c r="B964" s="78"/>
      <c r="C964" s="78"/>
      <c r="D964" s="78"/>
      <c r="E964" s="78"/>
      <c r="F964" s="78"/>
      <c r="G964" s="78"/>
      <c r="H964" s="78"/>
      <c r="I964" s="78"/>
    </row>
    <row r="965" spans="1:9" x14ac:dyDescent="0.2">
      <c r="A965" s="78"/>
      <c r="B965" s="78"/>
      <c r="C965" s="78"/>
      <c r="D965" s="78"/>
      <c r="E965" s="78"/>
      <c r="F965" s="78"/>
      <c r="G965" s="78"/>
      <c r="H965" s="78"/>
      <c r="I965" s="78"/>
    </row>
    <row r="966" spans="1:9" x14ac:dyDescent="0.2">
      <c r="A966" s="78"/>
      <c r="B966" s="78"/>
      <c r="C966" s="78"/>
      <c r="D966" s="78"/>
      <c r="E966" s="78"/>
      <c r="F966" s="78"/>
      <c r="G966" s="78"/>
      <c r="H966" s="78"/>
      <c r="I966" s="78"/>
    </row>
    <row r="967" spans="1:9" x14ac:dyDescent="0.2">
      <c r="A967" s="78"/>
      <c r="B967" s="78"/>
      <c r="C967" s="78"/>
      <c r="D967" s="78"/>
      <c r="E967" s="78"/>
      <c r="F967" s="78"/>
      <c r="G967" s="78"/>
      <c r="H967" s="78"/>
      <c r="I967" s="78"/>
    </row>
    <row r="968" spans="1:9" x14ac:dyDescent="0.2">
      <c r="A968" s="78"/>
      <c r="B968" s="78"/>
      <c r="C968" s="78"/>
      <c r="D968" s="78"/>
      <c r="E968" s="78"/>
      <c r="F968" s="78"/>
      <c r="G968" s="78"/>
      <c r="H968" s="78"/>
      <c r="I968" s="78"/>
    </row>
    <row r="969" spans="1:9" x14ac:dyDescent="0.2">
      <c r="A969" s="78"/>
      <c r="B969" s="78"/>
      <c r="C969" s="78"/>
      <c r="D969" s="78"/>
      <c r="E969" s="78"/>
      <c r="F969" s="78"/>
      <c r="G969" s="78"/>
      <c r="H969" s="78"/>
      <c r="I969" s="78"/>
    </row>
    <row r="970" spans="1:9" x14ac:dyDescent="0.2">
      <c r="A970" s="78"/>
      <c r="B970" s="78"/>
      <c r="C970" s="78"/>
      <c r="D970" s="78"/>
      <c r="E970" s="78"/>
      <c r="F970" s="78"/>
      <c r="G970" s="78"/>
      <c r="H970" s="78"/>
      <c r="I970" s="78"/>
    </row>
    <row r="971" spans="1:9" x14ac:dyDescent="0.2">
      <c r="A971" s="78"/>
      <c r="B971" s="78"/>
      <c r="C971" s="78"/>
      <c r="D971" s="78"/>
      <c r="E971" s="78"/>
      <c r="F971" s="78"/>
      <c r="G971" s="78"/>
      <c r="H971" s="78"/>
      <c r="I971" s="78"/>
    </row>
    <row r="972" spans="1:9" x14ac:dyDescent="0.2">
      <c r="A972" s="78"/>
      <c r="B972" s="78"/>
      <c r="C972" s="78"/>
      <c r="D972" s="78"/>
      <c r="E972" s="78"/>
      <c r="F972" s="78"/>
      <c r="G972" s="78"/>
      <c r="H972" s="78"/>
      <c r="I972" s="78"/>
    </row>
    <row r="973" spans="1:9" x14ac:dyDescent="0.2">
      <c r="A973" s="78"/>
      <c r="B973" s="78"/>
      <c r="C973" s="78"/>
      <c r="D973" s="78"/>
      <c r="E973" s="78"/>
      <c r="F973" s="78"/>
      <c r="G973" s="78"/>
      <c r="H973" s="78"/>
      <c r="I973" s="78"/>
    </row>
    <row r="974" spans="1:9" x14ac:dyDescent="0.2">
      <c r="A974" s="78"/>
      <c r="B974" s="78"/>
      <c r="C974" s="78"/>
      <c r="D974" s="78"/>
      <c r="E974" s="78"/>
      <c r="F974" s="78"/>
      <c r="G974" s="78"/>
      <c r="H974" s="78"/>
      <c r="I974" s="78"/>
    </row>
    <row r="975" spans="1:9" x14ac:dyDescent="0.2">
      <c r="A975" s="78"/>
      <c r="B975" s="78"/>
      <c r="C975" s="78"/>
      <c r="D975" s="78"/>
      <c r="E975" s="78"/>
      <c r="F975" s="78"/>
      <c r="G975" s="78"/>
      <c r="H975" s="78"/>
      <c r="I975" s="78"/>
    </row>
    <row r="976" spans="1:9" x14ac:dyDescent="0.2">
      <c r="A976" s="78"/>
      <c r="B976" s="78"/>
      <c r="C976" s="78"/>
      <c r="D976" s="78"/>
      <c r="E976" s="78"/>
      <c r="F976" s="78"/>
      <c r="G976" s="78"/>
      <c r="H976" s="78"/>
      <c r="I976" s="78"/>
    </row>
    <row r="977" spans="1:9" x14ac:dyDescent="0.2">
      <c r="A977" s="78"/>
      <c r="B977" s="78"/>
      <c r="C977" s="78"/>
      <c r="D977" s="78"/>
      <c r="E977" s="78"/>
      <c r="F977" s="78"/>
      <c r="G977" s="78"/>
      <c r="H977" s="78"/>
      <c r="I977" s="78"/>
    </row>
    <row r="978" spans="1:9" x14ac:dyDescent="0.2">
      <c r="A978" s="78"/>
      <c r="B978" s="78"/>
      <c r="C978" s="78"/>
      <c r="D978" s="78"/>
      <c r="E978" s="78"/>
      <c r="F978" s="78"/>
      <c r="G978" s="78"/>
      <c r="H978" s="78"/>
      <c r="I978" s="78"/>
    </row>
    <row r="979" spans="1:9" x14ac:dyDescent="0.2">
      <c r="A979" s="78"/>
      <c r="B979" s="78"/>
      <c r="C979" s="78"/>
      <c r="D979" s="78"/>
      <c r="E979" s="78"/>
      <c r="F979" s="78"/>
      <c r="G979" s="78"/>
      <c r="H979" s="78"/>
      <c r="I979" s="78"/>
    </row>
    <row r="980" spans="1:9" x14ac:dyDescent="0.2">
      <c r="A980" s="78"/>
      <c r="B980" s="78"/>
      <c r="C980" s="78"/>
      <c r="D980" s="78"/>
      <c r="E980" s="78"/>
      <c r="F980" s="78"/>
      <c r="G980" s="78"/>
      <c r="H980" s="78"/>
      <c r="I980" s="78"/>
    </row>
    <row r="981" spans="1:9" x14ac:dyDescent="0.2">
      <c r="A981" s="78"/>
      <c r="B981" s="78"/>
      <c r="C981" s="78"/>
      <c r="D981" s="78"/>
      <c r="E981" s="78"/>
      <c r="F981" s="78"/>
      <c r="G981" s="78"/>
      <c r="H981" s="78"/>
      <c r="I981" s="78"/>
    </row>
    <row r="982" spans="1:9" x14ac:dyDescent="0.2">
      <c r="A982" s="78"/>
      <c r="B982" s="78"/>
      <c r="C982" s="78"/>
      <c r="D982" s="78"/>
      <c r="E982" s="78"/>
      <c r="F982" s="78"/>
      <c r="G982" s="78"/>
      <c r="H982" s="78"/>
      <c r="I982" s="78"/>
    </row>
    <row r="983" spans="1:9" x14ac:dyDescent="0.2">
      <c r="A983" s="78"/>
      <c r="B983" s="78"/>
      <c r="C983" s="78"/>
      <c r="D983" s="78"/>
      <c r="E983" s="78"/>
      <c r="F983" s="78"/>
      <c r="G983" s="78"/>
      <c r="H983" s="78"/>
      <c r="I983" s="78"/>
    </row>
    <row r="984" spans="1:9" x14ac:dyDescent="0.2">
      <c r="A984" s="78"/>
      <c r="B984" s="78"/>
      <c r="C984" s="78"/>
      <c r="D984" s="78"/>
      <c r="E984" s="78"/>
      <c r="F984" s="78"/>
      <c r="G984" s="78"/>
      <c r="H984" s="78"/>
      <c r="I984" s="78"/>
    </row>
    <row r="985" spans="1:9" x14ac:dyDescent="0.2">
      <c r="A985" s="78"/>
      <c r="B985" s="78"/>
      <c r="C985" s="78"/>
      <c r="D985" s="78"/>
      <c r="E985" s="78"/>
      <c r="F985" s="78"/>
      <c r="G985" s="78"/>
      <c r="H985" s="78"/>
      <c r="I985" s="78"/>
    </row>
    <row r="986" spans="1:9" x14ac:dyDescent="0.2">
      <c r="A986" s="78"/>
      <c r="B986" s="78"/>
      <c r="C986" s="78"/>
      <c r="D986" s="78"/>
      <c r="E986" s="78"/>
      <c r="F986" s="78"/>
      <c r="G986" s="78"/>
      <c r="H986" s="78"/>
      <c r="I986" s="78"/>
    </row>
    <row r="987" spans="1:9" x14ac:dyDescent="0.2">
      <c r="A987" s="78"/>
      <c r="B987" s="78"/>
      <c r="C987" s="78"/>
      <c r="D987" s="78"/>
      <c r="E987" s="78"/>
      <c r="F987" s="78"/>
      <c r="G987" s="78"/>
      <c r="H987" s="78"/>
      <c r="I987" s="78"/>
    </row>
    <row r="988" spans="1:9" x14ac:dyDescent="0.2">
      <c r="A988" s="78"/>
      <c r="B988" s="78"/>
      <c r="C988" s="78"/>
      <c r="D988" s="78"/>
      <c r="E988" s="78"/>
      <c r="F988" s="78"/>
      <c r="G988" s="78"/>
      <c r="H988" s="78"/>
      <c r="I988" s="78"/>
    </row>
    <row r="989" spans="1:9" x14ac:dyDescent="0.2">
      <c r="A989" s="78"/>
      <c r="B989" s="78"/>
      <c r="C989" s="78"/>
      <c r="D989" s="78"/>
      <c r="E989" s="78"/>
      <c r="F989" s="78"/>
      <c r="G989" s="78"/>
      <c r="H989" s="78"/>
      <c r="I989" s="78"/>
    </row>
    <row r="990" spans="1:9" x14ac:dyDescent="0.2">
      <c r="A990" s="78"/>
      <c r="B990" s="78"/>
      <c r="C990" s="78"/>
      <c r="D990" s="78"/>
      <c r="E990" s="78"/>
      <c r="F990" s="78"/>
      <c r="G990" s="78"/>
      <c r="H990" s="78"/>
      <c r="I990" s="78"/>
    </row>
    <row r="991" spans="1:9" x14ac:dyDescent="0.2">
      <c r="A991" s="78"/>
      <c r="B991" s="78"/>
      <c r="C991" s="78"/>
      <c r="D991" s="78"/>
      <c r="E991" s="78"/>
      <c r="F991" s="78"/>
      <c r="G991" s="78"/>
      <c r="H991" s="78"/>
      <c r="I991" s="78"/>
    </row>
    <row r="992" spans="1:9" x14ac:dyDescent="0.2">
      <c r="A992" s="78"/>
      <c r="B992" s="78"/>
      <c r="C992" s="78"/>
      <c r="D992" s="78"/>
      <c r="E992" s="78"/>
      <c r="F992" s="78"/>
      <c r="G992" s="78"/>
      <c r="H992" s="78"/>
      <c r="I992" s="78"/>
    </row>
    <row r="993" spans="1:9" x14ac:dyDescent="0.2">
      <c r="A993" s="78"/>
      <c r="B993" s="78"/>
      <c r="C993" s="78"/>
      <c r="D993" s="78"/>
      <c r="E993" s="78"/>
      <c r="F993" s="78"/>
      <c r="G993" s="78"/>
      <c r="H993" s="78"/>
      <c r="I993" s="78"/>
    </row>
    <row r="994" spans="1:9" x14ac:dyDescent="0.2">
      <c r="A994" s="78"/>
      <c r="B994" s="78"/>
      <c r="C994" s="78"/>
      <c r="D994" s="78"/>
      <c r="E994" s="78"/>
      <c r="F994" s="78"/>
      <c r="G994" s="78"/>
      <c r="H994" s="78"/>
      <c r="I994" s="78"/>
    </row>
    <row r="995" spans="1:9" x14ac:dyDescent="0.2">
      <c r="A995" s="78"/>
      <c r="B995" s="78"/>
      <c r="C995" s="78"/>
      <c r="D995" s="78"/>
      <c r="E995" s="78"/>
      <c r="F995" s="78"/>
      <c r="G995" s="78"/>
      <c r="H995" s="78"/>
      <c r="I995" s="78"/>
    </row>
    <row r="996" spans="1:9" x14ac:dyDescent="0.2">
      <c r="A996" s="78"/>
      <c r="B996" s="78"/>
      <c r="C996" s="78"/>
      <c r="D996" s="78"/>
      <c r="E996" s="78"/>
      <c r="F996" s="78"/>
      <c r="G996" s="78"/>
      <c r="H996" s="78"/>
      <c r="I996" s="78"/>
    </row>
    <row r="997" spans="1:9" x14ac:dyDescent="0.2">
      <c r="A997" s="78"/>
      <c r="B997" s="78"/>
      <c r="C997" s="78"/>
      <c r="D997" s="78"/>
      <c r="E997" s="78"/>
      <c r="F997" s="78"/>
      <c r="G997" s="78"/>
      <c r="H997" s="78"/>
      <c r="I997" s="78"/>
    </row>
    <row r="998" spans="1:9" x14ac:dyDescent="0.2">
      <c r="A998" s="78"/>
      <c r="B998" s="78"/>
      <c r="C998" s="78"/>
      <c r="D998" s="78"/>
      <c r="E998" s="78"/>
      <c r="F998" s="78"/>
      <c r="G998" s="78"/>
      <c r="H998" s="78"/>
      <c r="I998" s="78"/>
    </row>
    <row r="999" spans="1:9" x14ac:dyDescent="0.2">
      <c r="A999" s="78"/>
      <c r="B999" s="78"/>
      <c r="C999" s="78"/>
      <c r="D999" s="78"/>
      <c r="E999" s="78"/>
      <c r="F999" s="78"/>
      <c r="G999" s="78"/>
      <c r="H999" s="78"/>
      <c r="I999" s="78"/>
    </row>
    <row r="1000" spans="1:9" x14ac:dyDescent="0.2">
      <c r="A1000" s="78"/>
      <c r="B1000" s="78"/>
      <c r="C1000" s="78"/>
      <c r="D1000" s="78"/>
      <c r="E1000" s="78"/>
      <c r="F1000" s="78"/>
      <c r="G1000" s="78"/>
      <c r="H1000" s="78"/>
      <c r="I1000" s="78"/>
    </row>
    <row r="1001" spans="1:9" x14ac:dyDescent="0.2">
      <c r="A1001" s="78"/>
      <c r="B1001" s="78"/>
      <c r="C1001" s="78"/>
      <c r="D1001" s="78"/>
      <c r="E1001" s="78"/>
      <c r="F1001" s="78"/>
      <c r="G1001" s="78"/>
      <c r="H1001" s="78"/>
      <c r="I1001" s="78"/>
    </row>
    <row r="1002" spans="1:9" x14ac:dyDescent="0.2">
      <c r="A1002" s="78"/>
      <c r="B1002" s="78"/>
      <c r="C1002" s="78"/>
      <c r="D1002" s="78"/>
      <c r="E1002" s="78"/>
      <c r="F1002" s="78"/>
      <c r="G1002" s="78"/>
      <c r="H1002" s="78"/>
      <c r="I1002" s="78"/>
    </row>
    <row r="1003" spans="1:9" x14ac:dyDescent="0.2">
      <c r="A1003" s="78"/>
      <c r="B1003" s="78"/>
      <c r="C1003" s="78"/>
      <c r="D1003" s="78"/>
      <c r="E1003" s="78"/>
      <c r="F1003" s="78"/>
      <c r="G1003" s="78"/>
      <c r="H1003" s="78"/>
      <c r="I1003" s="78"/>
    </row>
    <row r="1004" spans="1:9" x14ac:dyDescent="0.2">
      <c r="A1004" s="78"/>
      <c r="B1004" s="78"/>
      <c r="C1004" s="78"/>
      <c r="D1004" s="78"/>
      <c r="E1004" s="78"/>
      <c r="F1004" s="78"/>
      <c r="G1004" s="78"/>
      <c r="H1004" s="78"/>
      <c r="I1004" s="78"/>
    </row>
    <row r="1005" spans="1:9" x14ac:dyDescent="0.2">
      <c r="A1005" s="78"/>
      <c r="B1005" s="78"/>
      <c r="C1005" s="78"/>
      <c r="D1005" s="78"/>
      <c r="E1005" s="78"/>
      <c r="F1005" s="78"/>
      <c r="G1005" s="78"/>
      <c r="H1005" s="78"/>
      <c r="I1005" s="78"/>
    </row>
    <row r="1006" spans="1:9" x14ac:dyDescent="0.2">
      <c r="A1006" s="78"/>
      <c r="B1006" s="78"/>
      <c r="C1006" s="78"/>
      <c r="D1006" s="78"/>
      <c r="E1006" s="78"/>
      <c r="F1006" s="78"/>
      <c r="G1006" s="78"/>
      <c r="H1006" s="78"/>
      <c r="I1006" s="78"/>
    </row>
    <row r="1007" spans="1:9" x14ac:dyDescent="0.2">
      <c r="A1007" s="78"/>
      <c r="B1007" s="78"/>
      <c r="C1007" s="78"/>
      <c r="D1007" s="78"/>
      <c r="E1007" s="78"/>
      <c r="F1007" s="78"/>
      <c r="G1007" s="78"/>
      <c r="H1007" s="78"/>
      <c r="I1007" s="78"/>
    </row>
    <row r="1008" spans="1:9" x14ac:dyDescent="0.2">
      <c r="A1008" s="78"/>
      <c r="B1008" s="78"/>
      <c r="C1008" s="78"/>
      <c r="D1008" s="78"/>
      <c r="E1008" s="78"/>
      <c r="F1008" s="78"/>
      <c r="G1008" s="78"/>
      <c r="H1008" s="78"/>
      <c r="I1008" s="78"/>
    </row>
    <row r="1009" spans="1:9" x14ac:dyDescent="0.2">
      <c r="A1009" s="78"/>
      <c r="B1009" s="78"/>
      <c r="C1009" s="78"/>
      <c r="D1009" s="78"/>
      <c r="E1009" s="78"/>
      <c r="F1009" s="78"/>
      <c r="G1009" s="78"/>
      <c r="H1009" s="78"/>
      <c r="I1009" s="78"/>
    </row>
    <row r="1010" spans="1:9" x14ac:dyDescent="0.2">
      <c r="A1010" s="78"/>
      <c r="B1010" s="78"/>
      <c r="C1010" s="78"/>
      <c r="D1010" s="78"/>
      <c r="E1010" s="78"/>
      <c r="F1010" s="78"/>
      <c r="G1010" s="78"/>
      <c r="H1010" s="78"/>
      <c r="I1010" s="78"/>
    </row>
    <row r="1011" spans="1:9" x14ac:dyDescent="0.2">
      <c r="A1011" s="78"/>
      <c r="B1011" s="78"/>
      <c r="C1011" s="78"/>
      <c r="D1011" s="78"/>
      <c r="E1011" s="78"/>
      <c r="F1011" s="78"/>
      <c r="G1011" s="78"/>
      <c r="H1011" s="78"/>
      <c r="I1011" s="78"/>
    </row>
    <row r="1012" spans="1:9" x14ac:dyDescent="0.2">
      <c r="A1012" s="78"/>
      <c r="B1012" s="78"/>
      <c r="C1012" s="78"/>
      <c r="D1012" s="78"/>
      <c r="E1012" s="78"/>
      <c r="F1012" s="78"/>
      <c r="G1012" s="78"/>
      <c r="H1012" s="78"/>
      <c r="I1012" s="78"/>
    </row>
    <row r="1013" spans="1:9" x14ac:dyDescent="0.2">
      <c r="A1013" s="78"/>
      <c r="B1013" s="78"/>
      <c r="C1013" s="78"/>
      <c r="D1013" s="78"/>
      <c r="E1013" s="78"/>
      <c r="F1013" s="78"/>
      <c r="G1013" s="78"/>
      <c r="H1013" s="78"/>
      <c r="I1013" s="78"/>
    </row>
    <row r="1014" spans="1:9" x14ac:dyDescent="0.2">
      <c r="A1014" s="78"/>
      <c r="B1014" s="78"/>
      <c r="C1014" s="78"/>
      <c r="D1014" s="78"/>
      <c r="E1014" s="78"/>
      <c r="F1014" s="78"/>
      <c r="G1014" s="78"/>
      <c r="H1014" s="78"/>
      <c r="I1014" s="78"/>
    </row>
    <row r="1015" spans="1:9" x14ac:dyDescent="0.2">
      <c r="A1015" s="78"/>
      <c r="B1015" s="78"/>
      <c r="C1015" s="78"/>
      <c r="D1015" s="78"/>
      <c r="E1015" s="78"/>
      <c r="F1015" s="78"/>
      <c r="G1015" s="78"/>
      <c r="H1015" s="78"/>
      <c r="I1015" s="78"/>
    </row>
    <row r="1016" spans="1:9" x14ac:dyDescent="0.2">
      <c r="A1016" s="78"/>
      <c r="B1016" s="78"/>
      <c r="C1016" s="78"/>
      <c r="D1016" s="78"/>
      <c r="E1016" s="78"/>
      <c r="F1016" s="78"/>
      <c r="G1016" s="78"/>
      <c r="H1016" s="78"/>
      <c r="I1016" s="78"/>
    </row>
    <row r="1017" spans="1:9" x14ac:dyDescent="0.2">
      <c r="A1017" s="78"/>
      <c r="B1017" s="78"/>
      <c r="C1017" s="78"/>
      <c r="D1017" s="78"/>
      <c r="E1017" s="78"/>
      <c r="F1017" s="78"/>
      <c r="G1017" s="78"/>
      <c r="H1017" s="78"/>
      <c r="I1017" s="78"/>
    </row>
    <row r="1018" spans="1:9" x14ac:dyDescent="0.2">
      <c r="A1018" s="78"/>
      <c r="B1018" s="78"/>
      <c r="C1018" s="78"/>
      <c r="D1018" s="78"/>
      <c r="E1018" s="78"/>
      <c r="F1018" s="78"/>
      <c r="G1018" s="78"/>
      <c r="H1018" s="78"/>
      <c r="I1018" s="78"/>
    </row>
    <row r="1019" spans="1:9" x14ac:dyDescent="0.2">
      <c r="A1019" s="78"/>
      <c r="B1019" s="78"/>
      <c r="C1019" s="78"/>
      <c r="D1019" s="78"/>
      <c r="E1019" s="78"/>
      <c r="F1019" s="78"/>
      <c r="G1019" s="78"/>
      <c r="H1019" s="78"/>
      <c r="I1019" s="78"/>
    </row>
    <row r="1020" spans="1:9" x14ac:dyDescent="0.2">
      <c r="A1020" s="78"/>
      <c r="B1020" s="78"/>
      <c r="C1020" s="78"/>
      <c r="D1020" s="78"/>
      <c r="E1020" s="78"/>
      <c r="F1020" s="78"/>
      <c r="G1020" s="78"/>
      <c r="H1020" s="78"/>
      <c r="I1020" s="78"/>
    </row>
    <row r="1021" spans="1:9" x14ac:dyDescent="0.2">
      <c r="A1021" s="78"/>
      <c r="B1021" s="78"/>
      <c r="C1021" s="78"/>
      <c r="D1021" s="78"/>
      <c r="E1021" s="78"/>
      <c r="F1021" s="78"/>
      <c r="G1021" s="78"/>
      <c r="H1021" s="78"/>
      <c r="I1021" s="78"/>
    </row>
    <row r="1022" spans="1:9" x14ac:dyDescent="0.2">
      <c r="A1022" s="78"/>
      <c r="B1022" s="78"/>
      <c r="C1022" s="78"/>
      <c r="D1022" s="78"/>
      <c r="E1022" s="78"/>
      <c r="F1022" s="78"/>
      <c r="G1022" s="78"/>
      <c r="H1022" s="78"/>
      <c r="I1022" s="78"/>
    </row>
    <row r="1023" spans="1:9" x14ac:dyDescent="0.2">
      <c r="A1023" s="78"/>
      <c r="B1023" s="78"/>
      <c r="C1023" s="78"/>
      <c r="D1023" s="78"/>
      <c r="E1023" s="78"/>
      <c r="F1023" s="78"/>
      <c r="G1023" s="78"/>
      <c r="H1023" s="78"/>
      <c r="I1023" s="78"/>
    </row>
    <row r="1024" spans="1:9" x14ac:dyDescent="0.2">
      <c r="A1024" s="78"/>
      <c r="B1024" s="78"/>
      <c r="C1024" s="78"/>
      <c r="D1024" s="78"/>
      <c r="E1024" s="78"/>
      <c r="F1024" s="78"/>
      <c r="G1024" s="78"/>
      <c r="H1024" s="78"/>
      <c r="I1024" s="78"/>
    </row>
    <row r="1025" spans="1:9" x14ac:dyDescent="0.2">
      <c r="A1025" s="78"/>
      <c r="B1025" s="78"/>
      <c r="C1025" s="78"/>
      <c r="D1025" s="78"/>
      <c r="E1025" s="78"/>
      <c r="F1025" s="78"/>
      <c r="G1025" s="78"/>
      <c r="H1025" s="78"/>
      <c r="I1025" s="78"/>
    </row>
    <row r="1026" spans="1:9" x14ac:dyDescent="0.2">
      <c r="A1026" s="78"/>
      <c r="B1026" s="78"/>
      <c r="C1026" s="78"/>
      <c r="D1026" s="78"/>
      <c r="E1026" s="78"/>
      <c r="F1026" s="78"/>
      <c r="G1026" s="78"/>
      <c r="H1026" s="78"/>
      <c r="I1026" s="78"/>
    </row>
    <row r="1027" spans="1:9" x14ac:dyDescent="0.2">
      <c r="A1027" s="78"/>
      <c r="B1027" s="78"/>
      <c r="C1027" s="78"/>
      <c r="D1027" s="78"/>
      <c r="E1027" s="78"/>
      <c r="F1027" s="78"/>
      <c r="G1027" s="78"/>
      <c r="H1027" s="78"/>
      <c r="I1027" s="78"/>
    </row>
    <row r="1028" spans="1:9" x14ac:dyDescent="0.2">
      <c r="A1028" s="78"/>
      <c r="B1028" s="78"/>
      <c r="C1028" s="78"/>
      <c r="D1028" s="78"/>
      <c r="E1028" s="78"/>
      <c r="F1028" s="78"/>
      <c r="G1028" s="78"/>
      <c r="H1028" s="78"/>
      <c r="I1028" s="78"/>
    </row>
    <row r="1029" spans="1:9" x14ac:dyDescent="0.2">
      <c r="A1029" s="78"/>
      <c r="B1029" s="78"/>
      <c r="C1029" s="78"/>
      <c r="D1029" s="78"/>
      <c r="E1029" s="78"/>
      <c r="F1029" s="78"/>
      <c r="G1029" s="78"/>
      <c r="H1029" s="78"/>
      <c r="I1029" s="78"/>
    </row>
    <row r="1030" spans="1:9" x14ac:dyDescent="0.2">
      <c r="A1030" s="78"/>
      <c r="B1030" s="78"/>
      <c r="C1030" s="78"/>
      <c r="D1030" s="78"/>
      <c r="E1030" s="78"/>
      <c r="F1030" s="78"/>
      <c r="G1030" s="78"/>
      <c r="H1030" s="78"/>
      <c r="I1030" s="78"/>
    </row>
    <row r="1031" spans="1:9" x14ac:dyDescent="0.2">
      <c r="A1031" s="78"/>
      <c r="B1031" s="78"/>
      <c r="C1031" s="78"/>
      <c r="D1031" s="78"/>
      <c r="E1031" s="78"/>
      <c r="F1031" s="78"/>
      <c r="G1031" s="78"/>
      <c r="H1031" s="78"/>
      <c r="I1031" s="78"/>
    </row>
    <row r="1032" spans="1:9" x14ac:dyDescent="0.2">
      <c r="A1032" s="78"/>
      <c r="B1032" s="78"/>
      <c r="C1032" s="78"/>
      <c r="D1032" s="78"/>
      <c r="E1032" s="78"/>
      <c r="F1032" s="78"/>
      <c r="G1032" s="78"/>
      <c r="H1032" s="78"/>
      <c r="I1032" s="78"/>
    </row>
    <row r="1033" spans="1:9" x14ac:dyDescent="0.2">
      <c r="A1033" s="78"/>
      <c r="B1033" s="78"/>
      <c r="C1033" s="78"/>
      <c r="D1033" s="78"/>
      <c r="E1033" s="78"/>
      <c r="F1033" s="78"/>
      <c r="G1033" s="78"/>
      <c r="H1033" s="78"/>
      <c r="I1033" s="78"/>
    </row>
    <row r="1034" spans="1:9" x14ac:dyDescent="0.2">
      <c r="A1034" s="78"/>
      <c r="B1034" s="78"/>
      <c r="C1034" s="78"/>
      <c r="D1034" s="78"/>
      <c r="E1034" s="78"/>
      <c r="F1034" s="78"/>
      <c r="G1034" s="78"/>
      <c r="H1034" s="78"/>
      <c r="I1034" s="78"/>
    </row>
    <row r="1035" spans="1:9" x14ac:dyDescent="0.2">
      <c r="A1035" s="78"/>
      <c r="B1035" s="78"/>
      <c r="C1035" s="78"/>
      <c r="D1035" s="78"/>
      <c r="E1035" s="78"/>
      <c r="F1035" s="78"/>
      <c r="G1035" s="78"/>
      <c r="H1035" s="78"/>
      <c r="I1035" s="78"/>
    </row>
    <row r="1036" spans="1:9" x14ac:dyDescent="0.2">
      <c r="A1036" s="78"/>
      <c r="B1036" s="78"/>
      <c r="C1036" s="78"/>
      <c r="D1036" s="78"/>
      <c r="E1036" s="78"/>
      <c r="F1036" s="78"/>
      <c r="G1036" s="78"/>
      <c r="H1036" s="78"/>
      <c r="I1036" s="78"/>
    </row>
    <row r="1037" spans="1:9" x14ac:dyDescent="0.2">
      <c r="A1037" s="78"/>
      <c r="B1037" s="78"/>
      <c r="C1037" s="78"/>
      <c r="D1037" s="78"/>
      <c r="E1037" s="78"/>
      <c r="F1037" s="78"/>
      <c r="G1037" s="78"/>
      <c r="H1037" s="78"/>
      <c r="I1037" s="78"/>
    </row>
    <row r="1038" spans="1:9" x14ac:dyDescent="0.2">
      <c r="A1038" s="78"/>
      <c r="B1038" s="78"/>
      <c r="C1038" s="78"/>
      <c r="D1038" s="78"/>
      <c r="E1038" s="78"/>
      <c r="F1038" s="78"/>
      <c r="G1038" s="78"/>
      <c r="H1038" s="78"/>
      <c r="I1038" s="78"/>
    </row>
    <row r="1039" spans="1:9" x14ac:dyDescent="0.2">
      <c r="A1039" s="78"/>
      <c r="B1039" s="78"/>
      <c r="C1039" s="78"/>
      <c r="D1039" s="78"/>
      <c r="E1039" s="78"/>
      <c r="F1039" s="78"/>
      <c r="G1039" s="78"/>
      <c r="H1039" s="78"/>
      <c r="I1039" s="78"/>
    </row>
    <row r="1040" spans="1:9" x14ac:dyDescent="0.2">
      <c r="A1040" s="78"/>
      <c r="B1040" s="78"/>
      <c r="C1040" s="78"/>
      <c r="D1040" s="78"/>
      <c r="E1040" s="78"/>
      <c r="F1040" s="78"/>
      <c r="G1040" s="78"/>
      <c r="H1040" s="78"/>
      <c r="I1040" s="78"/>
    </row>
    <row r="1041" spans="1:9" x14ac:dyDescent="0.2">
      <c r="A1041" s="78"/>
      <c r="B1041" s="78"/>
      <c r="C1041" s="78"/>
      <c r="D1041" s="78"/>
      <c r="E1041" s="78"/>
      <c r="F1041" s="78"/>
      <c r="G1041" s="78"/>
      <c r="H1041" s="78"/>
      <c r="I1041" s="78"/>
    </row>
    <row r="1042" spans="1:9" x14ac:dyDescent="0.2">
      <c r="A1042" s="78"/>
      <c r="B1042" s="78"/>
      <c r="C1042" s="78"/>
      <c r="D1042" s="78"/>
      <c r="E1042" s="78"/>
      <c r="F1042" s="78"/>
      <c r="G1042" s="78"/>
      <c r="H1042" s="78"/>
      <c r="I1042" s="78"/>
    </row>
    <row r="1043" spans="1:9" x14ac:dyDescent="0.2">
      <c r="A1043" s="78"/>
      <c r="B1043" s="78"/>
      <c r="C1043" s="78"/>
      <c r="D1043" s="78"/>
      <c r="E1043" s="78"/>
      <c r="F1043" s="78"/>
      <c r="G1043" s="78"/>
      <c r="H1043" s="78"/>
      <c r="I1043" s="78"/>
    </row>
    <row r="1044" spans="1:9" x14ac:dyDescent="0.2">
      <c r="A1044" s="78"/>
      <c r="B1044" s="78"/>
      <c r="C1044" s="78"/>
      <c r="D1044" s="78"/>
      <c r="E1044" s="78"/>
      <c r="F1044" s="78"/>
      <c r="G1044" s="78"/>
      <c r="H1044" s="78"/>
      <c r="I1044" s="78"/>
    </row>
    <row r="1045" spans="1:9" x14ac:dyDescent="0.2">
      <c r="A1045" s="78"/>
      <c r="B1045" s="78"/>
      <c r="C1045" s="78"/>
      <c r="D1045" s="78"/>
      <c r="E1045" s="78"/>
      <c r="F1045" s="78"/>
      <c r="G1045" s="78"/>
      <c r="H1045" s="78"/>
      <c r="I1045" s="78"/>
    </row>
    <row r="1046" spans="1:9" x14ac:dyDescent="0.2">
      <c r="A1046" s="78"/>
      <c r="B1046" s="78"/>
      <c r="C1046" s="78"/>
      <c r="D1046" s="78"/>
      <c r="E1046" s="78"/>
      <c r="F1046" s="78"/>
      <c r="G1046" s="78"/>
      <c r="H1046" s="78"/>
      <c r="I1046" s="78"/>
    </row>
    <row r="1047" spans="1:9" x14ac:dyDescent="0.2">
      <c r="A1047" s="78"/>
      <c r="B1047" s="78"/>
      <c r="C1047" s="78"/>
      <c r="D1047" s="78"/>
      <c r="E1047" s="78"/>
      <c r="F1047" s="78"/>
      <c r="G1047" s="78"/>
      <c r="H1047" s="78"/>
      <c r="I1047" s="78"/>
    </row>
    <row r="1048" spans="1:9" x14ac:dyDescent="0.2">
      <c r="A1048" s="78"/>
      <c r="B1048" s="78"/>
      <c r="C1048" s="78"/>
      <c r="D1048" s="78"/>
      <c r="E1048" s="78"/>
      <c r="F1048" s="78"/>
      <c r="G1048" s="78"/>
      <c r="H1048" s="78"/>
      <c r="I1048" s="78"/>
    </row>
    <row r="1049" spans="1:9" x14ac:dyDescent="0.2">
      <c r="A1049" s="78"/>
      <c r="B1049" s="78"/>
      <c r="C1049" s="78"/>
      <c r="D1049" s="78"/>
      <c r="E1049" s="78"/>
      <c r="F1049" s="78"/>
      <c r="G1049" s="78"/>
      <c r="H1049" s="78"/>
      <c r="I1049" s="78"/>
    </row>
    <row r="1050" spans="1:9" x14ac:dyDescent="0.2">
      <c r="A1050" s="78"/>
      <c r="B1050" s="78"/>
      <c r="C1050" s="78"/>
      <c r="D1050" s="78"/>
      <c r="E1050" s="78"/>
      <c r="F1050" s="78"/>
      <c r="G1050" s="78"/>
      <c r="H1050" s="78"/>
      <c r="I1050" s="78"/>
    </row>
    <row r="1051" spans="1:9" x14ac:dyDescent="0.2">
      <c r="A1051" s="78"/>
      <c r="B1051" s="78"/>
      <c r="C1051" s="78"/>
      <c r="D1051" s="78"/>
      <c r="E1051" s="78"/>
      <c r="F1051" s="78"/>
      <c r="G1051" s="78"/>
      <c r="H1051" s="78"/>
      <c r="I1051" s="78"/>
    </row>
    <row r="1052" spans="1:9" x14ac:dyDescent="0.2">
      <c r="A1052" s="78"/>
      <c r="B1052" s="78"/>
      <c r="C1052" s="78"/>
      <c r="D1052" s="78"/>
      <c r="E1052" s="78"/>
      <c r="F1052" s="78"/>
      <c r="G1052" s="78"/>
      <c r="H1052" s="78"/>
      <c r="I1052" s="78"/>
    </row>
    <row r="1053" spans="1:9" x14ac:dyDescent="0.2">
      <c r="A1053" s="78"/>
      <c r="B1053" s="78"/>
      <c r="C1053" s="78"/>
      <c r="D1053" s="78"/>
      <c r="E1053" s="78"/>
      <c r="F1053" s="78"/>
      <c r="G1053" s="78"/>
      <c r="H1053" s="78"/>
      <c r="I1053" s="78"/>
    </row>
    <row r="1054" spans="1:9" x14ac:dyDescent="0.2">
      <c r="A1054" s="78"/>
      <c r="B1054" s="78"/>
      <c r="C1054" s="78"/>
      <c r="D1054" s="78"/>
      <c r="E1054" s="78"/>
      <c r="F1054" s="78"/>
      <c r="G1054" s="78"/>
      <c r="H1054" s="78"/>
      <c r="I1054" s="78"/>
    </row>
    <row r="1055" spans="1:9" x14ac:dyDescent="0.2">
      <c r="A1055" s="78"/>
      <c r="B1055" s="78"/>
      <c r="C1055" s="78"/>
      <c r="D1055" s="78"/>
      <c r="E1055" s="78"/>
      <c r="F1055" s="78"/>
      <c r="G1055" s="78"/>
      <c r="H1055" s="78"/>
      <c r="I1055" s="78"/>
    </row>
    <row r="1056" spans="1:9" x14ac:dyDescent="0.2">
      <c r="A1056" s="78"/>
      <c r="B1056" s="78"/>
      <c r="C1056" s="78"/>
      <c r="D1056" s="78"/>
      <c r="E1056" s="78"/>
      <c r="F1056" s="78"/>
      <c r="G1056" s="78"/>
      <c r="H1056" s="78"/>
      <c r="I1056" s="78"/>
    </row>
    <row r="1057" spans="1:9" x14ac:dyDescent="0.2">
      <c r="A1057" s="78"/>
      <c r="B1057" s="78"/>
      <c r="C1057" s="78"/>
      <c r="D1057" s="78"/>
      <c r="E1057" s="78"/>
      <c r="F1057" s="78"/>
      <c r="G1057" s="78"/>
      <c r="H1057" s="78"/>
      <c r="I1057" s="78"/>
    </row>
    <row r="1058" spans="1:9" x14ac:dyDescent="0.2">
      <c r="A1058" s="78"/>
      <c r="B1058" s="78"/>
      <c r="C1058" s="78"/>
      <c r="D1058" s="78"/>
      <c r="E1058" s="78"/>
      <c r="F1058" s="78"/>
      <c r="G1058" s="78"/>
      <c r="H1058" s="78"/>
      <c r="I1058" s="78"/>
    </row>
    <row r="1059" spans="1:9" x14ac:dyDescent="0.2">
      <c r="A1059" s="78"/>
      <c r="B1059" s="78"/>
      <c r="C1059" s="78"/>
      <c r="D1059" s="78"/>
      <c r="E1059" s="78"/>
      <c r="F1059" s="78"/>
      <c r="G1059" s="78"/>
      <c r="H1059" s="78"/>
      <c r="I1059" s="78"/>
    </row>
    <row r="1060" spans="1:9" x14ac:dyDescent="0.2">
      <c r="A1060" s="78"/>
      <c r="B1060" s="78"/>
      <c r="C1060" s="78"/>
      <c r="D1060" s="78"/>
      <c r="E1060" s="78"/>
      <c r="F1060" s="78"/>
      <c r="G1060" s="78"/>
      <c r="H1060" s="78"/>
      <c r="I1060" s="78"/>
    </row>
    <row r="1061" spans="1:9" x14ac:dyDescent="0.2">
      <c r="A1061" s="78"/>
      <c r="B1061" s="78"/>
      <c r="C1061" s="78"/>
      <c r="D1061" s="78"/>
      <c r="E1061" s="78"/>
      <c r="F1061" s="78"/>
      <c r="G1061" s="78"/>
      <c r="H1061" s="78"/>
      <c r="I1061" s="78"/>
    </row>
    <row r="1062" spans="1:9" x14ac:dyDescent="0.2">
      <c r="A1062" s="78"/>
      <c r="B1062" s="78"/>
      <c r="C1062" s="78"/>
      <c r="D1062" s="78"/>
      <c r="E1062" s="78"/>
      <c r="F1062" s="78"/>
      <c r="G1062" s="78"/>
      <c r="H1062" s="78"/>
      <c r="I1062" s="78"/>
    </row>
    <row r="1063" spans="1:9" x14ac:dyDescent="0.2">
      <c r="A1063" s="78"/>
      <c r="B1063" s="78"/>
      <c r="C1063" s="78"/>
      <c r="D1063" s="78"/>
      <c r="E1063" s="78"/>
      <c r="F1063" s="78"/>
      <c r="G1063" s="78"/>
      <c r="H1063" s="78"/>
      <c r="I1063" s="78"/>
    </row>
    <row r="1064" spans="1:9" x14ac:dyDescent="0.2">
      <c r="A1064" s="78"/>
      <c r="B1064" s="78"/>
      <c r="C1064" s="78"/>
      <c r="D1064" s="78"/>
      <c r="E1064" s="78"/>
      <c r="F1064" s="78"/>
      <c r="G1064" s="78"/>
      <c r="H1064" s="78"/>
      <c r="I1064" s="78"/>
    </row>
    <row r="1065" spans="1:9" x14ac:dyDescent="0.2">
      <c r="A1065" s="78"/>
      <c r="B1065" s="78"/>
      <c r="C1065" s="78"/>
      <c r="D1065" s="78"/>
      <c r="E1065" s="78"/>
      <c r="F1065" s="78"/>
      <c r="G1065" s="78"/>
      <c r="H1065" s="78"/>
      <c r="I1065" s="78"/>
    </row>
    <row r="1066" spans="1:9" x14ac:dyDescent="0.2">
      <c r="A1066" s="78"/>
      <c r="B1066" s="78"/>
      <c r="C1066" s="78"/>
      <c r="D1066" s="78"/>
      <c r="E1066" s="78"/>
      <c r="F1066" s="78"/>
      <c r="G1066" s="78"/>
      <c r="H1066" s="78"/>
      <c r="I1066" s="78"/>
    </row>
    <row r="1067" spans="1:9" x14ac:dyDescent="0.2">
      <c r="A1067" s="78"/>
      <c r="B1067" s="78"/>
      <c r="C1067" s="78"/>
      <c r="D1067" s="78"/>
      <c r="E1067" s="78"/>
      <c r="F1067" s="78"/>
      <c r="G1067" s="78"/>
      <c r="H1067" s="78"/>
      <c r="I1067" s="78"/>
    </row>
    <row r="1068" spans="1:9" x14ac:dyDescent="0.2">
      <c r="A1068" s="78"/>
      <c r="B1068" s="78"/>
      <c r="C1068" s="78"/>
      <c r="D1068" s="78"/>
      <c r="E1068" s="78"/>
      <c r="F1068" s="78"/>
      <c r="G1068" s="78"/>
      <c r="H1068" s="78"/>
      <c r="I1068" s="78"/>
    </row>
    <row r="1069" spans="1:9" x14ac:dyDescent="0.2">
      <c r="A1069" s="78"/>
      <c r="B1069" s="78"/>
      <c r="C1069" s="78"/>
      <c r="D1069" s="78"/>
      <c r="E1069" s="78"/>
      <c r="F1069" s="78"/>
      <c r="G1069" s="78"/>
      <c r="H1069" s="78"/>
      <c r="I1069" s="78"/>
    </row>
    <row r="1070" spans="1:9" x14ac:dyDescent="0.2">
      <c r="A1070" s="78"/>
      <c r="B1070" s="78"/>
      <c r="C1070" s="78"/>
      <c r="D1070" s="78"/>
      <c r="E1070" s="78"/>
      <c r="F1070" s="78"/>
      <c r="G1070" s="78"/>
      <c r="H1070" s="78"/>
      <c r="I1070" s="78"/>
    </row>
    <row r="1071" spans="1:9" x14ac:dyDescent="0.2">
      <c r="A1071" s="78"/>
      <c r="B1071" s="78"/>
      <c r="C1071" s="78"/>
      <c r="D1071" s="78"/>
      <c r="E1071" s="78"/>
      <c r="F1071" s="78"/>
      <c r="G1071" s="78"/>
      <c r="H1071" s="78"/>
      <c r="I1071" s="78"/>
    </row>
    <row r="1072" spans="1:9" x14ac:dyDescent="0.2">
      <c r="A1072" s="78"/>
      <c r="B1072" s="78"/>
      <c r="C1072" s="78"/>
      <c r="D1072" s="78"/>
      <c r="E1072" s="78"/>
      <c r="F1072" s="78"/>
      <c r="G1072" s="78"/>
      <c r="H1072" s="78"/>
      <c r="I1072" s="78"/>
    </row>
    <row r="1073" spans="1:9" x14ac:dyDescent="0.2">
      <c r="A1073" s="78"/>
      <c r="B1073" s="78"/>
      <c r="C1073" s="78"/>
      <c r="D1073" s="78"/>
      <c r="E1073" s="78"/>
      <c r="F1073" s="78"/>
      <c r="G1073" s="78"/>
      <c r="H1073" s="78"/>
      <c r="I1073" s="78"/>
    </row>
    <row r="1074" spans="1:9" x14ac:dyDescent="0.2">
      <c r="A1074" s="78"/>
      <c r="B1074" s="78"/>
      <c r="C1074" s="78"/>
      <c r="D1074" s="78"/>
      <c r="E1074" s="78"/>
      <c r="F1074" s="78"/>
      <c r="G1074" s="78"/>
      <c r="H1074" s="78"/>
      <c r="I1074" s="78"/>
    </row>
    <row r="1075" spans="1:9" x14ac:dyDescent="0.2">
      <c r="A1075" s="78"/>
      <c r="B1075" s="78"/>
      <c r="C1075" s="78"/>
      <c r="D1075" s="78"/>
      <c r="E1075" s="78"/>
      <c r="F1075" s="78"/>
      <c r="G1075" s="78"/>
      <c r="H1075" s="78"/>
      <c r="I1075" s="78"/>
    </row>
    <row r="1076" spans="1:9" x14ac:dyDescent="0.2">
      <c r="A1076" s="78"/>
      <c r="B1076" s="78"/>
      <c r="C1076" s="78"/>
      <c r="D1076" s="78"/>
      <c r="E1076" s="78"/>
      <c r="F1076" s="78"/>
      <c r="G1076" s="78"/>
      <c r="H1076" s="78"/>
      <c r="I1076" s="78"/>
    </row>
    <row r="1077" spans="1:9" x14ac:dyDescent="0.2">
      <c r="A1077" s="78"/>
      <c r="B1077" s="78"/>
      <c r="C1077" s="78"/>
      <c r="D1077" s="78"/>
      <c r="E1077" s="78"/>
      <c r="F1077" s="78"/>
      <c r="G1077" s="78"/>
      <c r="H1077" s="78"/>
      <c r="I1077" s="78"/>
    </row>
    <row r="1078" spans="1:9" x14ac:dyDescent="0.2">
      <c r="A1078" s="78"/>
      <c r="B1078" s="78"/>
      <c r="C1078" s="78"/>
      <c r="D1078" s="78"/>
      <c r="E1078" s="78"/>
      <c r="F1078" s="78"/>
      <c r="G1078" s="78"/>
      <c r="H1078" s="78"/>
      <c r="I1078" s="78"/>
    </row>
    <row r="1079" spans="1:9" x14ac:dyDescent="0.2">
      <c r="A1079" s="78"/>
      <c r="B1079" s="78"/>
      <c r="C1079" s="78"/>
      <c r="D1079" s="78"/>
      <c r="E1079" s="78"/>
      <c r="F1079" s="78"/>
      <c r="G1079" s="78"/>
      <c r="H1079" s="78"/>
      <c r="I1079" s="78"/>
    </row>
    <row r="1080" spans="1:9" x14ac:dyDescent="0.2">
      <c r="A1080" s="78"/>
      <c r="B1080" s="78"/>
      <c r="C1080" s="78"/>
      <c r="D1080" s="78"/>
      <c r="E1080" s="78"/>
      <c r="F1080" s="78"/>
      <c r="G1080" s="78"/>
      <c r="H1080" s="78"/>
      <c r="I1080" s="78"/>
    </row>
    <row r="1081" spans="1:9" x14ac:dyDescent="0.2">
      <c r="A1081" s="78"/>
      <c r="B1081" s="78"/>
      <c r="C1081" s="78"/>
      <c r="D1081" s="78"/>
      <c r="E1081" s="78"/>
      <c r="F1081" s="78"/>
      <c r="G1081" s="78"/>
      <c r="H1081" s="78"/>
      <c r="I1081" s="78"/>
    </row>
    <row r="1082" spans="1:9" x14ac:dyDescent="0.2">
      <c r="A1082" s="78"/>
      <c r="B1082" s="78"/>
      <c r="C1082" s="78"/>
      <c r="D1082" s="78"/>
      <c r="E1082" s="78"/>
      <c r="F1082" s="78"/>
      <c r="G1082" s="78"/>
      <c r="H1082" s="78"/>
      <c r="I1082" s="78"/>
    </row>
    <row r="1083" spans="1:9" x14ac:dyDescent="0.2">
      <c r="A1083" s="78"/>
      <c r="B1083" s="78"/>
      <c r="C1083" s="78"/>
      <c r="D1083" s="78"/>
      <c r="E1083" s="78"/>
      <c r="F1083" s="78"/>
      <c r="G1083" s="78"/>
      <c r="H1083" s="78"/>
      <c r="I1083" s="78"/>
    </row>
    <row r="1084" spans="1:9" x14ac:dyDescent="0.2">
      <c r="A1084" s="78"/>
      <c r="B1084" s="78"/>
      <c r="C1084" s="78"/>
      <c r="D1084" s="78"/>
      <c r="E1084" s="78"/>
      <c r="F1084" s="78"/>
      <c r="G1084" s="78"/>
      <c r="H1084" s="78"/>
      <c r="I1084" s="78"/>
    </row>
    <row r="1085" spans="1:9" x14ac:dyDescent="0.2">
      <c r="A1085" s="78"/>
      <c r="B1085" s="78"/>
      <c r="C1085" s="78"/>
      <c r="D1085" s="78"/>
      <c r="E1085" s="78"/>
      <c r="F1085" s="78"/>
      <c r="G1085" s="78"/>
      <c r="H1085" s="78"/>
      <c r="I1085" s="78"/>
    </row>
    <row r="1086" spans="1:9" x14ac:dyDescent="0.2">
      <c r="A1086" s="78"/>
      <c r="B1086" s="78"/>
      <c r="C1086" s="78"/>
      <c r="D1086" s="78"/>
      <c r="E1086" s="78"/>
      <c r="F1086" s="78"/>
      <c r="G1086" s="78"/>
      <c r="H1086" s="78"/>
      <c r="I1086" s="78"/>
    </row>
    <row r="1087" spans="1:9" x14ac:dyDescent="0.2">
      <c r="A1087" s="78"/>
      <c r="B1087" s="78"/>
      <c r="C1087" s="78"/>
      <c r="D1087" s="78"/>
      <c r="E1087" s="78"/>
      <c r="F1087" s="78"/>
      <c r="G1087" s="78"/>
      <c r="H1087" s="78"/>
      <c r="I1087" s="78"/>
    </row>
    <row r="1088" spans="1:9" x14ac:dyDescent="0.2">
      <c r="A1088" s="78"/>
      <c r="B1088" s="78"/>
      <c r="C1088" s="78"/>
      <c r="D1088" s="78"/>
      <c r="E1088" s="78"/>
      <c r="F1088" s="78"/>
      <c r="G1088" s="78"/>
      <c r="H1088" s="78"/>
      <c r="I1088" s="78"/>
    </row>
    <row r="1089" spans="1:9" x14ac:dyDescent="0.2">
      <c r="A1089" s="78"/>
      <c r="B1089" s="78"/>
      <c r="C1089" s="78"/>
      <c r="D1089" s="78"/>
      <c r="E1089" s="78"/>
      <c r="F1089" s="78"/>
      <c r="G1089" s="78"/>
      <c r="H1089" s="78"/>
      <c r="I1089" s="78"/>
    </row>
    <row r="1090" spans="1:9" x14ac:dyDescent="0.2">
      <c r="A1090" s="78"/>
      <c r="B1090" s="78"/>
      <c r="C1090" s="78"/>
      <c r="D1090" s="78"/>
      <c r="E1090" s="78"/>
      <c r="F1090" s="78"/>
      <c r="G1090" s="78"/>
      <c r="H1090" s="78"/>
      <c r="I1090" s="78"/>
    </row>
    <row r="1091" spans="1:9" x14ac:dyDescent="0.2">
      <c r="A1091" s="78"/>
      <c r="B1091" s="78"/>
      <c r="C1091" s="78"/>
      <c r="D1091" s="78"/>
      <c r="E1091" s="78"/>
      <c r="F1091" s="78"/>
      <c r="G1091" s="78"/>
      <c r="H1091" s="78"/>
      <c r="I1091" s="78"/>
    </row>
    <row r="1092" spans="1:9" x14ac:dyDescent="0.2">
      <c r="A1092" s="78"/>
      <c r="B1092" s="78"/>
      <c r="C1092" s="78"/>
      <c r="D1092" s="78"/>
      <c r="E1092" s="78"/>
      <c r="F1092" s="78"/>
      <c r="G1092" s="78"/>
      <c r="H1092" s="78"/>
      <c r="I1092" s="78"/>
    </row>
    <row r="1093" spans="1:9" x14ac:dyDescent="0.2">
      <c r="A1093" s="78"/>
      <c r="B1093" s="78"/>
      <c r="C1093" s="78"/>
      <c r="D1093" s="78"/>
      <c r="E1093" s="78"/>
      <c r="F1093" s="78"/>
      <c r="G1093" s="78"/>
      <c r="H1093" s="78"/>
      <c r="I1093" s="78"/>
    </row>
    <row r="1094" spans="1:9" x14ac:dyDescent="0.2">
      <c r="A1094" s="78"/>
      <c r="B1094" s="78"/>
      <c r="C1094" s="78"/>
      <c r="D1094" s="78"/>
      <c r="E1094" s="78"/>
      <c r="F1094" s="78"/>
      <c r="G1094" s="78"/>
      <c r="H1094" s="78"/>
      <c r="I1094" s="78"/>
    </row>
    <row r="1095" spans="1:9" x14ac:dyDescent="0.2">
      <c r="A1095" s="78"/>
      <c r="B1095" s="78"/>
      <c r="C1095" s="78"/>
      <c r="D1095" s="78"/>
      <c r="E1095" s="78"/>
      <c r="F1095" s="78"/>
      <c r="G1095" s="78"/>
      <c r="H1095" s="78"/>
      <c r="I1095" s="78"/>
    </row>
    <row r="1096" spans="1:9" x14ac:dyDescent="0.2">
      <c r="A1096" s="78"/>
      <c r="B1096" s="78"/>
      <c r="C1096" s="78"/>
      <c r="D1096" s="78"/>
      <c r="E1096" s="78"/>
      <c r="F1096" s="78"/>
      <c r="G1096" s="78"/>
      <c r="H1096" s="78"/>
      <c r="I1096" s="78"/>
    </row>
    <row r="1097" spans="1:9" x14ac:dyDescent="0.2">
      <c r="A1097" s="78"/>
      <c r="B1097" s="78"/>
      <c r="C1097" s="78"/>
      <c r="D1097" s="78"/>
      <c r="E1097" s="78"/>
      <c r="F1097" s="78"/>
      <c r="G1097" s="78"/>
      <c r="H1097" s="78"/>
      <c r="I1097" s="78"/>
    </row>
    <row r="1098" spans="1:9" x14ac:dyDescent="0.2">
      <c r="A1098" s="78"/>
      <c r="B1098" s="78"/>
      <c r="C1098" s="78"/>
      <c r="D1098" s="78"/>
      <c r="E1098" s="78"/>
      <c r="F1098" s="78"/>
      <c r="G1098" s="78"/>
      <c r="H1098" s="78"/>
      <c r="I1098" s="78"/>
    </row>
    <row r="1099" spans="1:9" x14ac:dyDescent="0.2">
      <c r="A1099" s="78"/>
      <c r="B1099" s="78"/>
      <c r="C1099" s="78"/>
      <c r="D1099" s="78"/>
      <c r="E1099" s="78"/>
      <c r="F1099" s="78"/>
      <c r="G1099" s="78"/>
      <c r="H1099" s="78"/>
      <c r="I1099" s="78"/>
    </row>
    <row r="1100" spans="1:9" x14ac:dyDescent="0.2">
      <c r="A1100" s="78"/>
      <c r="B1100" s="78"/>
      <c r="C1100" s="78"/>
      <c r="D1100" s="78"/>
      <c r="E1100" s="78"/>
      <c r="F1100" s="78"/>
      <c r="G1100" s="78"/>
      <c r="H1100" s="78"/>
      <c r="I1100" s="78"/>
    </row>
    <row r="1101" spans="1:9" x14ac:dyDescent="0.2">
      <c r="A1101" s="78"/>
      <c r="B1101" s="78"/>
      <c r="C1101" s="78"/>
      <c r="D1101" s="78"/>
      <c r="E1101" s="78"/>
      <c r="F1101" s="78"/>
      <c r="G1101" s="78"/>
      <c r="H1101" s="78"/>
      <c r="I1101" s="78"/>
    </row>
    <row r="1102" spans="1:9" x14ac:dyDescent="0.2">
      <c r="A1102" s="78"/>
      <c r="B1102" s="78"/>
      <c r="C1102" s="78"/>
      <c r="D1102" s="78"/>
      <c r="E1102" s="78"/>
      <c r="F1102" s="78"/>
      <c r="G1102" s="78"/>
      <c r="H1102" s="78"/>
      <c r="I1102" s="78"/>
    </row>
    <row r="1103" spans="1:9" x14ac:dyDescent="0.2">
      <c r="A1103" s="78"/>
      <c r="B1103" s="78"/>
      <c r="C1103" s="78"/>
      <c r="D1103" s="78"/>
      <c r="E1103" s="78"/>
      <c r="F1103" s="78"/>
      <c r="G1103" s="78"/>
      <c r="H1103" s="78"/>
      <c r="I1103" s="78"/>
    </row>
    <row r="1104" spans="1:9" x14ac:dyDescent="0.2">
      <c r="A1104" s="78"/>
      <c r="B1104" s="78"/>
      <c r="C1104" s="78"/>
      <c r="D1104" s="78"/>
      <c r="E1104" s="78"/>
      <c r="F1104" s="78"/>
      <c r="G1104" s="78"/>
      <c r="H1104" s="78"/>
      <c r="I1104" s="78"/>
    </row>
    <row r="1105" spans="1:9" x14ac:dyDescent="0.2">
      <c r="A1105" s="78"/>
      <c r="B1105" s="78"/>
      <c r="C1105" s="78"/>
      <c r="D1105" s="78"/>
      <c r="E1105" s="78"/>
      <c r="F1105" s="78"/>
      <c r="G1105" s="78"/>
      <c r="H1105" s="78"/>
      <c r="I1105" s="78"/>
    </row>
    <row r="1106" spans="1:9" x14ac:dyDescent="0.2">
      <c r="A1106" s="78"/>
      <c r="B1106" s="78"/>
      <c r="C1106" s="78"/>
      <c r="D1106" s="78"/>
      <c r="E1106" s="78"/>
      <c r="F1106" s="78"/>
      <c r="G1106" s="78"/>
      <c r="H1106" s="78"/>
      <c r="I1106" s="78"/>
    </row>
    <row r="1107" spans="1:9" x14ac:dyDescent="0.2">
      <c r="A1107" s="78"/>
      <c r="B1107" s="78"/>
      <c r="C1107" s="78"/>
      <c r="D1107" s="78"/>
      <c r="E1107" s="78"/>
      <c r="F1107" s="78"/>
      <c r="G1107" s="78"/>
      <c r="H1107" s="78"/>
      <c r="I1107" s="78"/>
    </row>
    <row r="1108" spans="1:9" x14ac:dyDescent="0.2">
      <c r="A1108" s="78"/>
      <c r="B1108" s="78"/>
      <c r="C1108" s="78"/>
      <c r="D1108" s="78"/>
      <c r="E1108" s="78"/>
      <c r="F1108" s="78"/>
      <c r="G1108" s="78"/>
      <c r="H1108" s="78"/>
      <c r="I1108" s="78"/>
    </row>
    <row r="1109" spans="1:9" x14ac:dyDescent="0.2">
      <c r="A1109" s="78"/>
      <c r="B1109" s="78"/>
      <c r="C1109" s="78"/>
      <c r="D1109" s="78"/>
      <c r="E1109" s="78"/>
      <c r="F1109" s="78"/>
      <c r="G1109" s="78"/>
      <c r="H1109" s="78"/>
      <c r="I1109" s="78"/>
    </row>
    <row r="1110" spans="1:9" x14ac:dyDescent="0.2">
      <c r="A1110" s="78"/>
      <c r="B1110" s="78"/>
      <c r="C1110" s="78"/>
      <c r="D1110" s="78"/>
      <c r="E1110" s="78"/>
      <c r="F1110" s="78"/>
      <c r="G1110" s="78"/>
      <c r="H1110" s="78"/>
      <c r="I1110" s="78"/>
    </row>
    <row r="1111" spans="1:9" x14ac:dyDescent="0.2">
      <c r="A1111" s="78"/>
      <c r="B1111" s="78"/>
      <c r="C1111" s="78"/>
      <c r="D1111" s="78"/>
      <c r="E1111" s="78"/>
      <c r="F1111" s="78"/>
      <c r="G1111" s="78"/>
      <c r="H1111" s="78"/>
      <c r="I1111" s="78"/>
    </row>
    <row r="1112" spans="1:9" x14ac:dyDescent="0.2">
      <c r="A1112" s="78"/>
      <c r="B1112" s="78"/>
      <c r="C1112" s="78"/>
      <c r="D1112" s="78"/>
      <c r="E1112" s="78"/>
      <c r="F1112" s="78"/>
      <c r="G1112" s="78"/>
      <c r="H1112" s="78"/>
      <c r="I1112" s="78"/>
    </row>
    <row r="1113" spans="1:9" x14ac:dyDescent="0.2">
      <c r="A1113" s="78"/>
      <c r="B1113" s="78"/>
      <c r="C1113" s="78"/>
      <c r="D1113" s="78"/>
      <c r="E1113" s="78"/>
      <c r="F1113" s="78"/>
      <c r="G1113" s="78"/>
      <c r="H1113" s="78"/>
      <c r="I1113" s="78"/>
    </row>
    <row r="1114" spans="1:9" x14ac:dyDescent="0.2">
      <c r="A1114" s="78"/>
      <c r="B1114" s="78"/>
      <c r="C1114" s="78"/>
      <c r="D1114" s="78"/>
      <c r="E1114" s="78"/>
      <c r="F1114" s="78"/>
      <c r="G1114" s="78"/>
      <c r="H1114" s="78"/>
      <c r="I1114" s="78"/>
    </row>
    <row r="1115" spans="1:9" x14ac:dyDescent="0.2">
      <c r="A1115" s="78"/>
      <c r="B1115" s="78"/>
      <c r="C1115" s="78"/>
      <c r="D1115" s="78"/>
      <c r="E1115" s="78"/>
      <c r="F1115" s="78"/>
      <c r="G1115" s="78"/>
      <c r="H1115" s="78"/>
      <c r="I1115" s="78"/>
    </row>
    <row r="1116" spans="1:9" x14ac:dyDescent="0.2">
      <c r="A1116" s="78"/>
      <c r="B1116" s="78"/>
      <c r="C1116" s="78"/>
      <c r="D1116" s="78"/>
      <c r="E1116" s="78"/>
      <c r="F1116" s="78"/>
      <c r="G1116" s="78"/>
      <c r="H1116" s="78"/>
      <c r="I1116" s="78"/>
    </row>
    <row r="1117" spans="1:9" x14ac:dyDescent="0.2">
      <c r="A1117" s="78"/>
      <c r="B1117" s="78"/>
      <c r="C1117" s="78"/>
      <c r="D1117" s="78"/>
      <c r="E1117" s="78"/>
      <c r="F1117" s="78"/>
      <c r="G1117" s="78"/>
      <c r="H1117" s="78"/>
      <c r="I1117" s="78"/>
    </row>
    <row r="1118" spans="1:9" x14ac:dyDescent="0.2">
      <c r="A1118" s="78"/>
      <c r="B1118" s="78"/>
      <c r="C1118" s="78"/>
      <c r="D1118" s="78"/>
      <c r="E1118" s="78"/>
      <c r="F1118" s="78"/>
      <c r="G1118" s="78"/>
      <c r="H1118" s="78"/>
      <c r="I1118" s="78"/>
    </row>
    <row r="1119" spans="1:9" x14ac:dyDescent="0.2">
      <c r="A1119" s="78"/>
      <c r="B1119" s="78"/>
      <c r="C1119" s="78"/>
      <c r="D1119" s="78"/>
      <c r="E1119" s="78"/>
      <c r="F1119" s="78"/>
      <c r="G1119" s="78"/>
      <c r="H1119" s="78"/>
      <c r="I1119" s="78"/>
    </row>
    <row r="1120" spans="1:9" x14ac:dyDescent="0.2">
      <c r="A1120" s="78"/>
      <c r="B1120" s="78"/>
      <c r="C1120" s="78"/>
      <c r="D1120" s="78"/>
      <c r="E1120" s="78"/>
      <c r="F1120" s="78"/>
      <c r="G1120" s="78"/>
      <c r="H1120" s="78"/>
      <c r="I1120" s="78"/>
    </row>
    <row r="1121" spans="1:9" x14ac:dyDescent="0.2">
      <c r="A1121" s="78"/>
      <c r="B1121" s="78"/>
      <c r="C1121" s="78"/>
      <c r="D1121" s="78"/>
      <c r="E1121" s="78"/>
      <c r="F1121" s="78"/>
      <c r="G1121" s="78"/>
      <c r="H1121" s="78"/>
      <c r="I1121" s="78"/>
    </row>
    <row r="1122" spans="1:9" x14ac:dyDescent="0.2">
      <c r="A1122" s="78"/>
      <c r="B1122" s="78"/>
      <c r="C1122" s="78"/>
      <c r="D1122" s="78"/>
      <c r="E1122" s="78"/>
      <c r="F1122" s="78"/>
      <c r="G1122" s="78"/>
      <c r="H1122" s="78"/>
      <c r="I1122" s="78"/>
    </row>
    <row r="1123" spans="1:9" x14ac:dyDescent="0.2">
      <c r="A1123" s="78"/>
      <c r="B1123" s="78"/>
      <c r="C1123" s="78"/>
      <c r="D1123" s="78"/>
      <c r="E1123" s="78"/>
      <c r="F1123" s="78"/>
      <c r="G1123" s="78"/>
      <c r="H1123" s="78"/>
      <c r="I1123" s="78"/>
    </row>
    <row r="1124" spans="1:9" x14ac:dyDescent="0.2">
      <c r="A1124" s="78"/>
      <c r="B1124" s="78"/>
      <c r="C1124" s="78"/>
      <c r="D1124" s="78"/>
      <c r="E1124" s="78"/>
      <c r="F1124" s="78"/>
      <c r="G1124" s="78"/>
      <c r="H1124" s="78"/>
      <c r="I1124" s="78"/>
    </row>
    <row r="1125" spans="1:9" x14ac:dyDescent="0.2">
      <c r="A1125" s="78"/>
      <c r="B1125" s="78"/>
      <c r="C1125" s="78"/>
      <c r="D1125" s="78"/>
      <c r="E1125" s="78"/>
      <c r="F1125" s="78"/>
      <c r="G1125" s="78"/>
      <c r="H1125" s="78"/>
      <c r="I1125" s="78"/>
    </row>
    <row r="1126" spans="1:9" x14ac:dyDescent="0.2">
      <c r="A1126" s="78"/>
      <c r="B1126" s="78"/>
      <c r="C1126" s="78"/>
      <c r="D1126" s="78"/>
      <c r="E1126" s="78"/>
      <c r="F1126" s="78"/>
      <c r="G1126" s="78"/>
      <c r="H1126" s="78"/>
      <c r="I1126" s="78"/>
    </row>
    <row r="1127" spans="1:9" x14ac:dyDescent="0.2">
      <c r="A1127" s="78"/>
      <c r="B1127" s="78"/>
      <c r="C1127" s="78"/>
      <c r="D1127" s="78"/>
      <c r="E1127" s="78"/>
      <c r="F1127" s="78"/>
      <c r="G1127" s="78"/>
      <c r="H1127" s="78"/>
      <c r="I1127" s="78"/>
    </row>
    <row r="1128" spans="1:9" x14ac:dyDescent="0.2">
      <c r="A1128" s="78"/>
      <c r="B1128" s="78"/>
      <c r="C1128" s="78"/>
      <c r="D1128" s="78"/>
      <c r="E1128" s="78"/>
      <c r="F1128" s="78"/>
      <c r="G1128" s="78"/>
      <c r="H1128" s="78"/>
      <c r="I1128" s="78"/>
    </row>
    <row r="1129" spans="1:9" x14ac:dyDescent="0.2">
      <c r="A1129" s="78"/>
      <c r="B1129" s="78"/>
      <c r="C1129" s="78"/>
      <c r="D1129" s="78"/>
      <c r="E1129" s="78"/>
      <c r="F1129" s="78"/>
      <c r="G1129" s="78"/>
      <c r="H1129" s="78"/>
      <c r="I1129" s="78"/>
    </row>
    <row r="1130" spans="1:9" x14ac:dyDescent="0.2">
      <c r="A1130" s="78"/>
      <c r="B1130" s="78"/>
      <c r="C1130" s="78"/>
      <c r="D1130" s="78"/>
      <c r="E1130" s="78"/>
      <c r="F1130" s="78"/>
      <c r="G1130" s="78"/>
      <c r="H1130" s="78"/>
      <c r="I1130" s="78"/>
    </row>
    <row r="1131" spans="1:9" x14ac:dyDescent="0.2">
      <c r="A1131" s="78"/>
      <c r="B1131" s="78"/>
      <c r="C1131" s="78"/>
      <c r="D1131" s="78"/>
      <c r="E1131" s="78"/>
      <c r="F1131" s="78"/>
      <c r="G1131" s="78"/>
      <c r="H1131" s="78"/>
      <c r="I1131" s="78"/>
    </row>
    <row r="1132" spans="1:9" x14ac:dyDescent="0.2">
      <c r="A1132" s="78"/>
      <c r="B1132" s="78"/>
      <c r="C1132" s="78"/>
      <c r="D1132" s="78"/>
      <c r="E1132" s="78"/>
      <c r="F1132" s="78"/>
      <c r="G1132" s="78"/>
      <c r="H1132" s="78"/>
      <c r="I1132" s="78"/>
    </row>
    <row r="1133" spans="1:9" x14ac:dyDescent="0.2">
      <c r="A1133" s="78"/>
      <c r="B1133" s="78"/>
      <c r="C1133" s="78"/>
      <c r="D1133" s="78"/>
      <c r="E1133" s="78"/>
      <c r="F1133" s="78"/>
      <c r="G1133" s="78"/>
      <c r="H1133" s="78"/>
      <c r="I1133" s="78"/>
    </row>
    <row r="1134" spans="1:9" x14ac:dyDescent="0.2">
      <c r="A1134" s="78"/>
      <c r="B1134" s="78"/>
      <c r="C1134" s="78"/>
      <c r="D1134" s="78"/>
      <c r="E1134" s="78"/>
      <c r="F1134" s="78"/>
      <c r="G1134" s="78"/>
      <c r="H1134" s="78"/>
      <c r="I1134" s="78"/>
    </row>
    <row r="1135" spans="1:9" x14ac:dyDescent="0.2">
      <c r="A1135" s="78"/>
      <c r="B1135" s="78"/>
      <c r="C1135" s="78"/>
      <c r="D1135" s="78"/>
      <c r="E1135" s="78"/>
      <c r="F1135" s="78"/>
      <c r="G1135" s="78"/>
      <c r="H1135" s="78"/>
      <c r="I1135" s="78"/>
    </row>
    <row r="1136" spans="1:9" x14ac:dyDescent="0.2">
      <c r="A1136" s="78"/>
      <c r="B1136" s="78"/>
      <c r="C1136" s="78"/>
      <c r="D1136" s="78"/>
      <c r="E1136" s="78"/>
      <c r="F1136" s="78"/>
      <c r="G1136" s="78"/>
      <c r="H1136" s="78"/>
      <c r="I1136" s="78"/>
    </row>
    <row r="1137" spans="1:9" x14ac:dyDescent="0.2">
      <c r="A1137" s="78"/>
      <c r="B1137" s="78"/>
      <c r="C1137" s="78"/>
      <c r="D1137" s="78"/>
      <c r="E1137" s="78"/>
      <c r="F1137" s="78"/>
      <c r="G1137" s="78"/>
      <c r="H1137" s="78"/>
      <c r="I1137" s="78"/>
    </row>
    <row r="1138" spans="1:9" x14ac:dyDescent="0.2">
      <c r="A1138" s="78"/>
      <c r="B1138" s="78"/>
      <c r="C1138" s="78"/>
      <c r="D1138" s="78"/>
      <c r="E1138" s="78"/>
      <c r="F1138" s="78"/>
      <c r="G1138" s="78"/>
      <c r="H1138" s="78"/>
      <c r="I1138" s="78"/>
    </row>
    <row r="1139" spans="1:9" x14ac:dyDescent="0.2">
      <c r="A1139" s="78"/>
      <c r="B1139" s="78"/>
      <c r="C1139" s="78"/>
      <c r="D1139" s="78"/>
      <c r="E1139" s="78"/>
      <c r="F1139" s="78"/>
      <c r="G1139" s="78"/>
      <c r="H1139" s="78"/>
      <c r="I1139" s="78"/>
    </row>
    <row r="1140" spans="1:9" x14ac:dyDescent="0.2">
      <c r="A1140" s="78"/>
      <c r="B1140" s="78"/>
      <c r="C1140" s="78"/>
      <c r="D1140" s="78"/>
      <c r="E1140" s="78"/>
      <c r="F1140" s="78"/>
      <c r="G1140" s="78"/>
      <c r="H1140" s="78"/>
      <c r="I1140" s="78"/>
    </row>
    <row r="1141" spans="1:9" x14ac:dyDescent="0.2">
      <c r="A1141" s="78"/>
      <c r="B1141" s="78"/>
      <c r="C1141" s="78"/>
      <c r="D1141" s="78"/>
      <c r="E1141" s="78"/>
      <c r="F1141" s="78"/>
      <c r="G1141" s="78"/>
      <c r="H1141" s="78"/>
      <c r="I1141" s="78"/>
    </row>
    <row r="1142" spans="1:9" x14ac:dyDescent="0.2">
      <c r="A1142" s="78"/>
      <c r="B1142" s="78"/>
      <c r="C1142" s="78"/>
      <c r="D1142" s="78"/>
      <c r="E1142" s="78"/>
      <c r="F1142" s="78"/>
      <c r="G1142" s="78"/>
      <c r="H1142" s="78"/>
      <c r="I1142" s="78"/>
    </row>
    <row r="1143" spans="1:9" x14ac:dyDescent="0.2">
      <c r="A1143" s="78"/>
      <c r="B1143" s="78"/>
      <c r="C1143" s="78"/>
      <c r="D1143" s="78"/>
      <c r="E1143" s="78"/>
      <c r="F1143" s="78"/>
      <c r="G1143" s="78"/>
      <c r="H1143" s="78"/>
      <c r="I1143" s="78"/>
    </row>
    <row r="1144" spans="1:9" x14ac:dyDescent="0.2">
      <c r="A1144" s="78"/>
      <c r="B1144" s="78"/>
      <c r="C1144" s="78"/>
      <c r="D1144" s="78"/>
      <c r="E1144" s="78"/>
      <c r="F1144" s="78"/>
      <c r="G1144" s="78"/>
      <c r="H1144" s="78"/>
      <c r="I1144" s="78"/>
    </row>
    <row r="1145" spans="1:9" x14ac:dyDescent="0.2">
      <c r="A1145" s="78"/>
      <c r="B1145" s="78"/>
      <c r="C1145" s="78"/>
      <c r="D1145" s="78"/>
      <c r="E1145" s="78"/>
      <c r="F1145" s="78"/>
      <c r="G1145" s="78"/>
      <c r="H1145" s="78"/>
      <c r="I1145" s="78"/>
    </row>
    <row r="1146" spans="1:9" x14ac:dyDescent="0.2">
      <c r="A1146" s="78"/>
      <c r="B1146" s="78"/>
      <c r="C1146" s="78"/>
      <c r="D1146" s="78"/>
      <c r="E1146" s="78"/>
      <c r="F1146" s="78"/>
      <c r="G1146" s="78"/>
      <c r="H1146" s="78"/>
      <c r="I1146" s="78"/>
    </row>
    <row r="1147" spans="1:9" x14ac:dyDescent="0.2">
      <c r="A1147" s="78"/>
      <c r="B1147" s="78"/>
      <c r="C1147" s="78"/>
      <c r="D1147" s="78"/>
      <c r="E1147" s="78"/>
      <c r="F1147" s="78"/>
      <c r="G1147" s="78"/>
      <c r="H1147" s="78"/>
      <c r="I1147" s="78"/>
    </row>
    <row r="1148" spans="1:9" x14ac:dyDescent="0.2">
      <c r="A1148" s="78"/>
      <c r="B1148" s="78"/>
      <c r="C1148" s="78"/>
      <c r="D1148" s="78"/>
      <c r="E1148" s="78"/>
      <c r="F1148" s="78"/>
      <c r="G1148" s="78"/>
      <c r="H1148" s="78"/>
      <c r="I1148" s="78"/>
    </row>
    <row r="1149" spans="1:9" x14ac:dyDescent="0.2">
      <c r="A1149" s="78"/>
      <c r="B1149" s="78"/>
      <c r="C1149" s="78"/>
      <c r="D1149" s="78"/>
      <c r="E1149" s="78"/>
      <c r="F1149" s="78"/>
      <c r="G1149" s="78"/>
      <c r="H1149" s="78"/>
      <c r="I1149" s="78"/>
    </row>
    <row r="1150" spans="1:9" x14ac:dyDescent="0.2">
      <c r="A1150" s="78"/>
      <c r="B1150" s="78"/>
      <c r="C1150" s="78"/>
      <c r="D1150" s="78"/>
      <c r="E1150" s="78"/>
      <c r="F1150" s="78"/>
      <c r="G1150" s="78"/>
      <c r="H1150" s="78"/>
      <c r="I1150" s="78"/>
    </row>
    <row r="1151" spans="1:9" x14ac:dyDescent="0.2">
      <c r="A1151" s="78"/>
      <c r="B1151" s="78"/>
      <c r="C1151" s="78"/>
      <c r="D1151" s="78"/>
      <c r="E1151" s="78"/>
      <c r="F1151" s="78"/>
      <c r="G1151" s="78"/>
      <c r="H1151" s="78"/>
      <c r="I1151" s="78"/>
    </row>
    <row r="1152" spans="1:9" x14ac:dyDescent="0.2">
      <c r="A1152" s="78"/>
      <c r="B1152" s="78"/>
      <c r="C1152" s="78"/>
      <c r="D1152" s="78"/>
      <c r="E1152" s="78"/>
      <c r="F1152" s="78"/>
      <c r="G1152" s="78"/>
      <c r="H1152" s="78"/>
      <c r="I1152" s="78"/>
    </row>
    <row r="1153" spans="1:9" x14ac:dyDescent="0.2">
      <c r="A1153" s="78"/>
      <c r="B1153" s="78"/>
      <c r="C1153" s="78"/>
      <c r="D1153" s="78"/>
      <c r="E1153" s="78"/>
      <c r="F1153" s="78"/>
      <c r="G1153" s="78"/>
      <c r="H1153" s="78"/>
      <c r="I1153" s="78"/>
    </row>
    <row r="1154" spans="1:9" x14ac:dyDescent="0.2">
      <c r="A1154" s="78"/>
      <c r="B1154" s="78"/>
      <c r="C1154" s="78"/>
      <c r="D1154" s="78"/>
      <c r="E1154" s="78"/>
      <c r="F1154" s="78"/>
      <c r="G1154" s="78"/>
      <c r="H1154" s="78"/>
      <c r="I1154" s="78"/>
    </row>
    <row r="1155" spans="1:9" x14ac:dyDescent="0.2">
      <c r="A1155" s="78"/>
      <c r="B1155" s="78"/>
      <c r="C1155" s="78"/>
      <c r="D1155" s="78"/>
      <c r="E1155" s="78"/>
      <c r="F1155" s="78"/>
      <c r="G1155" s="78"/>
      <c r="H1155" s="78"/>
      <c r="I1155" s="78"/>
    </row>
    <row r="1156" spans="1:9" x14ac:dyDescent="0.2">
      <c r="A1156" s="78"/>
      <c r="B1156" s="78"/>
      <c r="C1156" s="78"/>
      <c r="D1156" s="78"/>
      <c r="E1156" s="78"/>
      <c r="F1156" s="78"/>
      <c r="G1156" s="78"/>
      <c r="H1156" s="78"/>
      <c r="I1156" s="78"/>
    </row>
    <row r="1157" spans="1:9" x14ac:dyDescent="0.2">
      <c r="A1157" s="78"/>
      <c r="B1157" s="78"/>
      <c r="C1157" s="78"/>
      <c r="D1157" s="78"/>
      <c r="E1157" s="78"/>
      <c r="F1157" s="78"/>
      <c r="G1157" s="78"/>
      <c r="H1157" s="78"/>
      <c r="I1157" s="78"/>
    </row>
    <row r="1158" spans="1:9" x14ac:dyDescent="0.2">
      <c r="A1158" s="78"/>
      <c r="B1158" s="78"/>
      <c r="C1158" s="78"/>
      <c r="D1158" s="78"/>
      <c r="E1158" s="78"/>
      <c r="F1158" s="78"/>
      <c r="G1158" s="78"/>
      <c r="H1158" s="78"/>
      <c r="I1158" s="78"/>
    </row>
    <row r="1159" spans="1:9" x14ac:dyDescent="0.2">
      <c r="A1159" s="78"/>
      <c r="B1159" s="78"/>
      <c r="C1159" s="78"/>
      <c r="D1159" s="78"/>
      <c r="E1159" s="78"/>
      <c r="F1159" s="78"/>
      <c r="G1159" s="78"/>
      <c r="H1159" s="78"/>
      <c r="I1159" s="78"/>
    </row>
    <row r="1160" spans="1:9" x14ac:dyDescent="0.2">
      <c r="A1160" s="78"/>
      <c r="B1160" s="78"/>
      <c r="C1160" s="78"/>
      <c r="D1160" s="78"/>
      <c r="E1160" s="78"/>
      <c r="F1160" s="78"/>
      <c r="G1160" s="78"/>
      <c r="H1160" s="78"/>
      <c r="I1160" s="78"/>
    </row>
    <row r="1161" spans="1:9" x14ac:dyDescent="0.2">
      <c r="A1161" s="78"/>
      <c r="B1161" s="78"/>
      <c r="C1161" s="78"/>
      <c r="D1161" s="78"/>
      <c r="E1161" s="78"/>
      <c r="F1161" s="78"/>
      <c r="G1161" s="78"/>
      <c r="H1161" s="78"/>
      <c r="I1161" s="78"/>
    </row>
    <row r="1162" spans="1:9" x14ac:dyDescent="0.2">
      <c r="A1162" s="78"/>
      <c r="B1162" s="78"/>
      <c r="C1162" s="78"/>
      <c r="D1162" s="78"/>
      <c r="E1162" s="78"/>
      <c r="F1162" s="78"/>
      <c r="G1162" s="78"/>
      <c r="H1162" s="78"/>
      <c r="I1162" s="78"/>
    </row>
    <row r="1163" spans="1:9" x14ac:dyDescent="0.2">
      <c r="A1163" s="78"/>
      <c r="B1163" s="78"/>
      <c r="C1163" s="78"/>
      <c r="D1163" s="78"/>
      <c r="E1163" s="78"/>
      <c r="F1163" s="78"/>
      <c r="G1163" s="78"/>
      <c r="H1163" s="78"/>
      <c r="I1163" s="78"/>
    </row>
    <row r="1164" spans="1:9" x14ac:dyDescent="0.2">
      <c r="A1164" s="78"/>
      <c r="B1164" s="78"/>
      <c r="C1164" s="78"/>
      <c r="D1164" s="78"/>
      <c r="E1164" s="78"/>
      <c r="F1164" s="78"/>
      <c r="G1164" s="78"/>
      <c r="H1164" s="78"/>
      <c r="I1164" s="78"/>
    </row>
    <row r="1165" spans="1:9" x14ac:dyDescent="0.2">
      <c r="A1165" s="78"/>
      <c r="B1165" s="78"/>
      <c r="C1165" s="78"/>
      <c r="D1165" s="78"/>
      <c r="E1165" s="78"/>
      <c r="F1165" s="78"/>
      <c r="G1165" s="78"/>
      <c r="H1165" s="78"/>
      <c r="I1165" s="78"/>
    </row>
    <row r="1166" spans="1:9" x14ac:dyDescent="0.2">
      <c r="A1166" s="78"/>
      <c r="B1166" s="78"/>
      <c r="C1166" s="78"/>
      <c r="D1166" s="78"/>
      <c r="E1166" s="78"/>
      <c r="F1166" s="78"/>
      <c r="G1166" s="78"/>
      <c r="H1166" s="78"/>
      <c r="I1166" s="78"/>
    </row>
    <row r="1167" spans="1:9" x14ac:dyDescent="0.2">
      <c r="A1167" s="78"/>
      <c r="B1167" s="78"/>
      <c r="C1167" s="78"/>
      <c r="D1167" s="78"/>
      <c r="E1167" s="78"/>
      <c r="F1167" s="78"/>
      <c r="G1167" s="78"/>
      <c r="H1167" s="78"/>
      <c r="I1167" s="78"/>
    </row>
    <row r="1168" spans="1:9" x14ac:dyDescent="0.2">
      <c r="A1168" s="78"/>
      <c r="B1168" s="78"/>
      <c r="C1168" s="78"/>
      <c r="D1168" s="78"/>
      <c r="E1168" s="78"/>
      <c r="F1168" s="78"/>
      <c r="G1168" s="78"/>
      <c r="H1168" s="78"/>
      <c r="I1168" s="78"/>
    </row>
    <row r="1169" spans="1:9" x14ac:dyDescent="0.2">
      <c r="A1169" s="78"/>
      <c r="B1169" s="78"/>
      <c r="C1169" s="78"/>
      <c r="D1169" s="78"/>
      <c r="E1169" s="78"/>
      <c r="F1169" s="78"/>
      <c r="G1169" s="78"/>
      <c r="H1169" s="78"/>
      <c r="I1169" s="78"/>
    </row>
    <row r="1170" spans="1:9" x14ac:dyDescent="0.2">
      <c r="A1170" s="78"/>
      <c r="B1170" s="78"/>
      <c r="C1170" s="78"/>
      <c r="D1170" s="78"/>
      <c r="E1170" s="78"/>
      <c r="F1170" s="78"/>
      <c r="G1170" s="78"/>
      <c r="H1170" s="78"/>
      <c r="I1170" s="78"/>
    </row>
    <row r="1171" spans="1:9" x14ac:dyDescent="0.2">
      <c r="A1171" s="78"/>
      <c r="B1171" s="78"/>
      <c r="C1171" s="78"/>
      <c r="D1171" s="78"/>
      <c r="E1171" s="78"/>
      <c r="F1171" s="78"/>
      <c r="G1171" s="78"/>
      <c r="H1171" s="78"/>
      <c r="I1171" s="78"/>
    </row>
    <row r="1172" spans="1:9" x14ac:dyDescent="0.2">
      <c r="A1172" s="78"/>
      <c r="B1172" s="78"/>
      <c r="C1172" s="78"/>
      <c r="D1172" s="78"/>
      <c r="E1172" s="78"/>
      <c r="F1172" s="78"/>
      <c r="G1172" s="78"/>
      <c r="H1172" s="78"/>
      <c r="I1172" s="78"/>
    </row>
    <row r="1173" spans="1:9" x14ac:dyDescent="0.2">
      <c r="A1173" s="78"/>
      <c r="B1173" s="78"/>
      <c r="C1173" s="78"/>
      <c r="D1173" s="78"/>
      <c r="E1173" s="78"/>
      <c r="F1173" s="78"/>
      <c r="G1173" s="78"/>
      <c r="H1173" s="78"/>
      <c r="I1173" s="78"/>
    </row>
    <row r="1174" spans="1:9" x14ac:dyDescent="0.2">
      <c r="A1174" s="78"/>
      <c r="B1174" s="78"/>
      <c r="C1174" s="78"/>
      <c r="D1174" s="78"/>
      <c r="E1174" s="78"/>
      <c r="F1174" s="78"/>
      <c r="G1174" s="78"/>
      <c r="H1174" s="78"/>
      <c r="I1174" s="78"/>
    </row>
    <row r="1175" spans="1:9" x14ac:dyDescent="0.2">
      <c r="A1175" s="78"/>
      <c r="B1175" s="78"/>
      <c r="C1175" s="78"/>
      <c r="D1175" s="78"/>
      <c r="E1175" s="78"/>
      <c r="F1175" s="78"/>
      <c r="G1175" s="78"/>
      <c r="H1175" s="78"/>
      <c r="I1175" s="78"/>
    </row>
    <row r="1176" spans="1:9" x14ac:dyDescent="0.2">
      <c r="A1176" s="78"/>
      <c r="B1176" s="78"/>
      <c r="C1176" s="78"/>
      <c r="D1176" s="78"/>
      <c r="E1176" s="78"/>
      <c r="F1176" s="78"/>
      <c r="G1176" s="78"/>
      <c r="H1176" s="78"/>
      <c r="I1176" s="78"/>
    </row>
    <row r="1177" spans="1:9" x14ac:dyDescent="0.2">
      <c r="A1177" s="78"/>
      <c r="B1177" s="78"/>
      <c r="C1177" s="78"/>
      <c r="D1177" s="78"/>
      <c r="E1177" s="78"/>
      <c r="F1177" s="78"/>
      <c r="G1177" s="78"/>
      <c r="H1177" s="78"/>
      <c r="I1177" s="78"/>
    </row>
    <row r="1178" spans="1:9" x14ac:dyDescent="0.2">
      <c r="A1178" s="78"/>
      <c r="B1178" s="78"/>
      <c r="C1178" s="78"/>
      <c r="D1178" s="78"/>
      <c r="E1178" s="78"/>
      <c r="F1178" s="78"/>
      <c r="G1178" s="78"/>
      <c r="H1178" s="78"/>
      <c r="I1178" s="78"/>
    </row>
    <row r="1179" spans="1:9" x14ac:dyDescent="0.2">
      <c r="A1179" s="78"/>
      <c r="B1179" s="78"/>
      <c r="C1179" s="78"/>
      <c r="D1179" s="78"/>
      <c r="E1179" s="78"/>
      <c r="F1179" s="78"/>
      <c r="G1179" s="78"/>
      <c r="H1179" s="78"/>
      <c r="I1179" s="78"/>
    </row>
    <row r="1180" spans="1:9" x14ac:dyDescent="0.2">
      <c r="A1180" s="78"/>
      <c r="B1180" s="78"/>
      <c r="C1180" s="78"/>
      <c r="D1180" s="78"/>
      <c r="E1180" s="78"/>
      <c r="F1180" s="78"/>
      <c r="G1180" s="78"/>
      <c r="H1180" s="78"/>
      <c r="I1180" s="78"/>
    </row>
    <row r="1181" spans="1:9" x14ac:dyDescent="0.2">
      <c r="A1181" s="78"/>
      <c r="B1181" s="78"/>
      <c r="C1181" s="78"/>
      <c r="D1181" s="78"/>
      <c r="E1181" s="78"/>
      <c r="F1181" s="78"/>
      <c r="G1181" s="78"/>
      <c r="H1181" s="78"/>
      <c r="I1181" s="78"/>
    </row>
    <row r="1182" spans="1:9" x14ac:dyDescent="0.2">
      <c r="A1182" s="78"/>
      <c r="B1182" s="78"/>
      <c r="C1182" s="78"/>
      <c r="D1182" s="78"/>
      <c r="E1182" s="78"/>
      <c r="F1182" s="78"/>
      <c r="G1182" s="78"/>
      <c r="H1182" s="78"/>
      <c r="I1182" s="78"/>
    </row>
    <row r="1183" spans="1:9" x14ac:dyDescent="0.2">
      <c r="A1183" s="78"/>
      <c r="B1183" s="78"/>
      <c r="C1183" s="78"/>
      <c r="D1183" s="78"/>
      <c r="E1183" s="78"/>
      <c r="F1183" s="78"/>
      <c r="G1183" s="78"/>
      <c r="H1183" s="78"/>
      <c r="I1183" s="78"/>
    </row>
    <row r="1184" spans="1:9" x14ac:dyDescent="0.2">
      <c r="A1184" s="78"/>
      <c r="B1184" s="78"/>
      <c r="C1184" s="78"/>
      <c r="D1184" s="78"/>
      <c r="E1184" s="78"/>
      <c r="F1184" s="78"/>
      <c r="G1184" s="78"/>
      <c r="H1184" s="78"/>
      <c r="I1184" s="78"/>
    </row>
    <row r="1185" spans="1:9" x14ac:dyDescent="0.2">
      <c r="A1185" s="78"/>
      <c r="B1185" s="78"/>
      <c r="C1185" s="78"/>
      <c r="D1185" s="78"/>
      <c r="E1185" s="78"/>
      <c r="F1185" s="78"/>
      <c r="G1185" s="78"/>
      <c r="H1185" s="78"/>
      <c r="I1185" s="78"/>
    </row>
    <row r="1186" spans="1:9" x14ac:dyDescent="0.2">
      <c r="A1186" s="78"/>
      <c r="B1186" s="78"/>
      <c r="C1186" s="78"/>
      <c r="D1186" s="78"/>
      <c r="E1186" s="78"/>
      <c r="F1186" s="78"/>
      <c r="G1186" s="78"/>
      <c r="H1186" s="78"/>
      <c r="I1186" s="78"/>
    </row>
    <row r="1187" spans="1:9" x14ac:dyDescent="0.2">
      <c r="A1187" s="78"/>
      <c r="B1187" s="78"/>
      <c r="C1187" s="78"/>
      <c r="D1187" s="78"/>
      <c r="E1187" s="78"/>
      <c r="F1187" s="78"/>
      <c r="G1187" s="78"/>
      <c r="H1187" s="78"/>
      <c r="I1187" s="78"/>
    </row>
    <row r="1188" spans="1:9" x14ac:dyDescent="0.2">
      <c r="A1188" s="78"/>
      <c r="B1188" s="78"/>
      <c r="C1188" s="78"/>
      <c r="D1188" s="78"/>
      <c r="E1188" s="78"/>
      <c r="F1188" s="78"/>
      <c r="G1188" s="78"/>
      <c r="H1188" s="78"/>
      <c r="I1188" s="78"/>
    </row>
    <row r="1189" spans="1:9" x14ac:dyDescent="0.2">
      <c r="A1189" s="78"/>
      <c r="B1189" s="78"/>
      <c r="C1189" s="78"/>
      <c r="D1189" s="78"/>
      <c r="E1189" s="78"/>
      <c r="F1189" s="78"/>
      <c r="G1189" s="78"/>
      <c r="H1189" s="78"/>
      <c r="I1189" s="78"/>
    </row>
    <row r="1190" spans="1:9" x14ac:dyDescent="0.2">
      <c r="A1190" s="78"/>
      <c r="B1190" s="78"/>
      <c r="C1190" s="78"/>
      <c r="D1190" s="78"/>
      <c r="E1190" s="78"/>
      <c r="F1190" s="78"/>
      <c r="G1190" s="78"/>
      <c r="H1190" s="78"/>
      <c r="I1190" s="78"/>
    </row>
    <row r="1191" spans="1:9" x14ac:dyDescent="0.2">
      <c r="A1191" s="78"/>
      <c r="B1191" s="78"/>
      <c r="C1191" s="78"/>
      <c r="D1191" s="78"/>
      <c r="E1191" s="78"/>
      <c r="F1191" s="78"/>
      <c r="G1191" s="78"/>
      <c r="H1191" s="78"/>
      <c r="I1191" s="78"/>
    </row>
    <row r="1192" spans="1:9" x14ac:dyDescent="0.2">
      <c r="A1192" s="78"/>
      <c r="B1192" s="78"/>
      <c r="C1192" s="78"/>
      <c r="D1192" s="78"/>
      <c r="E1192" s="78"/>
      <c r="F1192" s="78"/>
      <c r="G1192" s="78"/>
      <c r="H1192" s="78"/>
      <c r="I1192" s="78"/>
    </row>
    <row r="1193" spans="1:9" x14ac:dyDescent="0.2">
      <c r="A1193" s="78"/>
      <c r="B1193" s="78"/>
      <c r="C1193" s="78"/>
      <c r="D1193" s="78"/>
      <c r="E1193" s="78"/>
      <c r="F1193" s="78"/>
      <c r="G1193" s="78"/>
      <c r="H1193" s="78"/>
      <c r="I1193" s="78"/>
    </row>
    <row r="1194" spans="1:9" x14ac:dyDescent="0.2">
      <c r="A1194" s="78"/>
      <c r="B1194" s="78"/>
      <c r="C1194" s="78"/>
      <c r="D1194" s="78"/>
      <c r="E1194" s="78"/>
      <c r="F1194" s="78"/>
      <c r="G1194" s="78"/>
      <c r="H1194" s="78"/>
      <c r="I1194" s="78"/>
    </row>
    <row r="1195" spans="1:9" x14ac:dyDescent="0.2">
      <c r="A1195" s="78"/>
      <c r="B1195" s="78"/>
      <c r="C1195" s="78"/>
      <c r="D1195" s="78"/>
      <c r="E1195" s="78"/>
      <c r="F1195" s="78"/>
      <c r="G1195" s="78"/>
      <c r="H1195" s="78"/>
      <c r="I1195" s="78"/>
    </row>
    <row r="1196" spans="1:9" x14ac:dyDescent="0.2">
      <c r="A1196" s="78"/>
      <c r="B1196" s="78"/>
      <c r="C1196" s="78"/>
      <c r="D1196" s="78"/>
      <c r="E1196" s="78"/>
      <c r="F1196" s="78"/>
      <c r="G1196" s="78"/>
      <c r="H1196" s="78"/>
      <c r="I1196" s="78"/>
    </row>
    <row r="1197" spans="1:9" x14ac:dyDescent="0.2">
      <c r="A1197" s="78"/>
      <c r="B1197" s="78"/>
      <c r="C1197" s="78"/>
      <c r="D1197" s="78"/>
      <c r="E1197" s="78"/>
      <c r="F1197" s="78"/>
      <c r="G1197" s="78"/>
      <c r="H1197" s="78"/>
      <c r="I1197" s="78"/>
    </row>
    <row r="1198" spans="1:9" x14ac:dyDescent="0.2">
      <c r="A1198" s="78"/>
      <c r="B1198" s="78"/>
      <c r="C1198" s="78"/>
      <c r="D1198" s="78"/>
      <c r="E1198" s="78"/>
      <c r="F1198" s="78"/>
      <c r="G1198" s="78"/>
      <c r="H1198" s="78"/>
      <c r="I1198" s="78"/>
    </row>
    <row r="1199" spans="1:9" x14ac:dyDescent="0.2">
      <c r="A1199" s="78"/>
      <c r="B1199" s="78"/>
      <c r="C1199" s="78"/>
      <c r="D1199" s="78"/>
      <c r="E1199" s="78"/>
      <c r="F1199" s="78"/>
      <c r="G1199" s="78"/>
      <c r="H1199" s="78"/>
      <c r="I1199" s="78"/>
    </row>
    <row r="1200" spans="1:9" x14ac:dyDescent="0.2">
      <c r="A1200" s="78"/>
      <c r="B1200" s="78"/>
      <c r="C1200" s="78"/>
      <c r="D1200" s="78"/>
      <c r="E1200" s="78"/>
      <c r="F1200" s="78"/>
      <c r="G1200" s="78"/>
      <c r="H1200" s="78"/>
      <c r="I1200" s="78"/>
    </row>
    <row r="1201" spans="1:9" x14ac:dyDescent="0.2">
      <c r="A1201" s="78"/>
      <c r="B1201" s="78"/>
      <c r="C1201" s="78"/>
      <c r="D1201" s="78"/>
      <c r="E1201" s="78"/>
      <c r="F1201" s="78"/>
      <c r="G1201" s="78"/>
      <c r="H1201" s="78"/>
      <c r="I1201" s="78"/>
    </row>
    <row r="1202" spans="1:9" x14ac:dyDescent="0.2">
      <c r="A1202" s="78"/>
      <c r="B1202" s="78"/>
      <c r="C1202" s="78"/>
      <c r="D1202" s="78"/>
      <c r="E1202" s="78"/>
      <c r="F1202" s="78"/>
      <c r="G1202" s="78"/>
      <c r="H1202" s="78"/>
      <c r="I1202" s="78"/>
    </row>
    <row r="1203" spans="1:9" x14ac:dyDescent="0.2">
      <c r="A1203" s="78"/>
      <c r="B1203" s="78"/>
      <c r="C1203" s="78"/>
      <c r="D1203" s="78"/>
      <c r="E1203" s="78"/>
      <c r="F1203" s="78"/>
      <c r="G1203" s="78"/>
      <c r="H1203" s="78"/>
      <c r="I1203" s="78"/>
    </row>
    <row r="1204" spans="1:9" x14ac:dyDescent="0.2">
      <c r="A1204" s="78"/>
      <c r="B1204" s="78"/>
      <c r="C1204" s="78"/>
      <c r="D1204" s="78"/>
      <c r="E1204" s="78"/>
      <c r="F1204" s="78"/>
      <c r="G1204" s="78"/>
      <c r="H1204" s="78"/>
      <c r="I1204" s="78"/>
    </row>
    <row r="1205" spans="1:9" x14ac:dyDescent="0.2">
      <c r="A1205" s="78"/>
      <c r="B1205" s="78"/>
      <c r="C1205" s="78"/>
      <c r="D1205" s="78"/>
      <c r="E1205" s="78"/>
      <c r="F1205" s="78"/>
      <c r="G1205" s="78"/>
      <c r="H1205" s="78"/>
      <c r="I1205" s="78"/>
    </row>
    <row r="1206" spans="1:9" x14ac:dyDescent="0.2">
      <c r="A1206" s="78"/>
      <c r="B1206" s="78"/>
      <c r="C1206" s="78"/>
      <c r="D1206" s="78"/>
      <c r="E1206" s="78"/>
      <c r="F1206" s="78"/>
      <c r="G1206" s="78"/>
      <c r="H1206" s="78"/>
      <c r="I1206" s="78"/>
    </row>
    <row r="1207" spans="1:9" x14ac:dyDescent="0.2">
      <c r="A1207" s="78"/>
      <c r="B1207" s="78"/>
      <c r="C1207" s="78"/>
      <c r="D1207" s="78"/>
      <c r="E1207" s="78"/>
      <c r="F1207" s="78"/>
      <c r="G1207" s="78"/>
      <c r="H1207" s="78"/>
      <c r="I1207" s="78"/>
    </row>
    <row r="1208" spans="1:9" x14ac:dyDescent="0.2">
      <c r="A1208" s="78"/>
      <c r="B1208" s="78"/>
      <c r="C1208" s="78"/>
      <c r="D1208" s="78"/>
      <c r="E1208" s="78"/>
      <c r="F1208" s="78"/>
      <c r="G1208" s="78"/>
      <c r="H1208" s="78"/>
      <c r="I1208" s="78"/>
    </row>
    <row r="1209" spans="1:9" x14ac:dyDescent="0.2">
      <c r="A1209" s="78"/>
      <c r="B1209" s="78"/>
      <c r="C1209" s="78"/>
      <c r="D1209" s="78"/>
      <c r="E1209" s="78"/>
      <c r="F1209" s="78"/>
      <c r="G1209" s="78"/>
      <c r="H1209" s="78"/>
      <c r="I1209" s="78"/>
    </row>
    <row r="1210" spans="1:9" x14ac:dyDescent="0.2">
      <c r="A1210" s="78"/>
      <c r="B1210" s="78"/>
      <c r="C1210" s="78"/>
      <c r="D1210" s="78"/>
      <c r="E1210" s="78"/>
      <c r="F1210" s="78"/>
      <c r="G1210" s="78"/>
      <c r="H1210" s="78"/>
      <c r="I1210" s="78"/>
    </row>
    <row r="1211" spans="1:9" x14ac:dyDescent="0.2">
      <c r="A1211" s="78"/>
      <c r="B1211" s="78"/>
      <c r="C1211" s="78"/>
      <c r="D1211" s="78"/>
      <c r="E1211" s="78"/>
      <c r="F1211" s="78"/>
      <c r="G1211" s="78"/>
      <c r="H1211" s="78"/>
      <c r="I1211" s="78"/>
    </row>
    <row r="1212" spans="1:9" x14ac:dyDescent="0.2">
      <c r="A1212" s="78"/>
      <c r="B1212" s="78"/>
      <c r="C1212" s="78"/>
      <c r="D1212" s="78"/>
      <c r="E1212" s="78"/>
      <c r="F1212" s="78"/>
      <c r="G1212" s="78"/>
      <c r="H1212" s="78"/>
      <c r="I1212" s="78"/>
    </row>
    <row r="1213" spans="1:9" x14ac:dyDescent="0.2">
      <c r="A1213" s="78"/>
      <c r="B1213" s="78"/>
      <c r="C1213" s="78"/>
      <c r="D1213" s="78"/>
      <c r="E1213" s="78"/>
      <c r="F1213" s="78"/>
      <c r="G1213" s="78"/>
      <c r="H1213" s="78"/>
      <c r="I1213" s="78"/>
    </row>
    <row r="1214" spans="1:9" x14ac:dyDescent="0.2">
      <c r="A1214" s="78"/>
      <c r="B1214" s="78"/>
      <c r="C1214" s="78"/>
      <c r="D1214" s="78"/>
      <c r="E1214" s="78"/>
      <c r="F1214" s="78"/>
      <c r="G1214" s="78"/>
      <c r="H1214" s="78"/>
      <c r="I1214" s="78"/>
    </row>
    <row r="1215" spans="1:9" x14ac:dyDescent="0.2">
      <c r="A1215" s="78"/>
      <c r="B1215" s="78"/>
      <c r="C1215" s="78"/>
      <c r="D1215" s="78"/>
      <c r="E1215" s="78"/>
      <c r="F1215" s="78"/>
      <c r="G1215" s="78"/>
      <c r="H1215" s="78"/>
      <c r="I1215" s="78"/>
    </row>
    <row r="1216" spans="1:9" x14ac:dyDescent="0.2">
      <c r="A1216" s="78"/>
      <c r="B1216" s="78"/>
      <c r="C1216" s="78"/>
      <c r="D1216" s="78"/>
      <c r="E1216" s="78"/>
      <c r="F1216" s="78"/>
      <c r="G1216" s="78"/>
      <c r="H1216" s="78"/>
      <c r="I1216" s="78"/>
    </row>
    <row r="1217" spans="1:9" x14ac:dyDescent="0.2">
      <c r="A1217" s="78"/>
      <c r="B1217" s="78"/>
      <c r="C1217" s="78"/>
      <c r="D1217" s="78"/>
      <c r="E1217" s="78"/>
      <c r="F1217" s="78"/>
      <c r="G1217" s="78"/>
      <c r="H1217" s="78"/>
      <c r="I1217" s="78"/>
    </row>
    <row r="1218" spans="1:9" x14ac:dyDescent="0.2">
      <c r="A1218" s="78"/>
      <c r="B1218" s="78"/>
      <c r="C1218" s="78"/>
      <c r="D1218" s="78"/>
      <c r="E1218" s="78"/>
      <c r="F1218" s="78"/>
      <c r="G1218" s="78"/>
      <c r="H1218" s="78"/>
      <c r="I1218" s="78"/>
    </row>
    <row r="1219" spans="1:9" x14ac:dyDescent="0.2">
      <c r="A1219" s="78"/>
      <c r="B1219" s="78"/>
      <c r="C1219" s="78"/>
      <c r="D1219" s="78"/>
      <c r="E1219" s="78"/>
      <c r="F1219" s="78"/>
      <c r="G1219" s="78"/>
      <c r="H1219" s="78"/>
      <c r="I1219" s="78"/>
    </row>
    <row r="1220" spans="1:9" x14ac:dyDescent="0.2">
      <c r="A1220" s="78"/>
      <c r="B1220" s="78"/>
      <c r="C1220" s="78"/>
      <c r="D1220" s="78"/>
      <c r="E1220" s="78"/>
      <c r="F1220" s="78"/>
      <c r="G1220" s="78"/>
      <c r="H1220" s="78"/>
      <c r="I1220" s="78"/>
    </row>
    <row r="1221" spans="1:9" x14ac:dyDescent="0.2">
      <c r="A1221" s="78"/>
      <c r="B1221" s="78"/>
      <c r="C1221" s="78"/>
      <c r="D1221" s="78"/>
      <c r="E1221" s="78"/>
      <c r="F1221" s="78"/>
      <c r="G1221" s="78"/>
      <c r="H1221" s="78"/>
      <c r="I1221" s="78"/>
    </row>
    <row r="1222" spans="1:9" x14ac:dyDescent="0.2">
      <c r="A1222" s="78"/>
      <c r="B1222" s="78"/>
      <c r="C1222" s="78"/>
      <c r="D1222" s="78"/>
      <c r="E1222" s="78"/>
      <c r="F1222" s="78"/>
      <c r="G1222" s="78"/>
      <c r="H1222" s="78"/>
      <c r="I1222" s="78"/>
    </row>
    <row r="1223" spans="1:9" x14ac:dyDescent="0.2">
      <c r="A1223" s="78"/>
      <c r="B1223" s="78"/>
      <c r="C1223" s="78"/>
      <c r="D1223" s="78"/>
      <c r="E1223" s="78"/>
      <c r="F1223" s="78"/>
      <c r="G1223" s="78"/>
      <c r="H1223" s="78"/>
      <c r="I1223" s="78"/>
    </row>
    <row r="1224" spans="1:9" x14ac:dyDescent="0.2">
      <c r="A1224" s="78"/>
      <c r="B1224" s="78"/>
      <c r="C1224" s="78"/>
      <c r="D1224" s="78"/>
      <c r="E1224" s="78"/>
      <c r="F1224" s="78"/>
      <c r="G1224" s="78"/>
      <c r="H1224" s="78"/>
      <c r="I1224" s="78"/>
    </row>
    <row r="1225" spans="1:9" x14ac:dyDescent="0.2">
      <c r="A1225" s="78"/>
      <c r="B1225" s="78"/>
      <c r="C1225" s="78"/>
      <c r="D1225" s="78"/>
      <c r="E1225" s="78"/>
      <c r="F1225" s="78"/>
      <c r="G1225" s="78"/>
      <c r="H1225" s="78"/>
      <c r="I1225" s="78"/>
    </row>
    <row r="1226" spans="1:9" x14ac:dyDescent="0.2">
      <c r="A1226" s="78"/>
      <c r="B1226" s="78"/>
      <c r="C1226" s="78"/>
      <c r="D1226" s="78"/>
      <c r="E1226" s="78"/>
      <c r="F1226" s="78"/>
      <c r="G1226" s="78"/>
      <c r="H1226" s="78"/>
      <c r="I1226" s="78"/>
    </row>
    <row r="1227" spans="1:9" x14ac:dyDescent="0.2">
      <c r="A1227" s="78"/>
      <c r="B1227" s="78"/>
      <c r="C1227" s="78"/>
      <c r="D1227" s="78"/>
      <c r="E1227" s="78"/>
      <c r="F1227" s="78"/>
      <c r="G1227" s="78"/>
      <c r="H1227" s="78"/>
      <c r="I1227" s="78"/>
    </row>
    <row r="1228" spans="1:9" x14ac:dyDescent="0.2">
      <c r="A1228" s="78"/>
      <c r="B1228" s="78"/>
      <c r="C1228" s="78"/>
      <c r="D1228" s="78"/>
      <c r="E1228" s="78"/>
      <c r="F1228" s="78"/>
      <c r="G1228" s="78"/>
      <c r="H1228" s="78"/>
      <c r="I1228" s="78"/>
    </row>
    <row r="1229" spans="1:9" x14ac:dyDescent="0.2">
      <c r="A1229" s="78"/>
      <c r="B1229" s="78"/>
      <c r="C1229" s="78"/>
      <c r="D1229" s="78"/>
      <c r="E1229" s="78"/>
      <c r="F1229" s="78"/>
      <c r="G1229" s="78"/>
      <c r="H1229" s="78"/>
      <c r="I1229" s="78"/>
    </row>
    <row r="1230" spans="1:9" x14ac:dyDescent="0.2">
      <c r="A1230" s="78"/>
      <c r="B1230" s="78"/>
      <c r="C1230" s="78"/>
      <c r="D1230" s="78"/>
      <c r="E1230" s="78"/>
      <c r="F1230" s="78"/>
      <c r="G1230" s="78"/>
      <c r="H1230" s="78"/>
      <c r="I1230" s="78"/>
    </row>
    <row r="1231" spans="1:9" x14ac:dyDescent="0.2">
      <c r="A1231" s="78"/>
      <c r="B1231" s="78"/>
      <c r="C1231" s="78"/>
      <c r="D1231" s="78"/>
      <c r="E1231" s="78"/>
      <c r="F1231" s="78"/>
      <c r="G1231" s="78"/>
      <c r="H1231" s="78"/>
      <c r="I1231" s="78"/>
    </row>
    <row r="1232" spans="1:9" x14ac:dyDescent="0.2">
      <c r="A1232" s="78"/>
      <c r="B1232" s="78"/>
      <c r="C1232" s="78"/>
      <c r="D1232" s="78"/>
      <c r="E1232" s="78"/>
      <c r="F1232" s="78"/>
      <c r="G1232" s="78"/>
      <c r="H1232" s="78"/>
      <c r="I1232" s="78"/>
    </row>
    <row r="1233" spans="1:9" x14ac:dyDescent="0.2">
      <c r="A1233" s="78"/>
      <c r="B1233" s="78"/>
      <c r="C1233" s="78"/>
      <c r="D1233" s="78"/>
      <c r="E1233" s="78"/>
      <c r="F1233" s="78"/>
      <c r="G1233" s="78"/>
      <c r="H1233" s="78"/>
      <c r="I1233" s="78"/>
    </row>
    <row r="1234" spans="1:9" x14ac:dyDescent="0.2">
      <c r="A1234" s="78"/>
      <c r="B1234" s="78"/>
      <c r="C1234" s="78"/>
      <c r="D1234" s="78"/>
      <c r="E1234" s="78"/>
      <c r="F1234" s="78"/>
      <c r="G1234" s="78"/>
      <c r="H1234" s="78"/>
      <c r="I1234" s="78"/>
    </row>
    <row r="1235" spans="1:9" x14ac:dyDescent="0.2">
      <c r="A1235" s="78"/>
      <c r="B1235" s="78"/>
      <c r="C1235" s="78"/>
      <c r="D1235" s="78"/>
      <c r="E1235" s="78"/>
      <c r="F1235" s="78"/>
      <c r="G1235" s="78"/>
      <c r="H1235" s="78"/>
      <c r="I1235" s="78"/>
    </row>
    <row r="1236" spans="1:9" x14ac:dyDescent="0.2">
      <c r="A1236" s="78"/>
      <c r="B1236" s="78"/>
      <c r="C1236" s="78"/>
      <c r="D1236" s="78"/>
      <c r="E1236" s="78"/>
      <c r="F1236" s="78"/>
      <c r="G1236" s="78"/>
      <c r="H1236" s="78"/>
      <c r="I1236" s="78"/>
    </row>
    <row r="1237" spans="1:9" x14ac:dyDescent="0.2">
      <c r="A1237" s="78"/>
      <c r="B1237" s="78"/>
      <c r="C1237" s="78"/>
      <c r="D1237" s="78"/>
      <c r="E1237" s="78"/>
      <c r="F1237" s="78"/>
      <c r="G1237" s="78"/>
      <c r="H1237" s="78"/>
      <c r="I1237" s="78"/>
    </row>
    <row r="1238" spans="1:9" x14ac:dyDescent="0.2">
      <c r="A1238" s="78"/>
      <c r="B1238" s="78"/>
      <c r="C1238" s="78"/>
      <c r="D1238" s="78"/>
      <c r="E1238" s="78"/>
      <c r="F1238" s="78"/>
      <c r="G1238" s="78"/>
      <c r="H1238" s="78"/>
      <c r="I1238" s="78"/>
    </row>
    <row r="1239" spans="1:9" x14ac:dyDescent="0.2">
      <c r="A1239" s="78"/>
      <c r="B1239" s="78"/>
      <c r="C1239" s="78"/>
      <c r="D1239" s="78"/>
      <c r="E1239" s="78"/>
      <c r="F1239" s="78"/>
      <c r="G1239" s="78"/>
      <c r="H1239" s="78"/>
      <c r="I1239" s="78"/>
    </row>
    <row r="1240" spans="1:9" x14ac:dyDescent="0.2">
      <c r="A1240" s="78"/>
      <c r="B1240" s="78"/>
      <c r="C1240" s="78"/>
      <c r="D1240" s="78"/>
      <c r="E1240" s="78"/>
      <c r="F1240" s="78"/>
      <c r="G1240" s="78"/>
      <c r="H1240" s="78"/>
      <c r="I1240" s="78"/>
    </row>
    <row r="1241" spans="1:9" x14ac:dyDescent="0.2">
      <c r="A1241" s="78"/>
      <c r="B1241" s="78"/>
      <c r="C1241" s="78"/>
      <c r="D1241" s="78"/>
      <c r="E1241" s="78"/>
      <c r="F1241" s="78"/>
      <c r="G1241" s="78"/>
      <c r="H1241" s="78"/>
      <c r="I1241" s="78"/>
    </row>
    <row r="1242" spans="1:9" x14ac:dyDescent="0.2">
      <c r="A1242" s="78"/>
      <c r="B1242" s="78"/>
      <c r="C1242" s="78"/>
      <c r="D1242" s="78"/>
      <c r="E1242" s="78"/>
      <c r="F1242" s="78"/>
      <c r="G1242" s="78"/>
      <c r="H1242" s="78"/>
      <c r="I1242" s="78"/>
    </row>
    <row r="1243" spans="1:9" x14ac:dyDescent="0.2">
      <c r="A1243" s="78"/>
      <c r="B1243" s="78"/>
      <c r="C1243" s="78"/>
      <c r="D1243" s="78"/>
      <c r="E1243" s="78"/>
      <c r="F1243" s="78"/>
      <c r="G1243" s="78"/>
      <c r="H1243" s="78"/>
      <c r="I1243" s="78"/>
    </row>
    <row r="1244" spans="1:9" x14ac:dyDescent="0.2">
      <c r="A1244" s="78"/>
      <c r="B1244" s="78"/>
      <c r="C1244" s="78"/>
      <c r="D1244" s="78"/>
      <c r="E1244" s="78"/>
      <c r="F1244" s="78"/>
      <c r="G1244" s="78"/>
      <c r="H1244" s="78"/>
      <c r="I1244" s="78"/>
    </row>
    <row r="1245" spans="1:9" x14ac:dyDescent="0.2">
      <c r="A1245" s="78"/>
      <c r="B1245" s="78"/>
      <c r="C1245" s="78"/>
      <c r="D1245" s="78"/>
      <c r="E1245" s="78"/>
      <c r="F1245" s="78"/>
      <c r="G1245" s="78"/>
      <c r="H1245" s="78"/>
      <c r="I1245" s="78"/>
    </row>
    <row r="1246" spans="1:9" x14ac:dyDescent="0.2">
      <c r="A1246" s="78"/>
      <c r="B1246" s="78"/>
      <c r="C1246" s="78"/>
      <c r="D1246" s="78"/>
      <c r="E1246" s="78"/>
      <c r="F1246" s="78"/>
      <c r="G1246" s="78"/>
      <c r="H1246" s="78"/>
      <c r="I1246" s="78"/>
    </row>
    <row r="1247" spans="1:9" x14ac:dyDescent="0.2">
      <c r="A1247" s="78"/>
      <c r="B1247" s="78"/>
      <c r="C1247" s="78"/>
      <c r="D1247" s="78"/>
      <c r="E1247" s="78"/>
      <c r="F1247" s="78"/>
      <c r="G1247" s="78"/>
      <c r="H1247" s="78"/>
      <c r="I1247" s="78"/>
    </row>
    <row r="1248" spans="1:9" x14ac:dyDescent="0.2">
      <c r="A1248" s="78"/>
      <c r="B1248" s="78"/>
      <c r="C1248" s="78"/>
      <c r="D1248" s="78"/>
      <c r="E1248" s="78"/>
      <c r="F1248" s="78"/>
      <c r="G1248" s="78"/>
      <c r="H1248" s="78"/>
      <c r="I1248" s="78"/>
    </row>
    <row r="1249" spans="1:9" x14ac:dyDescent="0.2">
      <c r="A1249" s="78"/>
      <c r="B1249" s="78"/>
      <c r="C1249" s="78"/>
      <c r="D1249" s="78"/>
      <c r="E1249" s="78"/>
      <c r="F1249" s="78"/>
      <c r="G1249" s="78"/>
      <c r="H1249" s="78"/>
      <c r="I1249" s="78"/>
    </row>
    <row r="1250" spans="1:9" x14ac:dyDescent="0.2">
      <c r="A1250" s="78"/>
      <c r="B1250" s="78"/>
      <c r="C1250" s="78"/>
      <c r="D1250" s="78"/>
      <c r="E1250" s="78"/>
      <c r="F1250" s="78"/>
      <c r="G1250" s="78"/>
      <c r="H1250" s="78"/>
      <c r="I1250" s="78"/>
    </row>
    <row r="1251" spans="1:9" x14ac:dyDescent="0.2">
      <c r="A1251" s="78"/>
      <c r="B1251" s="78"/>
      <c r="C1251" s="78"/>
      <c r="D1251" s="78"/>
      <c r="E1251" s="78"/>
      <c r="F1251" s="78"/>
      <c r="G1251" s="78"/>
      <c r="H1251" s="78"/>
      <c r="I1251" s="78"/>
    </row>
    <row r="1252" spans="1:9" x14ac:dyDescent="0.2">
      <c r="A1252" s="78"/>
      <c r="B1252" s="78"/>
      <c r="C1252" s="78"/>
      <c r="D1252" s="78"/>
      <c r="E1252" s="78"/>
      <c r="F1252" s="78"/>
      <c r="G1252" s="78"/>
      <c r="H1252" s="78"/>
      <c r="I1252" s="78"/>
    </row>
    <row r="1253" spans="1:9" x14ac:dyDescent="0.2">
      <c r="A1253" s="78"/>
      <c r="B1253" s="78"/>
      <c r="C1253" s="78"/>
      <c r="D1253" s="78"/>
      <c r="E1253" s="78"/>
      <c r="F1253" s="78"/>
      <c r="G1253" s="78"/>
      <c r="H1253" s="78"/>
      <c r="I1253" s="78"/>
    </row>
    <row r="1254" spans="1:9" x14ac:dyDescent="0.2">
      <c r="A1254" s="78"/>
      <c r="B1254" s="78"/>
      <c r="C1254" s="78"/>
      <c r="D1254" s="78"/>
      <c r="E1254" s="78"/>
      <c r="F1254" s="78"/>
      <c r="G1254" s="78"/>
      <c r="H1254" s="78"/>
      <c r="I1254" s="78"/>
    </row>
    <row r="1255" spans="1:9" x14ac:dyDescent="0.2">
      <c r="A1255" s="78"/>
      <c r="B1255" s="78"/>
      <c r="C1255" s="78"/>
      <c r="D1255" s="78"/>
      <c r="E1255" s="78"/>
      <c r="F1255" s="78"/>
      <c r="G1255" s="78"/>
      <c r="H1255" s="78"/>
      <c r="I1255" s="78"/>
    </row>
    <row r="1256" spans="1:9" x14ac:dyDescent="0.2">
      <c r="A1256" s="78"/>
      <c r="B1256" s="78"/>
      <c r="C1256" s="78"/>
      <c r="D1256" s="78"/>
      <c r="E1256" s="78"/>
      <c r="F1256" s="78"/>
      <c r="G1256" s="78"/>
      <c r="H1256" s="78"/>
      <c r="I1256" s="78"/>
    </row>
    <row r="1257" spans="1:9" x14ac:dyDescent="0.2">
      <c r="A1257" s="78"/>
      <c r="B1257" s="78"/>
      <c r="C1257" s="78"/>
      <c r="D1257" s="78"/>
      <c r="E1257" s="78"/>
      <c r="F1257" s="78"/>
      <c r="G1257" s="78"/>
      <c r="H1257" s="78"/>
      <c r="I1257" s="78"/>
    </row>
    <row r="1258" spans="1:9" x14ac:dyDescent="0.2">
      <c r="A1258" s="78"/>
      <c r="B1258" s="78"/>
      <c r="C1258" s="78"/>
      <c r="D1258" s="78"/>
      <c r="E1258" s="78"/>
      <c r="F1258" s="78"/>
      <c r="G1258" s="78"/>
      <c r="H1258" s="78"/>
      <c r="I1258" s="78"/>
    </row>
    <row r="1259" spans="1:9" x14ac:dyDescent="0.2">
      <c r="A1259" s="78"/>
      <c r="B1259" s="78"/>
      <c r="C1259" s="78"/>
      <c r="D1259" s="78"/>
      <c r="E1259" s="78"/>
      <c r="F1259" s="78"/>
      <c r="G1259" s="78"/>
      <c r="H1259" s="78"/>
      <c r="I1259" s="78"/>
    </row>
    <row r="1260" spans="1:9" x14ac:dyDescent="0.2">
      <c r="A1260" s="78"/>
      <c r="B1260" s="78"/>
      <c r="C1260" s="78"/>
      <c r="D1260" s="78"/>
      <c r="E1260" s="78"/>
      <c r="F1260" s="78"/>
      <c r="G1260" s="78"/>
      <c r="H1260" s="78"/>
      <c r="I1260" s="78"/>
    </row>
    <row r="1261" spans="1:9" x14ac:dyDescent="0.2">
      <c r="A1261" s="78"/>
      <c r="B1261" s="78"/>
      <c r="C1261" s="78"/>
      <c r="D1261" s="78"/>
      <c r="E1261" s="78"/>
      <c r="F1261" s="78"/>
      <c r="G1261" s="78"/>
      <c r="H1261" s="78"/>
      <c r="I1261" s="78"/>
    </row>
    <row r="1262" spans="1:9" x14ac:dyDescent="0.2">
      <c r="A1262" s="78"/>
      <c r="B1262" s="78"/>
      <c r="C1262" s="78"/>
      <c r="D1262" s="78"/>
      <c r="E1262" s="78"/>
      <c r="F1262" s="78"/>
      <c r="G1262" s="78"/>
      <c r="H1262" s="78"/>
      <c r="I1262" s="78"/>
    </row>
    <row r="1263" spans="1:9" x14ac:dyDescent="0.2">
      <c r="A1263" s="78"/>
      <c r="B1263" s="78"/>
      <c r="C1263" s="78"/>
      <c r="D1263" s="78"/>
      <c r="E1263" s="78"/>
      <c r="F1263" s="78"/>
      <c r="G1263" s="78"/>
      <c r="H1263" s="78"/>
      <c r="I1263" s="78"/>
    </row>
    <row r="1264" spans="1:9" x14ac:dyDescent="0.2">
      <c r="A1264" s="78"/>
      <c r="B1264" s="78"/>
      <c r="C1264" s="78"/>
      <c r="D1264" s="78"/>
      <c r="E1264" s="78"/>
      <c r="F1264" s="78"/>
      <c r="G1264" s="78"/>
      <c r="H1264" s="78"/>
      <c r="I1264" s="78"/>
    </row>
    <row r="1265" spans="1:9" x14ac:dyDescent="0.2">
      <c r="A1265" s="78"/>
      <c r="B1265" s="78"/>
      <c r="C1265" s="78"/>
      <c r="D1265" s="78"/>
      <c r="E1265" s="78"/>
      <c r="F1265" s="78"/>
      <c r="G1265" s="78"/>
      <c r="H1265" s="78"/>
      <c r="I1265" s="78"/>
    </row>
    <row r="1266" spans="1:9" x14ac:dyDescent="0.2">
      <c r="A1266" s="78"/>
      <c r="B1266" s="78"/>
      <c r="C1266" s="78"/>
      <c r="D1266" s="78"/>
      <c r="E1266" s="78"/>
      <c r="F1266" s="78"/>
      <c r="G1266" s="78"/>
      <c r="H1266" s="78"/>
      <c r="I1266" s="78"/>
    </row>
    <row r="1267" spans="1:9" x14ac:dyDescent="0.2">
      <c r="A1267" s="78"/>
      <c r="B1267" s="78"/>
      <c r="C1267" s="78"/>
      <c r="D1267" s="78"/>
      <c r="E1267" s="78"/>
      <c r="F1267" s="78"/>
      <c r="G1267" s="78"/>
      <c r="H1267" s="78"/>
      <c r="I1267" s="78"/>
    </row>
    <row r="1268" spans="1:9" x14ac:dyDescent="0.2">
      <c r="A1268" s="78"/>
      <c r="B1268" s="78"/>
      <c r="C1268" s="78"/>
      <c r="D1268" s="78"/>
      <c r="E1268" s="78"/>
      <c r="F1268" s="78"/>
      <c r="G1268" s="78"/>
      <c r="H1268" s="78"/>
      <c r="I1268" s="78"/>
    </row>
    <row r="1269" spans="1:9" x14ac:dyDescent="0.2">
      <c r="A1269" s="78"/>
      <c r="B1269" s="78"/>
      <c r="C1269" s="78"/>
      <c r="D1269" s="78"/>
      <c r="E1269" s="78"/>
      <c r="F1269" s="78"/>
      <c r="G1269" s="78"/>
      <c r="H1269" s="78"/>
      <c r="I1269" s="78"/>
    </row>
    <row r="1270" spans="1:9" x14ac:dyDescent="0.2">
      <c r="A1270" s="78"/>
      <c r="B1270" s="78"/>
      <c r="C1270" s="78"/>
      <c r="D1270" s="78"/>
      <c r="E1270" s="78"/>
      <c r="F1270" s="78"/>
      <c r="G1270" s="78"/>
      <c r="H1270" s="78"/>
      <c r="I1270" s="78"/>
    </row>
    <row r="1271" spans="1:9" x14ac:dyDescent="0.2">
      <c r="A1271" s="78"/>
      <c r="B1271" s="78"/>
      <c r="C1271" s="78"/>
      <c r="D1271" s="78"/>
      <c r="E1271" s="78"/>
      <c r="F1271" s="78"/>
      <c r="G1271" s="78"/>
      <c r="H1271" s="78"/>
      <c r="I1271" s="78"/>
    </row>
    <row r="1272" spans="1:9" x14ac:dyDescent="0.2">
      <c r="A1272" s="78"/>
      <c r="B1272" s="78"/>
      <c r="C1272" s="78"/>
      <c r="D1272" s="78"/>
      <c r="E1272" s="78"/>
      <c r="F1272" s="78"/>
      <c r="G1272" s="78"/>
      <c r="H1272" s="78"/>
      <c r="I1272" s="78"/>
    </row>
    <row r="1273" spans="1:9" x14ac:dyDescent="0.2">
      <c r="A1273" s="78"/>
      <c r="B1273" s="78"/>
      <c r="C1273" s="78"/>
      <c r="D1273" s="78"/>
      <c r="E1273" s="78"/>
      <c r="F1273" s="78"/>
      <c r="G1273" s="78"/>
      <c r="H1273" s="78"/>
      <c r="I1273" s="78"/>
    </row>
    <row r="1274" spans="1:9" x14ac:dyDescent="0.2">
      <c r="A1274" s="78"/>
      <c r="B1274" s="78"/>
      <c r="C1274" s="78"/>
      <c r="D1274" s="78"/>
      <c r="E1274" s="78"/>
      <c r="F1274" s="78"/>
      <c r="G1274" s="78"/>
      <c r="H1274" s="78"/>
      <c r="I1274" s="78"/>
    </row>
    <row r="1275" spans="1:9" x14ac:dyDescent="0.2">
      <c r="A1275" s="78"/>
      <c r="B1275" s="78"/>
      <c r="C1275" s="78"/>
      <c r="D1275" s="78"/>
      <c r="E1275" s="78"/>
      <c r="F1275" s="78"/>
      <c r="G1275" s="78"/>
      <c r="H1275" s="78"/>
      <c r="I1275" s="78"/>
    </row>
    <row r="1276" spans="1:9" x14ac:dyDescent="0.2">
      <c r="A1276" s="78"/>
      <c r="B1276" s="78"/>
      <c r="C1276" s="78"/>
      <c r="D1276" s="78"/>
      <c r="E1276" s="78"/>
      <c r="F1276" s="78"/>
      <c r="G1276" s="78"/>
      <c r="H1276" s="78"/>
      <c r="I1276" s="78"/>
    </row>
    <row r="1277" spans="1:9" x14ac:dyDescent="0.2">
      <c r="A1277" s="78"/>
      <c r="B1277" s="78"/>
      <c r="C1277" s="78"/>
      <c r="D1277" s="78"/>
      <c r="E1277" s="78"/>
      <c r="F1277" s="78"/>
      <c r="G1277" s="78"/>
      <c r="H1277" s="78"/>
      <c r="I1277" s="78"/>
    </row>
    <row r="1278" spans="1:9" x14ac:dyDescent="0.2">
      <c r="A1278" s="78"/>
      <c r="B1278" s="78"/>
      <c r="C1278" s="78"/>
      <c r="D1278" s="78"/>
      <c r="E1278" s="78"/>
      <c r="F1278" s="78"/>
      <c r="G1278" s="78"/>
      <c r="H1278" s="78"/>
      <c r="I1278" s="78"/>
    </row>
    <row r="1279" spans="1:9" x14ac:dyDescent="0.2">
      <c r="A1279" s="78"/>
      <c r="B1279" s="78"/>
      <c r="C1279" s="78"/>
      <c r="D1279" s="78"/>
      <c r="E1279" s="78"/>
      <c r="F1279" s="78"/>
      <c r="G1279" s="78"/>
      <c r="H1279" s="78"/>
      <c r="I1279" s="78"/>
    </row>
    <row r="1280" spans="1:9" x14ac:dyDescent="0.2">
      <c r="A1280" s="78"/>
      <c r="B1280" s="78"/>
      <c r="C1280" s="78"/>
      <c r="D1280" s="78"/>
      <c r="E1280" s="78"/>
      <c r="F1280" s="78"/>
      <c r="G1280" s="78"/>
      <c r="H1280" s="78"/>
      <c r="I1280" s="78"/>
    </row>
    <row r="1281" spans="1:9" x14ac:dyDescent="0.2">
      <c r="A1281" s="78"/>
      <c r="B1281" s="78"/>
      <c r="C1281" s="78"/>
      <c r="D1281" s="78"/>
      <c r="E1281" s="78"/>
      <c r="F1281" s="78"/>
      <c r="G1281" s="78"/>
      <c r="H1281" s="78"/>
      <c r="I1281" s="78"/>
    </row>
    <row r="1282" spans="1:9" x14ac:dyDescent="0.2">
      <c r="A1282" s="78"/>
      <c r="B1282" s="78"/>
      <c r="C1282" s="78"/>
      <c r="D1282" s="78"/>
      <c r="E1282" s="78"/>
      <c r="F1282" s="78"/>
      <c r="G1282" s="78"/>
      <c r="H1282" s="78"/>
      <c r="I1282" s="78"/>
    </row>
    <row r="1283" spans="1:9" x14ac:dyDescent="0.2">
      <c r="A1283" s="78"/>
      <c r="B1283" s="78"/>
      <c r="C1283" s="78"/>
      <c r="D1283" s="78"/>
      <c r="E1283" s="78"/>
      <c r="F1283" s="78"/>
      <c r="G1283" s="78"/>
      <c r="H1283" s="78"/>
      <c r="I1283" s="78"/>
    </row>
    <row r="1284" spans="1:9" x14ac:dyDescent="0.2">
      <c r="A1284" s="78"/>
      <c r="B1284" s="78"/>
      <c r="C1284" s="78"/>
      <c r="D1284" s="78"/>
      <c r="E1284" s="78"/>
      <c r="F1284" s="78"/>
      <c r="G1284" s="78"/>
      <c r="H1284" s="78"/>
      <c r="I1284" s="78"/>
    </row>
    <row r="1285" spans="1:9" x14ac:dyDescent="0.2">
      <c r="A1285" s="78"/>
      <c r="B1285" s="78"/>
      <c r="C1285" s="78"/>
      <c r="D1285" s="78"/>
      <c r="E1285" s="78"/>
      <c r="F1285" s="78"/>
      <c r="G1285" s="78"/>
      <c r="H1285" s="78"/>
      <c r="I1285" s="78"/>
    </row>
    <row r="1286" spans="1:9" x14ac:dyDescent="0.2">
      <c r="A1286" s="78"/>
      <c r="B1286" s="78"/>
      <c r="C1286" s="78"/>
      <c r="D1286" s="78"/>
      <c r="E1286" s="78"/>
      <c r="F1286" s="78"/>
      <c r="G1286" s="78"/>
      <c r="H1286" s="78"/>
      <c r="I1286" s="78"/>
    </row>
    <row r="1287" spans="1:9" x14ac:dyDescent="0.2">
      <c r="A1287" s="78"/>
      <c r="B1287" s="78"/>
      <c r="C1287" s="78"/>
      <c r="D1287" s="78"/>
      <c r="E1287" s="78"/>
      <c r="F1287" s="78"/>
      <c r="G1287" s="78"/>
      <c r="H1287" s="78"/>
      <c r="I1287" s="78"/>
    </row>
    <row r="1288" spans="1:9" x14ac:dyDescent="0.2">
      <c r="A1288" s="78"/>
      <c r="B1288" s="78"/>
      <c r="C1288" s="78"/>
      <c r="D1288" s="78"/>
      <c r="E1288" s="78"/>
      <c r="F1288" s="78"/>
      <c r="G1288" s="78"/>
      <c r="H1288" s="78"/>
      <c r="I1288" s="78"/>
    </row>
    <row r="1289" spans="1:9" x14ac:dyDescent="0.2">
      <c r="A1289" s="78"/>
      <c r="B1289" s="78"/>
      <c r="C1289" s="78"/>
      <c r="D1289" s="78"/>
      <c r="E1289" s="78"/>
      <c r="F1289" s="78"/>
      <c r="G1289" s="78"/>
      <c r="H1289" s="78"/>
      <c r="I1289" s="78"/>
    </row>
    <row r="1290" spans="1:9" x14ac:dyDescent="0.2">
      <c r="A1290" s="78"/>
      <c r="B1290" s="78"/>
      <c r="C1290" s="78"/>
      <c r="D1290" s="78"/>
      <c r="E1290" s="78"/>
      <c r="F1290" s="78"/>
      <c r="G1290" s="78"/>
      <c r="H1290" s="78"/>
      <c r="I1290" s="78"/>
    </row>
    <row r="1291" spans="1:9" x14ac:dyDescent="0.2">
      <c r="A1291" s="78"/>
      <c r="B1291" s="78"/>
      <c r="C1291" s="78"/>
      <c r="D1291" s="78"/>
      <c r="E1291" s="78"/>
      <c r="F1291" s="78"/>
      <c r="G1291" s="78"/>
      <c r="H1291" s="78"/>
      <c r="I1291" s="78"/>
    </row>
    <row r="1292" spans="1:9" x14ac:dyDescent="0.2">
      <c r="A1292" s="78"/>
      <c r="B1292" s="78"/>
      <c r="C1292" s="78"/>
      <c r="D1292" s="78"/>
      <c r="E1292" s="78"/>
      <c r="F1292" s="78"/>
      <c r="G1292" s="78"/>
      <c r="H1292" s="78"/>
      <c r="I1292" s="78"/>
    </row>
    <row r="1293" spans="1:9" x14ac:dyDescent="0.2">
      <c r="A1293" s="78"/>
      <c r="B1293" s="78"/>
      <c r="C1293" s="78"/>
      <c r="D1293" s="78"/>
      <c r="E1293" s="78"/>
      <c r="F1293" s="78"/>
      <c r="G1293" s="78"/>
      <c r="H1293" s="78"/>
      <c r="I1293" s="78"/>
    </row>
    <row r="1294" spans="1:9" x14ac:dyDescent="0.2">
      <c r="A1294" s="78"/>
      <c r="B1294" s="78"/>
      <c r="C1294" s="78"/>
      <c r="D1294" s="78"/>
      <c r="E1294" s="78"/>
      <c r="F1294" s="78"/>
      <c r="G1294" s="78"/>
      <c r="H1294" s="78"/>
      <c r="I1294" s="78"/>
    </row>
    <row r="1295" spans="1:9" x14ac:dyDescent="0.2">
      <c r="A1295" s="78"/>
      <c r="B1295" s="78"/>
      <c r="C1295" s="78"/>
      <c r="D1295" s="78"/>
      <c r="E1295" s="78"/>
      <c r="F1295" s="78"/>
      <c r="G1295" s="78"/>
      <c r="H1295" s="78"/>
      <c r="I1295" s="78"/>
    </row>
    <row r="1296" spans="1:9" x14ac:dyDescent="0.2">
      <c r="A1296" s="78"/>
      <c r="B1296" s="78"/>
      <c r="C1296" s="78"/>
      <c r="D1296" s="78"/>
      <c r="E1296" s="78"/>
      <c r="F1296" s="78"/>
      <c r="G1296" s="78"/>
      <c r="H1296" s="78"/>
      <c r="I1296" s="78"/>
    </row>
    <row r="1297" spans="1:9" x14ac:dyDescent="0.2">
      <c r="A1297" s="78"/>
      <c r="B1297" s="78"/>
      <c r="C1297" s="78"/>
      <c r="D1297" s="78"/>
      <c r="E1297" s="78"/>
      <c r="F1297" s="78"/>
      <c r="G1297" s="78"/>
      <c r="H1297" s="78"/>
      <c r="I1297" s="78"/>
    </row>
    <row r="1298" spans="1:9" x14ac:dyDescent="0.2">
      <c r="A1298" s="78"/>
      <c r="B1298" s="78"/>
      <c r="C1298" s="78"/>
      <c r="D1298" s="78"/>
      <c r="E1298" s="78"/>
      <c r="F1298" s="78"/>
      <c r="G1298" s="78"/>
      <c r="H1298" s="78"/>
      <c r="I1298" s="78"/>
    </row>
    <row r="1299" spans="1:9" x14ac:dyDescent="0.2">
      <c r="A1299" s="78"/>
      <c r="B1299" s="78"/>
      <c r="C1299" s="78"/>
      <c r="D1299" s="78"/>
      <c r="E1299" s="78"/>
      <c r="F1299" s="78"/>
      <c r="G1299" s="78"/>
      <c r="H1299" s="78"/>
      <c r="I1299" s="78"/>
    </row>
    <row r="1300" spans="1:9" x14ac:dyDescent="0.2">
      <c r="A1300" s="78"/>
      <c r="B1300" s="78"/>
      <c r="C1300" s="78"/>
      <c r="D1300" s="78"/>
      <c r="E1300" s="78"/>
      <c r="F1300" s="78"/>
      <c r="G1300" s="78"/>
      <c r="H1300" s="78"/>
      <c r="I1300" s="78"/>
    </row>
    <row r="1301" spans="1:9" x14ac:dyDescent="0.2">
      <c r="A1301" s="78"/>
      <c r="B1301" s="78"/>
      <c r="C1301" s="78"/>
      <c r="D1301" s="78"/>
      <c r="E1301" s="78"/>
      <c r="F1301" s="78"/>
      <c r="G1301" s="78"/>
      <c r="H1301" s="78"/>
      <c r="I1301" s="78"/>
    </row>
    <row r="1302" spans="1:9" x14ac:dyDescent="0.2">
      <c r="A1302" s="78"/>
      <c r="B1302" s="78"/>
      <c r="C1302" s="78"/>
      <c r="D1302" s="78"/>
      <c r="E1302" s="78"/>
      <c r="F1302" s="78"/>
      <c r="G1302" s="78"/>
      <c r="H1302" s="78"/>
      <c r="I1302" s="78"/>
    </row>
    <row r="1303" spans="1:9" x14ac:dyDescent="0.2">
      <c r="A1303" s="78"/>
      <c r="B1303" s="78"/>
      <c r="C1303" s="78"/>
      <c r="D1303" s="78"/>
      <c r="E1303" s="78"/>
      <c r="F1303" s="78"/>
      <c r="G1303" s="78"/>
      <c r="H1303" s="78"/>
      <c r="I1303" s="78"/>
    </row>
    <row r="1304" spans="1:9" x14ac:dyDescent="0.2">
      <c r="A1304" s="78"/>
      <c r="B1304" s="78"/>
      <c r="C1304" s="78"/>
      <c r="D1304" s="78"/>
      <c r="E1304" s="78"/>
      <c r="F1304" s="78"/>
      <c r="G1304" s="78"/>
      <c r="H1304" s="78"/>
      <c r="I1304" s="78"/>
    </row>
    <row r="1305" spans="1:9" x14ac:dyDescent="0.2">
      <c r="A1305" s="78"/>
      <c r="B1305" s="78"/>
      <c r="C1305" s="78"/>
      <c r="D1305" s="78"/>
      <c r="E1305" s="78"/>
      <c r="F1305" s="78"/>
      <c r="G1305" s="78"/>
      <c r="H1305" s="78"/>
      <c r="I1305" s="78"/>
    </row>
    <row r="1306" spans="1:9" x14ac:dyDescent="0.2">
      <c r="A1306" s="78"/>
      <c r="B1306" s="78"/>
      <c r="C1306" s="78"/>
      <c r="D1306" s="78"/>
      <c r="E1306" s="78"/>
      <c r="F1306" s="78"/>
      <c r="G1306" s="78"/>
      <c r="H1306" s="78"/>
      <c r="I1306" s="78"/>
    </row>
    <row r="1307" spans="1:9" x14ac:dyDescent="0.2">
      <c r="A1307" s="78"/>
      <c r="B1307" s="78"/>
      <c r="C1307" s="78"/>
      <c r="D1307" s="78"/>
      <c r="E1307" s="78"/>
      <c r="F1307" s="78"/>
      <c r="G1307" s="78"/>
      <c r="H1307" s="78"/>
      <c r="I1307" s="78"/>
    </row>
    <row r="1308" spans="1:9" x14ac:dyDescent="0.2">
      <c r="A1308" s="78"/>
      <c r="B1308" s="78"/>
      <c r="C1308" s="78"/>
      <c r="D1308" s="78"/>
      <c r="E1308" s="78"/>
      <c r="F1308" s="78"/>
      <c r="G1308" s="78"/>
      <c r="H1308" s="78"/>
      <c r="I1308" s="78"/>
    </row>
    <row r="1309" spans="1:9" x14ac:dyDescent="0.2">
      <c r="A1309" s="78"/>
      <c r="B1309" s="78"/>
      <c r="C1309" s="78"/>
      <c r="D1309" s="78"/>
      <c r="E1309" s="78"/>
      <c r="F1309" s="78"/>
      <c r="G1309" s="78"/>
      <c r="H1309" s="78"/>
      <c r="I1309" s="78"/>
    </row>
    <row r="1310" spans="1:9" x14ac:dyDescent="0.2">
      <c r="A1310" s="78"/>
      <c r="B1310" s="78"/>
      <c r="C1310" s="78"/>
      <c r="D1310" s="78"/>
      <c r="E1310" s="78"/>
      <c r="F1310" s="78"/>
      <c r="G1310" s="78"/>
      <c r="H1310" s="78"/>
      <c r="I1310" s="78"/>
    </row>
    <row r="1311" spans="1:9" x14ac:dyDescent="0.2">
      <c r="A1311" s="78"/>
      <c r="B1311" s="78"/>
      <c r="C1311" s="78"/>
      <c r="D1311" s="78"/>
      <c r="E1311" s="78"/>
      <c r="F1311" s="78"/>
      <c r="G1311" s="78"/>
      <c r="H1311" s="78"/>
      <c r="I1311" s="78"/>
    </row>
    <row r="1312" spans="1:9" x14ac:dyDescent="0.2">
      <c r="A1312" s="78"/>
      <c r="B1312" s="78"/>
      <c r="C1312" s="78"/>
      <c r="D1312" s="78"/>
      <c r="E1312" s="78"/>
      <c r="F1312" s="78"/>
      <c r="G1312" s="78"/>
      <c r="H1312" s="78"/>
      <c r="I1312" s="78"/>
    </row>
    <row r="1313" spans="1:9" x14ac:dyDescent="0.2">
      <c r="A1313" s="78"/>
      <c r="B1313" s="78"/>
      <c r="C1313" s="78"/>
      <c r="D1313" s="78"/>
      <c r="E1313" s="78"/>
      <c r="F1313" s="78"/>
      <c r="G1313" s="78"/>
      <c r="H1313" s="78"/>
      <c r="I1313" s="78"/>
    </row>
    <row r="1314" spans="1:9" x14ac:dyDescent="0.2">
      <c r="A1314" s="78"/>
      <c r="B1314" s="78"/>
      <c r="C1314" s="78"/>
      <c r="D1314" s="78"/>
      <c r="E1314" s="78"/>
      <c r="F1314" s="78"/>
      <c r="G1314" s="78"/>
      <c r="H1314" s="78"/>
      <c r="I1314" s="78"/>
    </row>
    <row r="1315" spans="1:9" x14ac:dyDescent="0.2">
      <c r="A1315" s="78"/>
      <c r="B1315" s="78"/>
      <c r="C1315" s="78"/>
      <c r="D1315" s="78"/>
      <c r="E1315" s="78"/>
      <c r="F1315" s="78"/>
      <c r="G1315" s="78"/>
      <c r="H1315" s="78"/>
      <c r="I1315" s="78"/>
    </row>
    <row r="1316" spans="1:9" x14ac:dyDescent="0.2">
      <c r="A1316" s="78"/>
      <c r="B1316" s="78"/>
      <c r="C1316" s="78"/>
      <c r="D1316" s="78"/>
      <c r="E1316" s="78"/>
      <c r="F1316" s="78"/>
      <c r="G1316" s="78"/>
      <c r="H1316" s="78"/>
      <c r="I1316" s="78"/>
    </row>
    <row r="1317" spans="1:9" x14ac:dyDescent="0.2">
      <c r="A1317" s="78"/>
      <c r="B1317" s="78"/>
      <c r="C1317" s="78"/>
      <c r="D1317" s="78"/>
      <c r="E1317" s="78"/>
      <c r="F1317" s="78"/>
      <c r="G1317" s="78"/>
      <c r="H1317" s="78"/>
      <c r="I1317" s="78"/>
    </row>
    <row r="1318" spans="1:9" x14ac:dyDescent="0.2">
      <c r="A1318" s="78"/>
      <c r="B1318" s="78"/>
      <c r="C1318" s="78"/>
      <c r="D1318" s="78"/>
      <c r="E1318" s="78"/>
      <c r="F1318" s="78"/>
      <c r="G1318" s="78"/>
      <c r="H1318" s="78"/>
      <c r="I1318" s="78"/>
    </row>
    <row r="1319" spans="1:9" x14ac:dyDescent="0.2">
      <c r="A1319" s="78"/>
      <c r="B1319" s="78"/>
      <c r="C1319" s="78"/>
      <c r="D1319" s="78"/>
      <c r="E1319" s="78"/>
      <c r="F1319" s="78"/>
      <c r="G1319" s="78"/>
      <c r="H1319" s="78"/>
      <c r="I1319" s="78"/>
    </row>
    <row r="1320" spans="1:9" x14ac:dyDescent="0.2">
      <c r="A1320" s="78"/>
      <c r="B1320" s="78"/>
      <c r="C1320" s="78"/>
      <c r="D1320" s="78"/>
      <c r="E1320" s="78"/>
      <c r="F1320" s="78"/>
      <c r="G1320" s="78"/>
      <c r="H1320" s="78"/>
      <c r="I1320" s="78"/>
    </row>
    <row r="1321" spans="1:9" x14ac:dyDescent="0.2">
      <c r="A1321" s="78"/>
      <c r="B1321" s="78"/>
      <c r="C1321" s="78"/>
      <c r="D1321" s="78"/>
      <c r="E1321" s="78"/>
      <c r="F1321" s="78"/>
      <c r="G1321" s="78"/>
      <c r="H1321" s="78"/>
      <c r="I1321" s="78"/>
    </row>
    <row r="1322" spans="1:9" x14ac:dyDescent="0.2">
      <c r="A1322" s="78"/>
      <c r="B1322" s="78"/>
      <c r="C1322" s="78"/>
      <c r="D1322" s="78"/>
      <c r="E1322" s="78"/>
      <c r="F1322" s="78"/>
      <c r="G1322" s="78"/>
      <c r="H1322" s="78"/>
      <c r="I1322" s="78"/>
    </row>
    <row r="1323" spans="1:9" x14ac:dyDescent="0.2">
      <c r="A1323" s="78"/>
      <c r="B1323" s="78"/>
      <c r="C1323" s="78"/>
      <c r="D1323" s="78"/>
      <c r="E1323" s="78"/>
      <c r="F1323" s="78"/>
      <c r="G1323" s="78"/>
      <c r="H1323" s="78"/>
      <c r="I1323" s="78"/>
    </row>
    <row r="1324" spans="1:9" x14ac:dyDescent="0.2">
      <c r="A1324" s="78"/>
      <c r="B1324" s="78"/>
      <c r="C1324" s="78"/>
      <c r="D1324" s="78"/>
      <c r="E1324" s="78"/>
      <c r="F1324" s="78"/>
      <c r="G1324" s="78"/>
      <c r="H1324" s="78"/>
      <c r="I1324" s="78"/>
    </row>
    <row r="1325" spans="1:9" x14ac:dyDescent="0.2">
      <c r="A1325" s="78"/>
      <c r="B1325" s="78"/>
      <c r="C1325" s="78"/>
      <c r="D1325" s="78"/>
      <c r="E1325" s="78"/>
      <c r="F1325" s="78"/>
      <c r="G1325" s="78"/>
      <c r="H1325" s="78"/>
      <c r="I1325" s="78"/>
    </row>
    <row r="1326" spans="1:9" x14ac:dyDescent="0.2">
      <c r="A1326" s="78"/>
      <c r="B1326" s="78"/>
      <c r="C1326" s="78"/>
      <c r="D1326" s="78"/>
      <c r="E1326" s="78"/>
      <c r="F1326" s="78"/>
      <c r="G1326" s="78"/>
      <c r="H1326" s="78"/>
      <c r="I1326" s="78"/>
    </row>
    <row r="1327" spans="1:9" x14ac:dyDescent="0.2">
      <c r="A1327" s="78"/>
      <c r="B1327" s="78"/>
      <c r="C1327" s="78"/>
      <c r="D1327" s="78"/>
      <c r="E1327" s="78"/>
      <c r="F1327" s="78"/>
      <c r="G1327" s="78"/>
      <c r="H1327" s="78"/>
      <c r="I1327" s="78"/>
    </row>
    <row r="1328" spans="1:9" x14ac:dyDescent="0.2">
      <c r="A1328" s="78"/>
      <c r="B1328" s="78"/>
      <c r="C1328" s="78"/>
      <c r="D1328" s="78"/>
      <c r="E1328" s="78"/>
      <c r="F1328" s="78"/>
      <c r="G1328" s="78"/>
      <c r="H1328" s="78"/>
      <c r="I1328" s="78"/>
    </row>
    <row r="1329" spans="1:9" x14ac:dyDescent="0.2">
      <c r="A1329" s="78"/>
      <c r="B1329" s="78"/>
      <c r="C1329" s="78"/>
      <c r="D1329" s="78"/>
      <c r="E1329" s="78"/>
      <c r="F1329" s="78"/>
      <c r="G1329" s="78"/>
      <c r="H1329" s="78"/>
      <c r="I1329" s="78"/>
    </row>
    <row r="1330" spans="1:9" x14ac:dyDescent="0.2">
      <c r="A1330" s="78"/>
      <c r="B1330" s="78"/>
      <c r="C1330" s="78"/>
      <c r="D1330" s="78"/>
      <c r="E1330" s="78"/>
      <c r="F1330" s="78"/>
      <c r="G1330" s="78"/>
      <c r="H1330" s="78"/>
      <c r="I1330" s="78"/>
    </row>
    <row r="1331" spans="1:9" x14ac:dyDescent="0.2">
      <c r="A1331" s="78"/>
      <c r="B1331" s="78"/>
      <c r="C1331" s="78"/>
      <c r="D1331" s="78"/>
      <c r="E1331" s="78"/>
      <c r="F1331" s="78"/>
      <c r="G1331" s="78"/>
      <c r="H1331" s="78"/>
      <c r="I1331" s="78"/>
    </row>
    <row r="1332" spans="1:9" x14ac:dyDescent="0.2">
      <c r="A1332" s="78"/>
      <c r="B1332" s="78"/>
      <c r="C1332" s="78"/>
      <c r="D1332" s="78"/>
      <c r="E1332" s="78"/>
      <c r="F1332" s="78"/>
      <c r="G1332" s="78"/>
      <c r="H1332" s="78"/>
      <c r="I1332" s="78"/>
    </row>
    <row r="1333" spans="1:9" x14ac:dyDescent="0.2">
      <c r="A1333" s="78"/>
      <c r="B1333" s="78"/>
      <c r="C1333" s="78"/>
      <c r="D1333" s="78"/>
      <c r="E1333" s="78"/>
      <c r="F1333" s="78"/>
      <c r="G1333" s="78"/>
      <c r="H1333" s="78"/>
      <c r="I1333" s="78"/>
    </row>
    <row r="1334" spans="1:9" x14ac:dyDescent="0.2">
      <c r="A1334" s="78"/>
      <c r="B1334" s="78"/>
      <c r="C1334" s="78"/>
      <c r="D1334" s="78"/>
      <c r="E1334" s="78"/>
      <c r="F1334" s="78"/>
      <c r="G1334" s="78"/>
      <c r="H1334" s="78"/>
      <c r="I1334" s="78"/>
    </row>
    <row r="1335" spans="1:9" x14ac:dyDescent="0.2">
      <c r="A1335" s="78"/>
      <c r="B1335" s="78"/>
      <c r="C1335" s="78"/>
      <c r="D1335" s="78"/>
      <c r="E1335" s="78"/>
      <c r="F1335" s="78"/>
      <c r="G1335" s="78"/>
      <c r="H1335" s="78"/>
      <c r="I1335" s="78"/>
    </row>
    <row r="1336" spans="1:9" x14ac:dyDescent="0.2">
      <c r="A1336" s="78"/>
      <c r="B1336" s="78"/>
      <c r="C1336" s="78"/>
      <c r="D1336" s="78"/>
      <c r="E1336" s="78"/>
      <c r="F1336" s="78"/>
      <c r="G1336" s="78"/>
      <c r="H1336" s="78"/>
      <c r="I1336" s="78"/>
    </row>
    <row r="1337" spans="1:9" x14ac:dyDescent="0.2">
      <c r="A1337" s="78"/>
      <c r="B1337" s="78"/>
      <c r="C1337" s="78"/>
      <c r="D1337" s="78"/>
      <c r="E1337" s="78"/>
      <c r="F1337" s="78"/>
      <c r="G1337" s="78"/>
      <c r="H1337" s="78"/>
      <c r="I1337" s="78"/>
    </row>
    <row r="1338" spans="1:9" x14ac:dyDescent="0.2">
      <c r="A1338" s="78"/>
      <c r="B1338" s="78"/>
      <c r="C1338" s="78"/>
      <c r="D1338" s="78"/>
      <c r="E1338" s="78"/>
      <c r="F1338" s="78"/>
      <c r="G1338" s="78"/>
      <c r="H1338" s="78"/>
      <c r="I1338" s="78"/>
    </row>
    <row r="1339" spans="1:9" x14ac:dyDescent="0.2">
      <c r="A1339" s="78"/>
      <c r="B1339" s="78"/>
      <c r="C1339" s="78"/>
      <c r="D1339" s="78"/>
      <c r="E1339" s="78"/>
      <c r="F1339" s="78"/>
      <c r="G1339" s="78"/>
      <c r="H1339" s="78"/>
      <c r="I1339" s="78"/>
    </row>
    <row r="1340" spans="1:9" x14ac:dyDescent="0.2">
      <c r="A1340" s="78"/>
      <c r="B1340" s="78"/>
      <c r="C1340" s="78"/>
      <c r="D1340" s="78"/>
      <c r="E1340" s="78"/>
      <c r="F1340" s="78"/>
      <c r="G1340" s="78"/>
      <c r="H1340" s="78"/>
      <c r="I1340" s="78"/>
    </row>
    <row r="1341" spans="1:9" x14ac:dyDescent="0.2">
      <c r="A1341" s="78"/>
      <c r="B1341" s="78"/>
      <c r="C1341" s="78"/>
      <c r="D1341" s="78"/>
      <c r="E1341" s="78"/>
      <c r="F1341" s="78"/>
      <c r="G1341" s="78"/>
      <c r="H1341" s="78"/>
      <c r="I1341" s="78"/>
    </row>
    <row r="1342" spans="1:9" x14ac:dyDescent="0.2">
      <c r="A1342" s="78"/>
      <c r="B1342" s="78"/>
      <c r="C1342" s="78"/>
      <c r="D1342" s="78"/>
      <c r="E1342" s="78"/>
      <c r="F1342" s="78"/>
      <c r="G1342" s="78"/>
      <c r="H1342" s="78"/>
      <c r="I1342" s="78"/>
    </row>
    <row r="1343" spans="1:9" x14ac:dyDescent="0.2">
      <c r="A1343" s="78"/>
      <c r="B1343" s="78"/>
      <c r="C1343" s="78"/>
      <c r="D1343" s="78"/>
      <c r="E1343" s="78"/>
      <c r="F1343" s="78"/>
      <c r="G1343" s="78"/>
      <c r="H1343" s="78"/>
      <c r="I1343" s="78"/>
    </row>
    <row r="1344" spans="1:9" x14ac:dyDescent="0.2">
      <c r="A1344" s="78"/>
      <c r="B1344" s="78"/>
      <c r="C1344" s="78"/>
      <c r="D1344" s="78"/>
      <c r="E1344" s="78"/>
      <c r="F1344" s="78"/>
      <c r="G1344" s="78"/>
      <c r="H1344" s="78"/>
      <c r="I1344" s="78"/>
    </row>
    <row r="1345" spans="1:9" x14ac:dyDescent="0.2">
      <c r="A1345" s="78"/>
      <c r="B1345" s="78"/>
      <c r="C1345" s="78"/>
      <c r="D1345" s="78"/>
      <c r="E1345" s="78"/>
      <c r="F1345" s="78"/>
      <c r="G1345" s="78"/>
      <c r="H1345" s="78"/>
      <c r="I1345" s="78"/>
    </row>
    <row r="1346" spans="1:9" x14ac:dyDescent="0.2">
      <c r="A1346" s="78"/>
      <c r="B1346" s="78"/>
      <c r="C1346" s="78"/>
      <c r="D1346" s="78"/>
      <c r="E1346" s="78"/>
      <c r="F1346" s="78"/>
      <c r="G1346" s="78"/>
      <c r="H1346" s="78"/>
      <c r="I1346" s="78"/>
    </row>
    <row r="1347" spans="1:9" x14ac:dyDescent="0.2">
      <c r="A1347" s="78"/>
      <c r="B1347" s="78"/>
      <c r="C1347" s="78"/>
      <c r="D1347" s="78"/>
      <c r="E1347" s="78"/>
      <c r="F1347" s="78"/>
      <c r="G1347" s="78"/>
      <c r="H1347" s="78"/>
      <c r="I1347" s="78"/>
    </row>
    <row r="1348" spans="1:9" x14ac:dyDescent="0.2">
      <c r="A1348" s="78"/>
      <c r="B1348" s="78"/>
      <c r="C1348" s="78"/>
      <c r="D1348" s="78"/>
      <c r="E1348" s="78"/>
      <c r="F1348" s="78"/>
      <c r="G1348" s="78"/>
      <c r="H1348" s="78"/>
      <c r="I1348" s="78"/>
    </row>
    <row r="1349" spans="1:9" x14ac:dyDescent="0.2">
      <c r="A1349" s="78"/>
      <c r="B1349" s="78"/>
      <c r="C1349" s="78"/>
      <c r="D1349" s="78"/>
      <c r="E1349" s="78"/>
      <c r="F1349" s="78"/>
      <c r="G1349" s="78"/>
      <c r="H1349" s="78"/>
      <c r="I1349" s="78"/>
    </row>
    <row r="1350" spans="1:9" x14ac:dyDescent="0.2">
      <c r="A1350" s="78"/>
      <c r="B1350" s="78"/>
      <c r="C1350" s="78"/>
      <c r="D1350" s="78"/>
      <c r="E1350" s="78"/>
      <c r="F1350" s="78"/>
      <c r="G1350" s="78"/>
      <c r="H1350" s="78"/>
      <c r="I1350" s="78"/>
    </row>
    <row r="1351" spans="1:9" x14ac:dyDescent="0.2">
      <c r="A1351" s="78"/>
      <c r="B1351" s="78"/>
      <c r="C1351" s="78"/>
      <c r="D1351" s="78"/>
      <c r="E1351" s="78"/>
      <c r="F1351" s="78"/>
      <c r="G1351" s="78"/>
      <c r="H1351" s="78"/>
      <c r="I1351" s="78"/>
    </row>
    <row r="1352" spans="1:9" x14ac:dyDescent="0.2">
      <c r="A1352" s="78"/>
      <c r="B1352" s="78"/>
      <c r="C1352" s="78"/>
      <c r="D1352" s="78"/>
      <c r="E1352" s="78"/>
      <c r="F1352" s="78"/>
      <c r="G1352" s="78"/>
      <c r="H1352" s="78"/>
      <c r="I1352" s="78"/>
    </row>
    <row r="1353" spans="1:9" x14ac:dyDescent="0.2">
      <c r="A1353" s="78"/>
      <c r="B1353" s="78"/>
      <c r="C1353" s="78"/>
      <c r="D1353" s="78"/>
      <c r="E1353" s="78"/>
      <c r="F1353" s="78"/>
      <c r="G1353" s="78"/>
      <c r="H1353" s="78"/>
      <c r="I1353" s="78"/>
    </row>
    <row r="1354" spans="1:9" x14ac:dyDescent="0.2">
      <c r="A1354" s="78"/>
      <c r="B1354" s="78"/>
      <c r="C1354" s="78"/>
      <c r="D1354" s="78"/>
      <c r="E1354" s="78"/>
      <c r="F1354" s="78"/>
      <c r="G1354" s="78"/>
      <c r="H1354" s="78"/>
      <c r="I1354" s="78"/>
    </row>
    <row r="1355" spans="1:9" x14ac:dyDescent="0.2">
      <c r="A1355" s="78"/>
      <c r="B1355" s="78"/>
      <c r="C1355" s="78"/>
      <c r="D1355" s="78"/>
      <c r="E1355" s="78"/>
      <c r="F1355" s="78"/>
      <c r="G1355" s="78"/>
      <c r="H1355" s="78"/>
      <c r="I1355" s="78"/>
    </row>
    <row r="1356" spans="1:9" x14ac:dyDescent="0.2">
      <c r="A1356" s="78"/>
      <c r="B1356" s="78"/>
      <c r="C1356" s="78"/>
      <c r="D1356" s="78"/>
      <c r="E1356" s="78"/>
      <c r="F1356" s="78"/>
      <c r="G1356" s="78"/>
      <c r="H1356" s="78"/>
      <c r="I1356" s="78"/>
    </row>
    <row r="1357" spans="1:9" x14ac:dyDescent="0.2">
      <c r="A1357" s="78"/>
      <c r="B1357" s="78"/>
      <c r="C1357" s="78"/>
      <c r="D1357" s="78"/>
      <c r="E1357" s="78"/>
      <c r="F1357" s="78"/>
      <c r="G1357" s="78"/>
      <c r="H1357" s="78"/>
      <c r="I1357" s="78"/>
    </row>
    <row r="1358" spans="1:9" x14ac:dyDescent="0.2">
      <c r="A1358" s="78"/>
      <c r="B1358" s="78"/>
      <c r="C1358" s="78"/>
      <c r="D1358" s="78"/>
      <c r="E1358" s="78"/>
      <c r="F1358" s="78"/>
      <c r="G1358" s="78"/>
      <c r="H1358" s="78"/>
      <c r="I1358" s="78"/>
    </row>
    <row r="1359" spans="1:9" x14ac:dyDescent="0.2">
      <c r="A1359" s="78"/>
      <c r="B1359" s="78"/>
      <c r="C1359" s="78"/>
      <c r="D1359" s="78"/>
      <c r="E1359" s="78"/>
      <c r="F1359" s="78"/>
      <c r="G1359" s="78"/>
      <c r="H1359" s="78"/>
      <c r="I1359" s="78"/>
    </row>
    <row r="1360" spans="1:9" x14ac:dyDescent="0.2">
      <c r="A1360" s="78"/>
      <c r="B1360" s="78"/>
      <c r="C1360" s="78"/>
      <c r="D1360" s="78"/>
      <c r="E1360" s="78"/>
      <c r="F1360" s="78"/>
      <c r="G1360" s="78"/>
      <c r="H1360" s="78"/>
      <c r="I1360" s="78"/>
    </row>
    <row r="1361" spans="1:9" x14ac:dyDescent="0.2">
      <c r="A1361" s="78"/>
      <c r="B1361" s="78"/>
      <c r="C1361" s="78"/>
      <c r="D1361" s="78"/>
      <c r="E1361" s="78"/>
      <c r="F1361" s="78"/>
      <c r="G1361" s="78"/>
      <c r="H1361" s="78"/>
      <c r="I1361" s="78"/>
    </row>
    <row r="1362" spans="1:9" x14ac:dyDescent="0.2">
      <c r="A1362" s="78"/>
      <c r="B1362" s="78"/>
      <c r="C1362" s="78"/>
      <c r="D1362" s="78"/>
      <c r="E1362" s="78"/>
      <c r="F1362" s="78"/>
      <c r="G1362" s="78"/>
      <c r="H1362" s="78"/>
      <c r="I1362" s="78"/>
    </row>
    <row r="1363" spans="1:9" x14ac:dyDescent="0.2">
      <c r="A1363" s="78"/>
      <c r="B1363" s="78"/>
      <c r="C1363" s="78"/>
      <c r="D1363" s="78"/>
      <c r="E1363" s="78"/>
      <c r="F1363" s="78"/>
      <c r="G1363" s="78"/>
      <c r="H1363" s="78"/>
      <c r="I1363" s="78"/>
    </row>
    <row r="1364" spans="1:9" x14ac:dyDescent="0.2">
      <c r="A1364" s="78"/>
      <c r="B1364" s="78"/>
      <c r="C1364" s="78"/>
      <c r="D1364" s="78"/>
      <c r="E1364" s="78"/>
      <c r="F1364" s="78"/>
      <c r="G1364" s="78"/>
      <c r="H1364" s="78"/>
      <c r="I1364" s="78"/>
    </row>
    <row r="1365" spans="1:9" x14ac:dyDescent="0.2">
      <c r="A1365" s="78"/>
      <c r="B1365" s="78"/>
      <c r="C1365" s="78"/>
      <c r="D1365" s="78"/>
      <c r="E1365" s="78"/>
      <c r="F1365" s="78"/>
      <c r="G1365" s="78"/>
      <c r="H1365" s="78"/>
      <c r="I1365" s="78"/>
    </row>
    <row r="1366" spans="1:9" x14ac:dyDescent="0.2">
      <c r="A1366" s="78"/>
      <c r="B1366" s="78"/>
      <c r="C1366" s="78"/>
      <c r="D1366" s="78"/>
      <c r="E1366" s="78"/>
      <c r="F1366" s="78"/>
      <c r="G1366" s="78"/>
      <c r="H1366" s="78"/>
      <c r="I1366" s="78"/>
    </row>
    <row r="1367" spans="1:9" x14ac:dyDescent="0.2">
      <c r="A1367" s="78"/>
      <c r="B1367" s="78"/>
      <c r="C1367" s="78"/>
      <c r="D1367" s="78"/>
      <c r="E1367" s="78"/>
      <c r="F1367" s="78"/>
      <c r="G1367" s="78"/>
      <c r="H1367" s="78"/>
      <c r="I1367" s="78"/>
    </row>
    <row r="1368" spans="1:9" x14ac:dyDescent="0.2">
      <c r="A1368" s="78"/>
      <c r="B1368" s="78"/>
      <c r="C1368" s="78"/>
      <c r="D1368" s="78"/>
      <c r="E1368" s="78"/>
      <c r="F1368" s="78"/>
      <c r="G1368" s="78"/>
      <c r="H1368" s="78"/>
      <c r="I1368" s="78"/>
    </row>
    <row r="1369" spans="1:9" x14ac:dyDescent="0.2">
      <c r="A1369" s="78"/>
      <c r="B1369" s="78"/>
      <c r="C1369" s="78"/>
      <c r="D1369" s="78"/>
      <c r="E1369" s="78"/>
      <c r="F1369" s="78"/>
      <c r="G1369" s="78"/>
      <c r="H1369" s="78"/>
      <c r="I1369" s="78"/>
    </row>
    <row r="1370" spans="1:9" x14ac:dyDescent="0.2">
      <c r="A1370" s="78"/>
      <c r="B1370" s="78"/>
      <c r="C1370" s="78"/>
      <c r="D1370" s="78"/>
      <c r="E1370" s="78"/>
      <c r="F1370" s="78"/>
      <c r="G1370" s="78"/>
      <c r="H1370" s="78"/>
      <c r="I1370" s="78"/>
    </row>
    <row r="1371" spans="1:9" x14ac:dyDescent="0.2">
      <c r="A1371" s="78"/>
      <c r="B1371" s="78"/>
      <c r="C1371" s="78"/>
      <c r="D1371" s="78"/>
      <c r="E1371" s="78"/>
      <c r="F1371" s="78"/>
      <c r="G1371" s="78"/>
      <c r="H1371" s="78"/>
      <c r="I1371" s="78"/>
    </row>
    <row r="1372" spans="1:9" x14ac:dyDescent="0.2">
      <c r="A1372" s="78"/>
      <c r="B1372" s="78"/>
      <c r="C1372" s="78"/>
      <c r="D1372" s="78"/>
      <c r="E1372" s="78"/>
      <c r="F1372" s="78"/>
      <c r="G1372" s="78"/>
      <c r="H1372" s="78"/>
      <c r="I1372" s="78"/>
    </row>
    <row r="1373" spans="1:9" x14ac:dyDescent="0.2">
      <c r="A1373" s="78"/>
      <c r="B1373" s="78"/>
      <c r="C1373" s="78"/>
      <c r="D1373" s="78"/>
      <c r="E1373" s="78"/>
      <c r="F1373" s="78"/>
      <c r="G1373" s="78"/>
      <c r="H1373" s="78"/>
      <c r="I1373" s="78"/>
    </row>
    <row r="1374" spans="1:9" x14ac:dyDescent="0.2">
      <c r="A1374" s="78"/>
      <c r="B1374" s="78"/>
      <c r="C1374" s="78"/>
      <c r="D1374" s="78"/>
      <c r="E1374" s="78"/>
      <c r="F1374" s="78"/>
      <c r="G1374" s="78"/>
      <c r="H1374" s="78"/>
      <c r="I1374" s="78"/>
    </row>
    <row r="1375" spans="1:9" x14ac:dyDescent="0.2">
      <c r="A1375" s="78"/>
      <c r="B1375" s="78"/>
      <c r="C1375" s="78"/>
      <c r="D1375" s="78"/>
      <c r="E1375" s="78"/>
      <c r="F1375" s="78"/>
      <c r="G1375" s="78"/>
      <c r="H1375" s="78"/>
      <c r="I1375" s="78"/>
    </row>
    <row r="1376" spans="1:9" x14ac:dyDescent="0.2">
      <c r="A1376" s="78"/>
      <c r="B1376" s="78"/>
      <c r="C1376" s="78"/>
      <c r="D1376" s="78"/>
      <c r="E1376" s="78"/>
      <c r="F1376" s="78"/>
      <c r="G1376" s="78"/>
      <c r="H1376" s="78"/>
      <c r="I1376" s="78"/>
    </row>
    <row r="1377" spans="1:9" x14ac:dyDescent="0.2">
      <c r="A1377" s="78"/>
      <c r="B1377" s="78"/>
      <c r="C1377" s="78"/>
      <c r="D1377" s="78"/>
      <c r="E1377" s="78"/>
      <c r="F1377" s="78"/>
      <c r="G1377" s="78"/>
      <c r="H1377" s="78"/>
      <c r="I1377" s="78"/>
    </row>
    <row r="1378" spans="1:9" x14ac:dyDescent="0.2">
      <c r="A1378" s="78"/>
      <c r="B1378" s="78"/>
      <c r="C1378" s="78"/>
      <c r="D1378" s="78"/>
      <c r="E1378" s="78"/>
      <c r="F1378" s="78"/>
      <c r="G1378" s="78"/>
      <c r="H1378" s="78"/>
      <c r="I1378" s="78"/>
    </row>
    <row r="1379" spans="1:9" x14ac:dyDescent="0.2">
      <c r="A1379" s="78"/>
      <c r="B1379" s="78"/>
      <c r="C1379" s="78"/>
      <c r="D1379" s="78"/>
      <c r="E1379" s="78"/>
      <c r="F1379" s="78"/>
      <c r="G1379" s="78"/>
      <c r="H1379" s="78"/>
      <c r="I1379" s="78"/>
    </row>
    <row r="1380" spans="1:9" x14ac:dyDescent="0.2">
      <c r="A1380" s="78"/>
      <c r="B1380" s="78"/>
      <c r="C1380" s="78"/>
      <c r="D1380" s="78"/>
      <c r="E1380" s="78"/>
      <c r="F1380" s="78"/>
      <c r="G1380" s="78"/>
      <c r="H1380" s="78"/>
      <c r="I1380" s="78"/>
    </row>
    <row r="1381" spans="1:9" x14ac:dyDescent="0.2">
      <c r="A1381" s="78"/>
      <c r="B1381" s="78"/>
      <c r="C1381" s="78"/>
      <c r="D1381" s="78"/>
      <c r="E1381" s="78"/>
      <c r="F1381" s="78"/>
      <c r="G1381" s="78"/>
      <c r="H1381" s="78"/>
      <c r="I1381" s="78"/>
    </row>
    <row r="1382" spans="1:9" x14ac:dyDescent="0.2">
      <c r="A1382" s="78"/>
      <c r="B1382" s="78"/>
      <c r="C1382" s="78"/>
      <c r="D1382" s="78"/>
      <c r="E1382" s="78"/>
      <c r="F1382" s="78"/>
      <c r="G1382" s="78"/>
      <c r="H1382" s="78"/>
      <c r="I1382" s="78"/>
    </row>
    <row r="1383" spans="1:9" x14ac:dyDescent="0.2">
      <c r="A1383" s="78"/>
      <c r="B1383" s="78"/>
      <c r="C1383" s="78"/>
      <c r="D1383" s="78"/>
      <c r="E1383" s="78"/>
      <c r="F1383" s="78"/>
      <c r="G1383" s="78"/>
      <c r="H1383" s="78"/>
      <c r="I1383" s="78"/>
    </row>
    <row r="1384" spans="1:9" x14ac:dyDescent="0.2">
      <c r="A1384" s="78"/>
      <c r="B1384" s="78"/>
      <c r="C1384" s="78"/>
      <c r="D1384" s="78"/>
      <c r="E1384" s="78"/>
      <c r="F1384" s="78"/>
      <c r="G1384" s="78"/>
      <c r="H1384" s="78"/>
      <c r="I1384" s="78"/>
    </row>
    <row r="1385" spans="1:9" x14ac:dyDescent="0.2">
      <c r="A1385" s="78"/>
      <c r="B1385" s="78"/>
      <c r="C1385" s="78"/>
      <c r="D1385" s="78"/>
      <c r="E1385" s="78"/>
      <c r="F1385" s="78"/>
      <c r="G1385" s="78"/>
      <c r="H1385" s="78"/>
      <c r="I1385" s="78"/>
    </row>
    <row r="1386" spans="1:9" x14ac:dyDescent="0.2">
      <c r="A1386" s="78"/>
      <c r="B1386" s="78"/>
      <c r="C1386" s="78"/>
      <c r="D1386" s="78"/>
      <c r="E1386" s="78"/>
      <c r="F1386" s="78"/>
      <c r="G1386" s="78"/>
      <c r="H1386" s="78"/>
      <c r="I1386" s="78"/>
    </row>
    <row r="1387" spans="1:9" x14ac:dyDescent="0.2">
      <c r="A1387" s="78"/>
      <c r="B1387" s="78"/>
      <c r="C1387" s="78"/>
      <c r="D1387" s="78"/>
      <c r="E1387" s="78"/>
      <c r="F1387" s="78"/>
      <c r="G1387" s="78"/>
      <c r="H1387" s="78"/>
      <c r="I1387" s="78"/>
    </row>
    <row r="1388" spans="1:9" x14ac:dyDescent="0.2">
      <c r="A1388" s="78"/>
      <c r="B1388" s="78"/>
      <c r="C1388" s="78"/>
      <c r="D1388" s="78"/>
      <c r="E1388" s="78"/>
      <c r="F1388" s="78"/>
      <c r="G1388" s="78"/>
      <c r="H1388" s="78"/>
      <c r="I1388" s="78"/>
    </row>
    <row r="1389" spans="1:9" x14ac:dyDescent="0.2">
      <c r="A1389" s="78"/>
      <c r="B1389" s="78"/>
      <c r="C1389" s="78"/>
      <c r="D1389" s="78"/>
      <c r="E1389" s="78"/>
      <c r="F1389" s="78"/>
      <c r="G1389" s="78"/>
      <c r="H1389" s="78"/>
      <c r="I1389" s="78"/>
    </row>
    <row r="1390" spans="1:9" x14ac:dyDescent="0.2">
      <c r="A1390" s="78"/>
      <c r="B1390" s="78"/>
      <c r="C1390" s="78"/>
      <c r="D1390" s="78"/>
      <c r="E1390" s="78"/>
      <c r="F1390" s="78"/>
      <c r="G1390" s="78"/>
      <c r="H1390" s="78"/>
      <c r="I1390" s="78"/>
    </row>
    <row r="1391" spans="1:9" x14ac:dyDescent="0.2">
      <c r="A1391" s="78"/>
      <c r="B1391" s="78"/>
      <c r="C1391" s="78"/>
      <c r="D1391" s="78"/>
      <c r="E1391" s="78"/>
      <c r="F1391" s="78"/>
      <c r="G1391" s="78"/>
      <c r="H1391" s="78"/>
      <c r="I1391" s="78"/>
    </row>
    <row r="1392" spans="1:9" x14ac:dyDescent="0.2">
      <c r="A1392" s="78"/>
      <c r="B1392" s="78"/>
      <c r="C1392" s="78"/>
      <c r="D1392" s="78"/>
      <c r="E1392" s="78"/>
      <c r="F1392" s="78"/>
      <c r="G1392" s="78"/>
      <c r="H1392" s="78"/>
      <c r="I1392" s="78"/>
    </row>
    <row r="1393" spans="1:9" x14ac:dyDescent="0.2">
      <c r="A1393" s="78"/>
      <c r="B1393" s="78"/>
      <c r="C1393" s="78"/>
      <c r="D1393" s="78"/>
      <c r="E1393" s="78"/>
      <c r="F1393" s="78"/>
      <c r="G1393" s="78"/>
      <c r="H1393" s="78"/>
      <c r="I1393" s="78"/>
    </row>
    <row r="1394" spans="1:9" x14ac:dyDescent="0.2">
      <c r="A1394" s="78"/>
      <c r="B1394" s="78"/>
      <c r="C1394" s="78"/>
      <c r="D1394" s="78"/>
      <c r="E1394" s="78"/>
      <c r="F1394" s="78"/>
      <c r="G1394" s="78"/>
      <c r="H1394" s="78"/>
      <c r="I1394" s="78"/>
    </row>
    <row r="1395" spans="1:9" x14ac:dyDescent="0.2">
      <c r="A1395" s="78"/>
      <c r="B1395" s="78"/>
      <c r="C1395" s="78"/>
      <c r="D1395" s="78"/>
      <c r="E1395" s="78"/>
      <c r="F1395" s="78"/>
      <c r="G1395" s="78"/>
      <c r="H1395" s="78"/>
      <c r="I1395" s="78"/>
    </row>
    <row r="1396" spans="1:9" x14ac:dyDescent="0.2">
      <c r="A1396" s="78"/>
      <c r="B1396" s="78"/>
      <c r="C1396" s="78"/>
      <c r="D1396" s="78"/>
      <c r="E1396" s="78"/>
      <c r="F1396" s="78"/>
      <c r="G1396" s="78"/>
      <c r="H1396" s="78"/>
      <c r="I1396" s="78"/>
    </row>
    <row r="1397" spans="1:9" x14ac:dyDescent="0.2">
      <c r="A1397" s="78"/>
      <c r="B1397" s="78"/>
      <c r="C1397" s="78"/>
      <c r="D1397" s="78"/>
      <c r="E1397" s="78"/>
      <c r="F1397" s="78"/>
      <c r="G1397" s="78"/>
      <c r="H1397" s="78"/>
      <c r="I1397" s="78"/>
    </row>
    <row r="1398" spans="1:9" x14ac:dyDescent="0.2">
      <c r="A1398" s="78"/>
      <c r="B1398" s="78"/>
      <c r="C1398" s="78"/>
      <c r="D1398" s="78"/>
      <c r="E1398" s="78"/>
      <c r="F1398" s="78"/>
      <c r="G1398" s="78"/>
      <c r="H1398" s="78"/>
      <c r="I1398" s="78"/>
    </row>
    <row r="1399" spans="1:9" x14ac:dyDescent="0.2">
      <c r="A1399" s="78"/>
      <c r="B1399" s="78"/>
      <c r="C1399" s="78"/>
      <c r="D1399" s="78"/>
      <c r="E1399" s="78"/>
      <c r="F1399" s="78"/>
      <c r="G1399" s="78"/>
      <c r="H1399" s="78"/>
      <c r="I1399" s="78"/>
    </row>
    <row r="1400" spans="1:9" x14ac:dyDescent="0.2">
      <c r="A1400" s="78"/>
      <c r="B1400" s="78"/>
      <c r="C1400" s="78"/>
      <c r="D1400" s="78"/>
      <c r="E1400" s="78"/>
      <c r="F1400" s="78"/>
      <c r="G1400" s="78"/>
      <c r="H1400" s="78"/>
      <c r="I1400" s="78"/>
    </row>
    <row r="1401" spans="1:9" x14ac:dyDescent="0.2">
      <c r="A1401" s="78"/>
      <c r="B1401" s="78"/>
      <c r="C1401" s="78"/>
      <c r="D1401" s="78"/>
      <c r="E1401" s="78"/>
      <c r="F1401" s="78"/>
      <c r="G1401" s="78"/>
      <c r="H1401" s="78"/>
      <c r="I1401" s="78"/>
    </row>
    <row r="1402" spans="1:9" x14ac:dyDescent="0.2">
      <c r="A1402" s="78"/>
      <c r="B1402" s="78"/>
      <c r="C1402" s="78"/>
      <c r="D1402" s="78"/>
      <c r="E1402" s="78"/>
      <c r="F1402" s="78"/>
      <c r="G1402" s="78"/>
      <c r="H1402" s="78"/>
      <c r="I1402" s="78"/>
    </row>
    <row r="1403" spans="1:9" x14ac:dyDescent="0.2">
      <c r="A1403" s="78"/>
      <c r="B1403" s="78"/>
      <c r="C1403" s="78"/>
      <c r="D1403" s="78"/>
      <c r="E1403" s="78"/>
      <c r="F1403" s="78"/>
      <c r="G1403" s="78"/>
      <c r="H1403" s="78"/>
      <c r="I1403" s="78"/>
    </row>
    <row r="1404" spans="1:9" x14ac:dyDescent="0.2">
      <c r="A1404" s="78"/>
      <c r="B1404" s="78"/>
      <c r="C1404" s="78"/>
      <c r="D1404" s="78"/>
      <c r="E1404" s="78"/>
      <c r="F1404" s="78"/>
      <c r="G1404" s="78"/>
      <c r="H1404" s="78"/>
      <c r="I1404" s="78"/>
    </row>
    <row r="1405" spans="1:9" x14ac:dyDescent="0.2">
      <c r="A1405" s="78"/>
      <c r="B1405" s="78"/>
      <c r="C1405" s="78"/>
      <c r="D1405" s="78"/>
      <c r="E1405" s="78"/>
      <c r="F1405" s="78"/>
      <c r="G1405" s="78"/>
      <c r="H1405" s="78"/>
      <c r="I1405" s="78"/>
    </row>
    <row r="1406" spans="1:9" x14ac:dyDescent="0.2">
      <c r="A1406" s="78"/>
      <c r="B1406" s="78"/>
      <c r="C1406" s="78"/>
      <c r="D1406" s="78"/>
      <c r="E1406" s="78"/>
      <c r="F1406" s="78"/>
      <c r="G1406" s="78"/>
      <c r="H1406" s="78"/>
      <c r="I1406" s="78"/>
    </row>
    <row r="1407" spans="1:9" x14ac:dyDescent="0.2">
      <c r="A1407" s="78"/>
      <c r="B1407" s="78"/>
      <c r="C1407" s="78"/>
      <c r="D1407" s="78"/>
      <c r="E1407" s="78"/>
      <c r="F1407" s="78"/>
      <c r="G1407" s="78"/>
      <c r="H1407" s="78"/>
      <c r="I1407" s="78"/>
    </row>
    <row r="1408" spans="1:9" x14ac:dyDescent="0.2">
      <c r="A1408" s="78"/>
      <c r="B1408" s="78"/>
      <c r="C1408" s="78"/>
      <c r="D1408" s="78"/>
      <c r="E1408" s="78"/>
      <c r="F1408" s="78"/>
      <c r="G1408" s="78"/>
      <c r="H1408" s="78"/>
      <c r="I1408" s="78"/>
    </row>
    <row r="1409" spans="1:9" x14ac:dyDescent="0.2">
      <c r="A1409" s="78"/>
      <c r="B1409" s="78"/>
      <c r="C1409" s="78"/>
      <c r="D1409" s="78"/>
      <c r="E1409" s="78"/>
      <c r="F1409" s="78"/>
      <c r="G1409" s="78"/>
      <c r="H1409" s="78"/>
      <c r="I1409" s="78"/>
    </row>
    <row r="1410" spans="1:9" x14ac:dyDescent="0.2">
      <c r="A1410" s="78"/>
      <c r="B1410" s="78"/>
      <c r="C1410" s="78"/>
      <c r="D1410" s="78"/>
      <c r="E1410" s="78"/>
      <c r="F1410" s="78"/>
      <c r="G1410" s="78"/>
      <c r="H1410" s="78"/>
      <c r="I1410" s="78"/>
    </row>
    <row r="1411" spans="1:9" x14ac:dyDescent="0.2">
      <c r="A1411" s="78"/>
      <c r="B1411" s="78"/>
      <c r="C1411" s="78"/>
      <c r="D1411" s="78"/>
      <c r="E1411" s="78"/>
      <c r="F1411" s="78"/>
      <c r="G1411" s="78"/>
      <c r="H1411" s="78"/>
      <c r="I1411" s="78"/>
    </row>
    <row r="1412" spans="1:9" x14ac:dyDescent="0.2">
      <c r="A1412" s="78"/>
      <c r="B1412" s="78"/>
      <c r="C1412" s="78"/>
      <c r="D1412" s="78"/>
      <c r="E1412" s="78"/>
      <c r="F1412" s="78"/>
      <c r="G1412" s="78"/>
      <c r="H1412" s="78"/>
      <c r="I1412" s="78"/>
    </row>
    <row r="1413" spans="1:9" x14ac:dyDescent="0.2">
      <c r="A1413" s="78"/>
      <c r="B1413" s="78"/>
      <c r="C1413" s="78"/>
      <c r="D1413" s="78"/>
      <c r="E1413" s="78"/>
      <c r="F1413" s="78"/>
      <c r="G1413" s="78"/>
      <c r="H1413" s="78"/>
      <c r="I1413" s="78"/>
    </row>
    <row r="1414" spans="1:9" x14ac:dyDescent="0.2">
      <c r="A1414" s="78"/>
      <c r="B1414" s="78"/>
      <c r="C1414" s="78"/>
      <c r="D1414" s="78"/>
      <c r="E1414" s="78"/>
      <c r="F1414" s="78"/>
      <c r="G1414" s="78"/>
      <c r="H1414" s="78"/>
      <c r="I1414" s="78"/>
    </row>
    <row r="1415" spans="1:9" x14ac:dyDescent="0.2">
      <c r="A1415" s="78"/>
      <c r="B1415" s="78"/>
      <c r="C1415" s="78"/>
      <c r="D1415" s="78"/>
      <c r="E1415" s="78"/>
      <c r="F1415" s="78"/>
      <c r="G1415" s="78"/>
      <c r="H1415" s="78"/>
      <c r="I1415" s="78"/>
    </row>
    <row r="1416" spans="1:9" x14ac:dyDescent="0.2">
      <c r="A1416" s="78"/>
      <c r="B1416" s="78"/>
      <c r="C1416" s="78"/>
      <c r="D1416" s="78"/>
      <c r="E1416" s="78"/>
      <c r="F1416" s="78"/>
      <c r="G1416" s="78"/>
      <c r="H1416" s="78"/>
      <c r="I1416" s="78"/>
    </row>
    <row r="1417" spans="1:9" x14ac:dyDescent="0.2">
      <c r="A1417" s="78"/>
      <c r="B1417" s="78"/>
      <c r="C1417" s="78"/>
      <c r="D1417" s="78"/>
      <c r="E1417" s="78"/>
      <c r="F1417" s="78"/>
      <c r="G1417" s="78"/>
      <c r="H1417" s="78"/>
      <c r="I1417" s="78"/>
    </row>
    <row r="1418" spans="1:9" x14ac:dyDescent="0.2">
      <c r="A1418" s="78"/>
      <c r="B1418" s="78"/>
      <c r="C1418" s="78"/>
      <c r="D1418" s="78"/>
      <c r="E1418" s="78"/>
      <c r="F1418" s="78"/>
      <c r="G1418" s="78"/>
      <c r="H1418" s="78"/>
      <c r="I1418" s="78"/>
    </row>
    <row r="1419" spans="1:9" x14ac:dyDescent="0.2">
      <c r="A1419" s="78"/>
      <c r="B1419" s="78"/>
      <c r="C1419" s="78"/>
      <c r="D1419" s="78"/>
      <c r="E1419" s="78"/>
      <c r="F1419" s="78"/>
      <c r="G1419" s="78"/>
      <c r="H1419" s="78"/>
      <c r="I1419" s="78"/>
    </row>
    <row r="1420" spans="1:9" x14ac:dyDescent="0.2">
      <c r="A1420" s="78"/>
      <c r="B1420" s="78"/>
      <c r="C1420" s="78"/>
      <c r="D1420" s="78"/>
      <c r="E1420" s="78"/>
      <c r="F1420" s="78"/>
      <c r="G1420" s="78"/>
      <c r="H1420" s="78"/>
      <c r="I1420" s="78"/>
    </row>
    <row r="1421" spans="1:9" x14ac:dyDescent="0.2">
      <c r="A1421" s="78"/>
      <c r="B1421" s="78"/>
      <c r="C1421" s="78"/>
      <c r="D1421" s="78"/>
      <c r="E1421" s="78"/>
      <c r="F1421" s="78"/>
      <c r="G1421" s="78"/>
      <c r="H1421" s="78"/>
      <c r="I1421" s="78"/>
    </row>
    <row r="1422" spans="1:9" x14ac:dyDescent="0.2">
      <c r="A1422" s="78"/>
      <c r="B1422" s="78"/>
      <c r="C1422" s="78"/>
      <c r="D1422" s="78"/>
      <c r="E1422" s="78"/>
      <c r="F1422" s="78"/>
      <c r="G1422" s="78"/>
      <c r="H1422" s="78"/>
      <c r="I1422" s="78"/>
    </row>
    <row r="1423" spans="1:9" x14ac:dyDescent="0.2">
      <c r="A1423" s="78"/>
      <c r="B1423" s="78"/>
      <c r="C1423" s="78"/>
      <c r="D1423" s="78"/>
      <c r="E1423" s="78"/>
      <c r="F1423" s="78"/>
      <c r="G1423" s="78"/>
      <c r="H1423" s="78"/>
      <c r="I1423" s="78"/>
    </row>
    <row r="1424" spans="1:9" x14ac:dyDescent="0.2">
      <c r="A1424" s="78"/>
      <c r="B1424" s="78"/>
      <c r="C1424" s="78"/>
      <c r="D1424" s="78"/>
      <c r="E1424" s="78"/>
      <c r="F1424" s="78"/>
      <c r="G1424" s="78"/>
      <c r="H1424" s="78"/>
      <c r="I1424" s="78"/>
    </row>
    <row r="1425" spans="1:9" x14ac:dyDescent="0.2">
      <c r="A1425" s="78"/>
      <c r="B1425" s="78"/>
      <c r="C1425" s="78"/>
      <c r="D1425" s="78"/>
      <c r="E1425" s="78"/>
      <c r="F1425" s="78"/>
      <c r="G1425" s="78"/>
      <c r="H1425" s="78"/>
      <c r="I1425" s="78"/>
    </row>
    <row r="1426" spans="1:9" x14ac:dyDescent="0.2">
      <c r="A1426" s="78"/>
      <c r="B1426" s="78"/>
      <c r="C1426" s="78"/>
      <c r="D1426" s="78"/>
      <c r="E1426" s="78"/>
      <c r="F1426" s="78"/>
      <c r="G1426" s="78"/>
      <c r="H1426" s="78"/>
      <c r="I1426" s="78"/>
    </row>
    <row r="1427" spans="1:9" x14ac:dyDescent="0.2">
      <c r="A1427" s="78"/>
      <c r="B1427" s="78"/>
      <c r="C1427" s="78"/>
      <c r="D1427" s="78"/>
      <c r="E1427" s="78"/>
      <c r="F1427" s="78"/>
      <c r="G1427" s="78"/>
      <c r="H1427" s="78"/>
      <c r="I1427" s="78"/>
    </row>
    <row r="1428" spans="1:9" x14ac:dyDescent="0.2">
      <c r="A1428" s="78"/>
      <c r="B1428" s="78"/>
      <c r="C1428" s="78"/>
      <c r="D1428" s="78"/>
      <c r="E1428" s="78"/>
      <c r="F1428" s="78"/>
      <c r="G1428" s="78"/>
      <c r="H1428" s="78"/>
      <c r="I1428" s="78"/>
    </row>
    <row r="1429" spans="1:9" x14ac:dyDescent="0.2">
      <c r="A1429" s="78"/>
      <c r="B1429" s="78"/>
      <c r="C1429" s="78"/>
      <c r="D1429" s="78"/>
      <c r="E1429" s="78"/>
      <c r="F1429" s="78"/>
      <c r="G1429" s="78"/>
      <c r="H1429" s="78"/>
      <c r="I1429" s="78"/>
    </row>
    <row r="1430" spans="1:9" x14ac:dyDescent="0.2">
      <c r="A1430" s="78"/>
      <c r="B1430" s="78"/>
      <c r="C1430" s="78"/>
      <c r="D1430" s="78"/>
      <c r="E1430" s="78"/>
      <c r="F1430" s="78"/>
      <c r="G1430" s="78"/>
      <c r="H1430" s="78"/>
      <c r="I1430" s="78"/>
    </row>
    <row r="1431" spans="1:9" x14ac:dyDescent="0.2">
      <c r="A1431" s="78"/>
      <c r="B1431" s="78"/>
      <c r="C1431" s="78"/>
      <c r="D1431" s="78"/>
      <c r="E1431" s="78"/>
      <c r="F1431" s="78"/>
      <c r="G1431" s="78"/>
      <c r="H1431" s="78"/>
      <c r="I1431" s="78"/>
    </row>
    <row r="1432" spans="1:9" x14ac:dyDescent="0.2">
      <c r="A1432" s="78"/>
      <c r="B1432" s="78"/>
      <c r="C1432" s="78"/>
      <c r="D1432" s="78"/>
      <c r="E1432" s="78"/>
      <c r="F1432" s="78"/>
      <c r="G1432" s="78"/>
      <c r="H1432" s="78"/>
      <c r="I1432" s="78"/>
    </row>
    <row r="1433" spans="1:9" x14ac:dyDescent="0.2">
      <c r="A1433" s="78"/>
      <c r="B1433" s="78"/>
      <c r="C1433" s="78"/>
      <c r="D1433" s="78"/>
      <c r="E1433" s="78"/>
      <c r="F1433" s="78"/>
      <c r="G1433" s="78"/>
      <c r="H1433" s="78"/>
      <c r="I1433" s="78"/>
    </row>
    <row r="1434" spans="1:9" x14ac:dyDescent="0.2">
      <c r="A1434" s="78"/>
      <c r="B1434" s="78"/>
      <c r="C1434" s="78"/>
      <c r="D1434" s="78"/>
      <c r="E1434" s="78"/>
      <c r="F1434" s="78"/>
      <c r="G1434" s="78"/>
      <c r="H1434" s="78"/>
      <c r="I1434" s="78"/>
    </row>
    <row r="1435" spans="1:9" x14ac:dyDescent="0.2">
      <c r="A1435" s="78"/>
      <c r="B1435" s="78"/>
      <c r="C1435" s="78"/>
      <c r="D1435" s="78"/>
      <c r="E1435" s="78"/>
      <c r="F1435" s="78"/>
      <c r="G1435" s="78"/>
      <c r="H1435" s="78"/>
      <c r="I1435" s="78"/>
    </row>
    <row r="1436" spans="1:9" x14ac:dyDescent="0.2">
      <c r="A1436" s="78"/>
      <c r="B1436" s="78"/>
      <c r="C1436" s="78"/>
      <c r="D1436" s="78"/>
      <c r="E1436" s="78"/>
      <c r="F1436" s="78"/>
      <c r="G1436" s="78"/>
      <c r="H1436" s="78"/>
      <c r="I1436" s="78"/>
    </row>
    <row r="1437" spans="1:9" x14ac:dyDescent="0.2">
      <c r="A1437" s="78"/>
      <c r="B1437" s="78"/>
      <c r="C1437" s="78"/>
      <c r="D1437" s="78"/>
      <c r="E1437" s="78"/>
      <c r="F1437" s="78"/>
      <c r="G1437" s="78"/>
      <c r="H1437" s="78"/>
      <c r="I1437" s="78"/>
    </row>
    <row r="1438" spans="1:9" x14ac:dyDescent="0.2">
      <c r="A1438" s="78"/>
      <c r="B1438" s="78"/>
      <c r="C1438" s="78"/>
      <c r="D1438" s="78"/>
      <c r="E1438" s="78"/>
      <c r="F1438" s="78"/>
      <c r="G1438" s="78"/>
      <c r="H1438" s="78"/>
      <c r="I1438" s="78"/>
    </row>
    <row r="1439" spans="1:9" x14ac:dyDescent="0.2">
      <c r="A1439" s="78"/>
      <c r="B1439" s="78"/>
      <c r="C1439" s="78"/>
      <c r="D1439" s="78"/>
      <c r="E1439" s="78"/>
      <c r="F1439" s="78"/>
      <c r="G1439" s="78"/>
      <c r="H1439" s="78"/>
      <c r="I1439" s="78"/>
    </row>
    <row r="1440" spans="1:9" x14ac:dyDescent="0.2">
      <c r="A1440" s="78"/>
      <c r="B1440" s="78"/>
      <c r="C1440" s="78"/>
      <c r="D1440" s="78"/>
      <c r="E1440" s="78"/>
      <c r="F1440" s="78"/>
      <c r="G1440" s="78"/>
      <c r="H1440" s="78"/>
      <c r="I1440" s="78"/>
    </row>
    <row r="1441" spans="1:9" x14ac:dyDescent="0.2">
      <c r="A1441" s="78"/>
      <c r="B1441" s="78"/>
      <c r="C1441" s="78"/>
      <c r="D1441" s="78"/>
      <c r="E1441" s="78"/>
      <c r="F1441" s="78"/>
      <c r="G1441" s="78"/>
      <c r="H1441" s="78"/>
      <c r="I1441" s="78"/>
    </row>
    <row r="1442" spans="1:9" x14ac:dyDescent="0.2">
      <c r="A1442" s="78"/>
      <c r="B1442" s="78"/>
      <c r="C1442" s="78"/>
      <c r="D1442" s="78"/>
      <c r="E1442" s="78"/>
      <c r="F1442" s="78"/>
      <c r="G1442" s="78"/>
      <c r="H1442" s="78"/>
      <c r="I1442" s="78"/>
    </row>
    <row r="1443" spans="1:9" x14ac:dyDescent="0.2">
      <c r="A1443" s="78"/>
      <c r="B1443" s="78"/>
      <c r="C1443" s="78"/>
      <c r="D1443" s="78"/>
      <c r="E1443" s="78"/>
      <c r="F1443" s="78"/>
      <c r="G1443" s="78"/>
      <c r="H1443" s="78"/>
      <c r="I1443" s="78"/>
    </row>
    <row r="1444" spans="1:9" x14ac:dyDescent="0.2">
      <c r="A1444" s="78"/>
      <c r="B1444" s="78"/>
      <c r="C1444" s="78"/>
      <c r="D1444" s="78"/>
      <c r="E1444" s="78"/>
      <c r="F1444" s="78"/>
      <c r="G1444" s="78"/>
      <c r="H1444" s="78"/>
      <c r="I1444" s="78"/>
    </row>
    <row r="1445" spans="1:9" x14ac:dyDescent="0.2">
      <c r="A1445" s="78"/>
      <c r="B1445" s="78"/>
      <c r="C1445" s="78"/>
      <c r="D1445" s="78"/>
      <c r="E1445" s="78"/>
      <c r="F1445" s="78"/>
      <c r="G1445" s="78"/>
      <c r="H1445" s="78"/>
      <c r="I1445" s="78"/>
    </row>
    <row r="1446" spans="1:9" x14ac:dyDescent="0.2">
      <c r="A1446" s="78"/>
      <c r="B1446" s="78"/>
      <c r="C1446" s="78"/>
      <c r="D1446" s="78"/>
      <c r="E1446" s="78"/>
      <c r="F1446" s="78"/>
      <c r="G1446" s="78"/>
      <c r="H1446" s="78"/>
      <c r="I1446" s="78"/>
    </row>
    <row r="1447" spans="1:9" x14ac:dyDescent="0.2">
      <c r="A1447" s="78"/>
      <c r="B1447" s="78"/>
      <c r="C1447" s="78"/>
      <c r="D1447" s="78"/>
      <c r="E1447" s="78"/>
      <c r="F1447" s="78"/>
      <c r="G1447" s="78"/>
      <c r="H1447" s="78"/>
      <c r="I1447" s="78"/>
    </row>
    <row r="1448" spans="1:9" x14ac:dyDescent="0.2">
      <c r="A1448" s="78"/>
      <c r="B1448" s="78"/>
      <c r="C1448" s="78"/>
      <c r="D1448" s="78"/>
      <c r="E1448" s="78"/>
      <c r="F1448" s="78"/>
      <c r="G1448" s="78"/>
      <c r="H1448" s="78"/>
      <c r="I1448" s="78"/>
    </row>
    <row r="1449" spans="1:9" x14ac:dyDescent="0.2">
      <c r="A1449" s="78"/>
      <c r="B1449" s="78"/>
      <c r="C1449" s="78"/>
      <c r="D1449" s="78"/>
      <c r="E1449" s="78"/>
      <c r="F1449" s="78"/>
      <c r="G1449" s="78"/>
      <c r="H1449" s="78"/>
      <c r="I1449" s="78"/>
    </row>
    <row r="1450" spans="1:9" x14ac:dyDescent="0.2">
      <c r="A1450" s="78"/>
      <c r="B1450" s="78"/>
      <c r="C1450" s="78"/>
      <c r="D1450" s="78"/>
      <c r="E1450" s="78"/>
      <c r="F1450" s="78"/>
      <c r="G1450" s="78"/>
      <c r="H1450" s="78"/>
      <c r="I1450" s="78"/>
    </row>
    <row r="1451" spans="1:9" x14ac:dyDescent="0.2">
      <c r="A1451" s="78"/>
      <c r="B1451" s="78"/>
      <c r="C1451" s="78"/>
      <c r="D1451" s="78"/>
      <c r="E1451" s="78"/>
      <c r="F1451" s="78"/>
      <c r="G1451" s="78"/>
      <c r="H1451" s="78"/>
      <c r="I1451" s="78"/>
    </row>
    <row r="1452" spans="1:9" x14ac:dyDescent="0.2">
      <c r="A1452" s="78"/>
      <c r="B1452" s="78"/>
      <c r="C1452" s="78"/>
      <c r="D1452" s="78"/>
      <c r="E1452" s="78"/>
      <c r="F1452" s="78"/>
      <c r="G1452" s="78"/>
      <c r="H1452" s="78"/>
      <c r="I1452" s="78"/>
    </row>
    <row r="1453" spans="1:9" x14ac:dyDescent="0.2">
      <c r="A1453" s="78"/>
      <c r="B1453" s="78"/>
      <c r="C1453" s="78"/>
      <c r="D1453" s="78"/>
      <c r="E1453" s="78"/>
      <c r="F1453" s="78"/>
      <c r="G1453" s="78"/>
      <c r="H1453" s="78"/>
      <c r="I1453" s="78"/>
    </row>
    <row r="1454" spans="1:9" x14ac:dyDescent="0.2">
      <c r="A1454" s="78"/>
      <c r="B1454" s="78"/>
      <c r="C1454" s="78"/>
      <c r="D1454" s="78"/>
      <c r="E1454" s="78"/>
      <c r="F1454" s="78"/>
      <c r="G1454" s="78"/>
      <c r="H1454" s="78"/>
      <c r="I1454" s="78"/>
    </row>
    <row r="1455" spans="1:9" x14ac:dyDescent="0.2">
      <c r="A1455" s="78"/>
      <c r="B1455" s="78"/>
      <c r="C1455" s="78"/>
      <c r="D1455" s="78"/>
      <c r="E1455" s="78"/>
      <c r="F1455" s="78"/>
      <c r="G1455" s="78"/>
      <c r="H1455" s="78"/>
      <c r="I1455" s="78"/>
    </row>
  </sheetData>
  <mergeCells count="13">
    <mergeCell ref="D2:I2"/>
    <mergeCell ref="D3:I3"/>
    <mergeCell ref="D4:I4"/>
    <mergeCell ref="B1:C1"/>
    <mergeCell ref="B4:C4"/>
    <mergeCell ref="B2:C2"/>
    <mergeCell ref="B3:C3"/>
    <mergeCell ref="A7:A12"/>
    <mergeCell ref="B7:B12"/>
    <mergeCell ref="C7:C12"/>
    <mergeCell ref="D7:D12"/>
    <mergeCell ref="B5:C5"/>
    <mergeCell ref="D5:I5"/>
  </mergeCells>
  <phoneticPr fontId="0" type="noConversion"/>
  <hyperlinks>
    <hyperlink ref="B1:C1" location="Principal!C11" display="Retorna" xr:uid="{00000000-0004-0000-0100-000000000000}"/>
  </hyperlinks>
  <pageMargins left="0.46" right="0.78740157499999996" top="0.984251969" bottom="0.984251969" header="0.49212598499999999" footer="0.49212598499999999"/>
  <pageSetup paperSize="9" scale="75" orientation="portrait" horizontalDpi="300" verticalDpi="300" r:id="rId1"/>
  <headerFooter alignWithMargins="0"/>
  <ignoredErrors>
    <ignoredError sqref="D2:D4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71"/>
  <sheetViews>
    <sheetView showGridLines="0" zoomScaleNormal="100" workbookViewId="0">
      <selection activeCell="F54" sqref="F54:G54"/>
    </sheetView>
  </sheetViews>
  <sheetFormatPr defaultRowHeight="12.75" x14ac:dyDescent="0.2"/>
  <cols>
    <col min="1" max="1" width="1.85546875" style="11" customWidth="1"/>
    <col min="3" max="3" width="13.28515625" customWidth="1"/>
    <col min="5" max="5" width="11.85546875" bestFit="1" customWidth="1"/>
    <col min="10" max="10" width="2.42578125" style="11" customWidth="1"/>
    <col min="11" max="39" width="9.140625" style="11"/>
  </cols>
  <sheetData>
    <row r="1" spans="1:9" x14ac:dyDescent="0.2">
      <c r="A1" s="10"/>
      <c r="B1" s="169" t="s">
        <v>59</v>
      </c>
      <c r="C1" s="169"/>
      <c r="D1" s="11"/>
      <c r="E1" s="11"/>
      <c r="F1" s="11"/>
      <c r="G1" s="11"/>
      <c r="H1" s="11"/>
      <c r="I1" s="71" t="str">
        <f>Principal!I4</f>
        <v>V. 2.0 - agosto/2022</v>
      </c>
    </row>
    <row r="2" spans="1:9" x14ac:dyDescent="0.2">
      <c r="B2" s="134" t="s">
        <v>0</v>
      </c>
      <c r="C2" s="135"/>
      <c r="D2" s="136" t="str">
        <f>IF(Principal!D6&lt;&gt;"",Principal!D6,"")</f>
        <v>CONSTRUCOMPANY</v>
      </c>
      <c r="E2" s="137"/>
      <c r="F2" s="137"/>
      <c r="G2" s="137"/>
      <c r="H2" s="137"/>
      <c r="I2" s="138"/>
    </row>
    <row r="3" spans="1:9" x14ac:dyDescent="0.2">
      <c r="B3" s="132" t="s">
        <v>1</v>
      </c>
      <c r="C3" s="133"/>
      <c r="D3" s="139" t="str">
        <f>IF(Principal!D7&lt;&gt;"",Principal!D7,"")</f>
        <v>PEDROSO DE MORAES</v>
      </c>
      <c r="E3" s="140"/>
      <c r="F3" s="140"/>
      <c r="G3" s="140"/>
      <c r="H3" s="140"/>
      <c r="I3" s="141"/>
    </row>
    <row r="4" spans="1:9" x14ac:dyDescent="0.2">
      <c r="B4" s="132" t="s">
        <v>2</v>
      </c>
      <c r="C4" s="133"/>
      <c r="D4" s="139" t="str">
        <f>IF(Principal!D8&lt;&gt;"",Principal!D8,"")</f>
        <v>EXAUSTÃO</v>
      </c>
      <c r="E4" s="140"/>
      <c r="F4" s="140"/>
      <c r="G4" s="140"/>
      <c r="H4" s="140"/>
      <c r="I4" s="141"/>
    </row>
    <row r="5" spans="1:9" x14ac:dyDescent="0.2">
      <c r="B5" s="126" t="s">
        <v>3</v>
      </c>
      <c r="C5" s="127"/>
      <c r="D5" s="148" t="str">
        <f>IF(Principal!D9&lt;&gt;"",Principal!D9,"")</f>
        <v>23.31107PRC</v>
      </c>
      <c r="E5" s="149"/>
      <c r="F5" s="149"/>
      <c r="G5" s="149"/>
      <c r="H5" s="149"/>
      <c r="I5" s="150"/>
    </row>
    <row r="6" spans="1:9" x14ac:dyDescent="0.2">
      <c r="B6" s="142"/>
      <c r="C6" s="142"/>
      <c r="D6" s="11"/>
      <c r="E6" s="11"/>
      <c r="F6" s="11"/>
      <c r="G6" s="11"/>
      <c r="H6" s="11"/>
      <c r="I6" s="11"/>
    </row>
    <row r="7" spans="1:9" x14ac:dyDescent="0.2">
      <c r="B7" s="145" t="s">
        <v>68</v>
      </c>
      <c r="C7" s="145"/>
      <c r="D7" s="8" t="s">
        <v>71</v>
      </c>
      <c r="E7" s="8" t="s">
        <v>72</v>
      </c>
      <c r="F7" s="145" t="s">
        <v>73</v>
      </c>
      <c r="G7" s="145"/>
      <c r="H7" s="145" t="s">
        <v>74</v>
      </c>
      <c r="I7" s="145"/>
    </row>
    <row r="8" spans="1:9" x14ac:dyDescent="0.2">
      <c r="B8" s="143" t="s">
        <v>15</v>
      </c>
      <c r="C8" s="143"/>
      <c r="D8" s="12" t="s">
        <v>66</v>
      </c>
      <c r="E8" s="13">
        <f>ROUND(Calculos!$B$304,0)</f>
        <v>0</v>
      </c>
      <c r="F8" s="156">
        <f>Tab_Precos!$E4</f>
        <v>17</v>
      </c>
      <c r="G8" s="157"/>
      <c r="H8" s="146">
        <f>F8*E8</f>
        <v>0</v>
      </c>
      <c r="I8" s="146"/>
    </row>
    <row r="9" spans="1:9" x14ac:dyDescent="0.2">
      <c r="B9" s="143" t="s">
        <v>16</v>
      </c>
      <c r="C9" s="143"/>
      <c r="D9" s="12" t="s">
        <v>66</v>
      </c>
      <c r="E9" s="13">
        <f>ROUND(Calculos!$C$304,0)</f>
        <v>27</v>
      </c>
      <c r="F9" s="152">
        <f>Tab_Precos!$E5</f>
        <v>17</v>
      </c>
      <c r="G9" s="153"/>
      <c r="H9" s="146">
        <f t="shared" ref="H9:H14" si="0">F9*E9</f>
        <v>459</v>
      </c>
      <c r="I9" s="146"/>
    </row>
    <row r="10" spans="1:9" x14ac:dyDescent="0.2">
      <c r="B10" s="143" t="s">
        <v>17</v>
      </c>
      <c r="C10" s="143"/>
      <c r="D10" s="12" t="s">
        <v>66</v>
      </c>
      <c r="E10" s="13">
        <f>ROUND(Calculos!$D$304,0)</f>
        <v>0</v>
      </c>
      <c r="F10" s="152">
        <f>Tab_Precos!$E6</f>
        <v>17</v>
      </c>
      <c r="G10" s="153"/>
      <c r="H10" s="146">
        <f t="shared" si="0"/>
        <v>0</v>
      </c>
      <c r="I10" s="146"/>
    </row>
    <row r="11" spans="1:9" x14ac:dyDescent="0.2">
      <c r="B11" s="143" t="s">
        <v>18</v>
      </c>
      <c r="C11" s="143"/>
      <c r="D11" s="12" t="s">
        <v>66</v>
      </c>
      <c r="E11" s="13">
        <f>ROUND(Calculos!$E$304,0)</f>
        <v>0</v>
      </c>
      <c r="F11" s="152">
        <f>Tab_Precos!$E7</f>
        <v>17</v>
      </c>
      <c r="G11" s="153"/>
      <c r="H11" s="146">
        <f t="shared" si="0"/>
        <v>0</v>
      </c>
      <c r="I11" s="146"/>
    </row>
    <row r="12" spans="1:9" x14ac:dyDescent="0.2">
      <c r="B12" s="143" t="s">
        <v>19</v>
      </c>
      <c r="C12" s="143"/>
      <c r="D12" s="12" t="s">
        <v>66</v>
      </c>
      <c r="E12" s="13">
        <f>ROUND(Calculos!$F$304,0)</f>
        <v>0</v>
      </c>
      <c r="F12" s="152">
        <f>Tab_Precos!$E8</f>
        <v>17</v>
      </c>
      <c r="G12" s="153"/>
      <c r="H12" s="146">
        <f t="shared" si="0"/>
        <v>0</v>
      </c>
      <c r="I12" s="146"/>
    </row>
    <row r="13" spans="1:9" x14ac:dyDescent="0.2">
      <c r="B13" s="143" t="s">
        <v>69</v>
      </c>
      <c r="C13" s="143"/>
      <c r="D13" s="12" t="s">
        <v>66</v>
      </c>
      <c r="E13" s="13">
        <f>ROUND(Calculos!$Q$304,0)</f>
        <v>0</v>
      </c>
      <c r="F13" s="152">
        <f>Tab_Precos!$E9</f>
        <v>17</v>
      </c>
      <c r="G13" s="153"/>
      <c r="H13" s="146">
        <f t="shared" si="0"/>
        <v>0</v>
      </c>
      <c r="I13" s="146"/>
    </row>
    <row r="14" spans="1:9" x14ac:dyDescent="0.2">
      <c r="B14" s="144" t="s">
        <v>70</v>
      </c>
      <c r="C14" s="144"/>
      <c r="D14" s="14" t="s">
        <v>66</v>
      </c>
      <c r="E14" s="15">
        <f>ROUND(Calculos!AD304+Calculos!AE304,0)</f>
        <v>0</v>
      </c>
      <c r="F14" s="154">
        <f>Tab_Precos!$E10</f>
        <v>17</v>
      </c>
      <c r="G14" s="155"/>
      <c r="H14" s="147">
        <f t="shared" si="0"/>
        <v>0</v>
      </c>
      <c r="I14" s="147"/>
    </row>
    <row r="15" spans="1:9" x14ac:dyDescent="0.2">
      <c r="B15" s="11"/>
      <c r="C15" s="11"/>
      <c r="D15" s="7" t="s">
        <v>66</v>
      </c>
      <c r="E15" s="16">
        <f>SUM(E8:E14)</f>
        <v>27</v>
      </c>
      <c r="F15" s="17"/>
      <c r="G15" s="17"/>
      <c r="H15" s="151">
        <f>SUM(H8:I14)</f>
        <v>459</v>
      </c>
      <c r="I15" s="151"/>
    </row>
    <row r="16" spans="1:9" x14ac:dyDescent="0.2">
      <c r="B16" s="11"/>
      <c r="C16" s="11"/>
      <c r="D16" s="11"/>
      <c r="E16" s="11"/>
      <c r="F16" s="11"/>
      <c r="G16" s="11"/>
      <c r="H16" s="11"/>
      <c r="I16" s="11"/>
    </row>
    <row r="17" spans="2:9" x14ac:dyDescent="0.2">
      <c r="B17" s="145" t="s">
        <v>23</v>
      </c>
      <c r="C17" s="145"/>
      <c r="D17" s="8" t="s">
        <v>71</v>
      </c>
      <c r="E17" s="8" t="s">
        <v>72</v>
      </c>
      <c r="F17" s="145" t="s">
        <v>73</v>
      </c>
      <c r="G17" s="145"/>
      <c r="H17" s="145" t="s">
        <v>74</v>
      </c>
      <c r="I17" s="145"/>
    </row>
    <row r="18" spans="2:9" x14ac:dyDescent="0.2">
      <c r="B18" s="143" t="s">
        <v>75</v>
      </c>
      <c r="C18" s="143"/>
      <c r="D18" s="12" t="s">
        <v>83</v>
      </c>
      <c r="E18" s="13">
        <f>ROUND(Calculos!$I$304,0)</f>
        <v>0</v>
      </c>
      <c r="F18" s="156">
        <f>Tab_Precos!$E14</f>
        <v>6.6</v>
      </c>
      <c r="G18" s="157"/>
      <c r="H18" s="146">
        <f>F18*E18</f>
        <v>0</v>
      </c>
      <c r="I18" s="146"/>
    </row>
    <row r="19" spans="2:9" x14ac:dyDescent="0.2">
      <c r="B19" s="143" t="s">
        <v>76</v>
      </c>
      <c r="C19" s="143"/>
      <c r="D19" s="12" t="s">
        <v>83</v>
      </c>
      <c r="E19" s="13">
        <f>ROUND(Calculos!$H$304,0)</f>
        <v>0</v>
      </c>
      <c r="F19" s="152">
        <f>Tab_Precos!$E15</f>
        <v>15</v>
      </c>
      <c r="G19" s="153"/>
      <c r="H19" s="146">
        <f t="shared" ref="H19:H29" si="1">F19*E19</f>
        <v>0</v>
      </c>
      <c r="I19" s="146"/>
    </row>
    <row r="20" spans="2:9" x14ac:dyDescent="0.2">
      <c r="B20" s="143" t="s">
        <v>87</v>
      </c>
      <c r="C20" s="143"/>
      <c r="D20" s="12" t="s">
        <v>83</v>
      </c>
      <c r="E20" s="13">
        <f>ROUND(Calculos!$J$304,0)</f>
        <v>0</v>
      </c>
      <c r="F20" s="152">
        <f>Tab_Precos!$E16</f>
        <v>130</v>
      </c>
      <c r="G20" s="153"/>
      <c r="H20" s="146">
        <f t="shared" si="1"/>
        <v>0</v>
      </c>
      <c r="I20" s="146"/>
    </row>
    <row r="21" spans="2:9" x14ac:dyDescent="0.2">
      <c r="B21" s="143" t="s">
        <v>77</v>
      </c>
      <c r="C21" s="143"/>
      <c r="D21" s="12" t="s">
        <v>83</v>
      </c>
      <c r="E21" s="13">
        <f>ROUND(Calculos!K304,0)</f>
        <v>0</v>
      </c>
      <c r="F21" s="152">
        <f>Tab_Precos!$E17</f>
        <v>6</v>
      </c>
      <c r="G21" s="153"/>
      <c r="H21" s="146">
        <f t="shared" si="1"/>
        <v>0</v>
      </c>
      <c r="I21" s="146"/>
    </row>
    <row r="22" spans="2:9" x14ac:dyDescent="0.2">
      <c r="B22" s="143" t="s">
        <v>50</v>
      </c>
      <c r="C22" s="143"/>
      <c r="D22" s="12" t="s">
        <v>83</v>
      </c>
      <c r="E22" s="13">
        <f>ROUND(Calculos!$L$304,0)</f>
        <v>0</v>
      </c>
      <c r="F22" s="152">
        <f>Tab_Precos!$E18</f>
        <v>17.53</v>
      </c>
      <c r="G22" s="153"/>
      <c r="H22" s="146">
        <f>F22*E22</f>
        <v>0</v>
      </c>
      <c r="I22" s="146"/>
    </row>
    <row r="23" spans="2:9" x14ac:dyDescent="0.2">
      <c r="B23" s="143" t="s">
        <v>78</v>
      </c>
      <c r="C23" s="143"/>
      <c r="D23" s="12" t="s">
        <v>84</v>
      </c>
      <c r="E23" s="13">
        <f>ROUND(((E18+E19+E20+E21)*0.45)/3.6,0)</f>
        <v>0</v>
      </c>
      <c r="F23" s="152">
        <f>Tab_Precos!$E19</f>
        <v>15.5</v>
      </c>
      <c r="G23" s="153"/>
      <c r="H23" s="146">
        <f>F23*E23</f>
        <v>0</v>
      </c>
      <c r="I23" s="146"/>
    </row>
    <row r="24" spans="2:9" x14ac:dyDescent="0.2">
      <c r="B24" s="143" t="s">
        <v>79</v>
      </c>
      <c r="C24" s="143"/>
      <c r="D24" s="12" t="s">
        <v>85</v>
      </c>
      <c r="E24" s="13">
        <f>ROUND(E18/80,0)</f>
        <v>0</v>
      </c>
      <c r="F24" s="152">
        <f>Tab_Precos!$E20</f>
        <v>62.66</v>
      </c>
      <c r="G24" s="153"/>
      <c r="H24" s="146">
        <f t="shared" si="1"/>
        <v>0</v>
      </c>
      <c r="I24" s="146"/>
    </row>
    <row r="25" spans="2:9" x14ac:dyDescent="0.2">
      <c r="B25" s="143" t="s">
        <v>80</v>
      </c>
      <c r="C25" s="143"/>
      <c r="D25" s="12" t="s">
        <v>67</v>
      </c>
      <c r="E25" s="13">
        <f>SUM(Calculos!T304:V304)</f>
        <v>0</v>
      </c>
      <c r="F25" s="152">
        <f>Tab_Precos!$E21</f>
        <v>0.03</v>
      </c>
      <c r="G25" s="153"/>
      <c r="H25" s="146">
        <f>F25*E25</f>
        <v>0</v>
      </c>
      <c r="I25" s="146"/>
    </row>
    <row r="26" spans="2:9" x14ac:dyDescent="0.2">
      <c r="B26" s="143" t="s">
        <v>81</v>
      </c>
      <c r="C26" s="143"/>
      <c r="D26" s="12" t="s">
        <v>86</v>
      </c>
      <c r="E26" s="13">
        <f>SUM(Calculos!W304:Y304)</f>
        <v>0</v>
      </c>
      <c r="F26" s="152">
        <f>Tab_Precos!$E22</f>
        <v>0.1</v>
      </c>
      <c r="G26" s="153"/>
      <c r="H26" s="146">
        <f>F26*E26</f>
        <v>0</v>
      </c>
      <c r="I26" s="146"/>
    </row>
    <row r="27" spans="2:9" x14ac:dyDescent="0.2">
      <c r="B27" s="143" t="s">
        <v>82</v>
      </c>
      <c r="C27" s="143"/>
      <c r="D27" s="12" t="s">
        <v>67</v>
      </c>
      <c r="E27" s="13">
        <f>Calculos!$Z$304</f>
        <v>0</v>
      </c>
      <c r="F27" s="152">
        <f>Tab_Precos!$E23</f>
        <v>0.1</v>
      </c>
      <c r="G27" s="153"/>
      <c r="H27" s="146">
        <f>F27*E27</f>
        <v>0</v>
      </c>
      <c r="I27" s="146"/>
    </row>
    <row r="28" spans="2:9" x14ac:dyDescent="0.2">
      <c r="B28" s="161"/>
      <c r="C28" s="161"/>
      <c r="D28" s="3"/>
      <c r="E28" s="4"/>
      <c r="F28" s="162"/>
      <c r="G28" s="163"/>
      <c r="H28" s="146">
        <f t="shared" si="1"/>
        <v>0</v>
      </c>
      <c r="I28" s="146"/>
    </row>
    <row r="29" spans="2:9" x14ac:dyDescent="0.2">
      <c r="B29" s="158"/>
      <c r="C29" s="158"/>
      <c r="D29" s="5"/>
      <c r="E29" s="6">
        <v>1</v>
      </c>
      <c r="F29" s="159">
        <v>0</v>
      </c>
      <c r="G29" s="160"/>
      <c r="H29" s="147">
        <f t="shared" si="1"/>
        <v>0</v>
      </c>
      <c r="I29" s="147"/>
    </row>
    <row r="30" spans="2:9" x14ac:dyDescent="0.2">
      <c r="B30" s="11"/>
      <c r="C30" s="11"/>
      <c r="D30" s="7" t="s">
        <v>83</v>
      </c>
      <c r="E30" s="16">
        <f>SUM(E18:E20)</f>
        <v>0</v>
      </c>
      <c r="F30" s="17"/>
      <c r="G30" s="17"/>
      <c r="H30" s="151">
        <f>SUM(H18:I29)</f>
        <v>0</v>
      </c>
      <c r="I30" s="151"/>
    </row>
    <row r="31" spans="2:9" x14ac:dyDescent="0.2">
      <c r="B31" s="11"/>
      <c r="C31" s="11"/>
      <c r="D31" s="11"/>
      <c r="E31" s="11"/>
      <c r="F31" s="11"/>
      <c r="G31" s="11"/>
      <c r="H31" s="11"/>
      <c r="I31" s="11"/>
    </row>
    <row r="32" spans="2:9" x14ac:dyDescent="0.2">
      <c r="B32" s="145" t="s">
        <v>51</v>
      </c>
      <c r="C32" s="145"/>
      <c r="D32" s="8" t="s">
        <v>71</v>
      </c>
      <c r="E32" s="8" t="s">
        <v>72</v>
      </c>
      <c r="F32" s="145" t="s">
        <v>73</v>
      </c>
      <c r="G32" s="145"/>
      <c r="H32" s="145" t="s">
        <v>74</v>
      </c>
      <c r="I32" s="145"/>
    </row>
    <row r="33" spans="2:9" x14ac:dyDescent="0.2">
      <c r="B33" s="143" t="s">
        <v>88</v>
      </c>
      <c r="C33" s="143"/>
      <c r="D33" s="12" t="s">
        <v>84</v>
      </c>
      <c r="E33" s="13">
        <f>ROUND(E37/25,0)</f>
        <v>0</v>
      </c>
      <c r="F33" s="152">
        <f>Tab_Precos!$E29</f>
        <v>95</v>
      </c>
      <c r="G33" s="153"/>
      <c r="H33" s="146">
        <f>F33*E33</f>
        <v>0</v>
      </c>
      <c r="I33" s="146"/>
    </row>
    <row r="34" spans="2:9" x14ac:dyDescent="0.2">
      <c r="B34" s="143" t="s">
        <v>89</v>
      </c>
      <c r="C34" s="143"/>
      <c r="D34" s="12" t="s">
        <v>84</v>
      </c>
      <c r="E34" s="13">
        <f>ROUND((E37/20)*2,0)</f>
        <v>0</v>
      </c>
      <c r="F34" s="152">
        <f>Tab_Precos!$E30</f>
        <v>150</v>
      </c>
      <c r="G34" s="153"/>
      <c r="H34" s="146">
        <f>F34*E34</f>
        <v>0</v>
      </c>
      <c r="I34" s="146"/>
    </row>
    <row r="35" spans="2:9" x14ac:dyDescent="0.2">
      <c r="B35" s="143" t="s">
        <v>90</v>
      </c>
      <c r="C35" s="143"/>
      <c r="D35" s="12" t="s">
        <v>86</v>
      </c>
      <c r="E35" s="13">
        <f>ROUND((E33+E34)/10,0)</f>
        <v>0</v>
      </c>
      <c r="F35" s="152">
        <f>Tab_Precos!$E31</f>
        <v>6</v>
      </c>
      <c r="G35" s="153"/>
      <c r="H35" s="146">
        <f>F35*E35</f>
        <v>0</v>
      </c>
      <c r="I35" s="146"/>
    </row>
    <row r="36" spans="2:9" x14ac:dyDescent="0.2">
      <c r="B36" s="144" t="s">
        <v>91</v>
      </c>
      <c r="C36" s="144"/>
      <c r="D36" s="14" t="s">
        <v>92</v>
      </c>
      <c r="E36" s="15">
        <f>ROUND((E33+E34)/0.5,0)</f>
        <v>0</v>
      </c>
      <c r="F36" s="154">
        <f>Tab_Precos!$E32</f>
        <v>12</v>
      </c>
      <c r="G36" s="155"/>
      <c r="H36" s="147">
        <f>F36*E36</f>
        <v>0</v>
      </c>
      <c r="I36" s="147"/>
    </row>
    <row r="37" spans="2:9" x14ac:dyDescent="0.2">
      <c r="B37" s="11"/>
      <c r="C37" s="11"/>
      <c r="D37" s="7" t="s">
        <v>83</v>
      </c>
      <c r="E37" s="18">
        <f>ROUND(Calculos!$M$304+Calculos!$S$304,0)</f>
        <v>0</v>
      </c>
      <c r="F37" s="17"/>
      <c r="G37" s="17"/>
      <c r="H37" s="164">
        <f>SUM(H33:I36)</f>
        <v>0</v>
      </c>
      <c r="I37" s="164"/>
    </row>
    <row r="38" spans="2:9" x14ac:dyDescent="0.2">
      <c r="B38" s="11"/>
      <c r="C38" s="11"/>
      <c r="D38" s="11"/>
      <c r="E38" s="11"/>
      <c r="F38" s="11"/>
      <c r="G38" s="11"/>
      <c r="H38" s="11"/>
      <c r="I38" s="11"/>
    </row>
    <row r="39" spans="2:9" x14ac:dyDescent="0.2">
      <c r="B39" s="145" t="s">
        <v>93</v>
      </c>
      <c r="C39" s="145"/>
      <c r="D39" s="8" t="s">
        <v>71</v>
      </c>
      <c r="E39" s="8" t="s">
        <v>72</v>
      </c>
      <c r="F39" s="145" t="s">
        <v>73</v>
      </c>
      <c r="G39" s="145"/>
      <c r="H39" s="145" t="s">
        <v>74</v>
      </c>
      <c r="I39" s="145"/>
    </row>
    <row r="40" spans="2:9" x14ac:dyDescent="0.2">
      <c r="B40" s="144" t="s">
        <v>93</v>
      </c>
      <c r="C40" s="144"/>
      <c r="D40" s="14" t="s">
        <v>66</v>
      </c>
      <c r="E40" s="15">
        <f>ROUND($E$15*Principal!G24/100,0)</f>
        <v>8</v>
      </c>
      <c r="F40" s="165">
        <f>Tab_Precos!$E36</f>
        <v>2</v>
      </c>
      <c r="G40" s="166"/>
      <c r="H40" s="147">
        <f>F40*E40</f>
        <v>16</v>
      </c>
      <c r="I40" s="147"/>
    </row>
    <row r="41" spans="2:9" x14ac:dyDescent="0.2">
      <c r="B41" s="11"/>
      <c r="C41" s="11"/>
      <c r="D41" s="7" t="s">
        <v>66</v>
      </c>
      <c r="E41" s="18">
        <f>E40</f>
        <v>8</v>
      </c>
      <c r="F41" s="17"/>
      <c r="G41" s="17"/>
      <c r="H41" s="164">
        <f>H40</f>
        <v>16</v>
      </c>
      <c r="I41" s="164"/>
    </row>
    <row r="42" spans="2:9" x14ac:dyDescent="0.2">
      <c r="B42" s="11"/>
      <c r="C42" s="11"/>
      <c r="D42" s="11"/>
      <c r="E42" s="11"/>
      <c r="F42" s="11"/>
      <c r="G42" s="11"/>
      <c r="H42" s="11"/>
      <c r="I42" s="11"/>
    </row>
    <row r="43" spans="2:9" x14ac:dyDescent="0.2">
      <c r="B43" s="145" t="s">
        <v>94</v>
      </c>
      <c r="C43" s="145"/>
      <c r="D43" s="8" t="s">
        <v>71</v>
      </c>
      <c r="E43" s="8" t="s">
        <v>72</v>
      </c>
      <c r="F43" s="145" t="s">
        <v>73</v>
      </c>
      <c r="G43" s="145"/>
      <c r="H43" s="145" t="s">
        <v>74</v>
      </c>
      <c r="I43" s="145"/>
    </row>
    <row r="44" spans="2:9" x14ac:dyDescent="0.2">
      <c r="B44" s="143" t="s">
        <v>95</v>
      </c>
      <c r="C44" s="143"/>
      <c r="D44" s="12" t="s">
        <v>86</v>
      </c>
      <c r="E44" s="13"/>
      <c r="F44" s="152">
        <f>Tab_Precos!$E40</f>
        <v>14</v>
      </c>
      <c r="G44" s="153"/>
      <c r="H44" s="146">
        <f>F44*E44</f>
        <v>0</v>
      </c>
      <c r="I44" s="146"/>
    </row>
    <row r="45" spans="2:9" x14ac:dyDescent="0.2">
      <c r="B45" s="144" t="s">
        <v>96</v>
      </c>
      <c r="C45" s="144"/>
      <c r="D45" s="14" t="s">
        <v>86</v>
      </c>
      <c r="E45" s="15"/>
      <c r="F45" s="154">
        <f>Tab_Precos!$E41</f>
        <v>9.6</v>
      </c>
      <c r="G45" s="155"/>
      <c r="H45" s="147">
        <f>F45*E45</f>
        <v>0</v>
      </c>
      <c r="I45" s="147"/>
    </row>
    <row r="46" spans="2:9" x14ac:dyDescent="0.2">
      <c r="B46" s="11"/>
      <c r="C46" s="11"/>
      <c r="D46" s="19" t="s">
        <v>115</v>
      </c>
      <c r="E46" s="20" t="s">
        <v>115</v>
      </c>
      <c r="F46" s="17"/>
      <c r="G46" s="17"/>
      <c r="H46" s="164">
        <f>SUM(H44:I45)</f>
        <v>0</v>
      </c>
      <c r="I46" s="164"/>
    </row>
    <row r="47" spans="2:9" x14ac:dyDescent="0.2">
      <c r="B47" s="11"/>
      <c r="C47" s="11"/>
      <c r="D47" s="11"/>
      <c r="E47" s="11"/>
      <c r="F47" s="11"/>
      <c r="G47" s="11"/>
      <c r="H47" s="11"/>
      <c r="I47" s="11"/>
    </row>
    <row r="48" spans="2:9" x14ac:dyDescent="0.2">
      <c r="B48" s="145" t="s">
        <v>97</v>
      </c>
      <c r="C48" s="145"/>
      <c r="D48" s="8" t="s">
        <v>71</v>
      </c>
      <c r="E48" s="8" t="s">
        <v>72</v>
      </c>
      <c r="F48" s="145" t="s">
        <v>73</v>
      </c>
      <c r="G48" s="145"/>
      <c r="H48" s="145" t="s">
        <v>74</v>
      </c>
      <c r="I48" s="145"/>
    </row>
    <row r="49" spans="2:9" x14ac:dyDescent="0.2">
      <c r="B49" s="143" t="s">
        <v>54</v>
      </c>
      <c r="C49" s="143"/>
      <c r="D49" s="12"/>
      <c r="E49" s="13"/>
      <c r="F49" s="152">
        <f>Tab_Precos!$E45</f>
        <v>0</v>
      </c>
      <c r="G49" s="153"/>
      <c r="H49" s="146"/>
      <c r="I49" s="146"/>
    </row>
    <row r="50" spans="2:9" x14ac:dyDescent="0.2">
      <c r="B50" s="143" t="s">
        <v>98</v>
      </c>
      <c r="C50" s="143"/>
      <c r="D50" s="12" t="s">
        <v>67</v>
      </c>
      <c r="E50" s="13">
        <f>ROUND(Calculos!$N$304,0)</f>
        <v>9</v>
      </c>
      <c r="F50" s="152">
        <f>Tab_Precos!$E46</f>
        <v>5</v>
      </c>
      <c r="G50" s="153"/>
      <c r="H50" s="146">
        <f t="shared" ref="H50:H59" si="2">F50*E50</f>
        <v>45</v>
      </c>
      <c r="I50" s="146"/>
    </row>
    <row r="51" spans="2:9" x14ac:dyDescent="0.2">
      <c r="B51" s="143" t="s">
        <v>99</v>
      </c>
      <c r="C51" s="143"/>
      <c r="D51" s="12" t="s">
        <v>67</v>
      </c>
      <c r="E51" s="13">
        <f>ROUND(Calculos!$O$304,0)</f>
        <v>0</v>
      </c>
      <c r="F51" s="152">
        <f>Tab_Precos!$E47</f>
        <v>6</v>
      </c>
      <c r="G51" s="153"/>
      <c r="H51" s="146">
        <f t="shared" si="2"/>
        <v>0</v>
      </c>
      <c r="I51" s="146"/>
    </row>
    <row r="52" spans="2:9" x14ac:dyDescent="0.2">
      <c r="B52" s="143" t="s">
        <v>100</v>
      </c>
      <c r="C52" s="143"/>
      <c r="D52" s="12" t="s">
        <v>86</v>
      </c>
      <c r="E52" s="13">
        <f>Calculos!$AA$304</f>
        <v>24</v>
      </c>
      <c r="F52" s="152">
        <f>Tab_Precos!$E48</f>
        <v>0.84</v>
      </c>
      <c r="G52" s="153"/>
      <c r="H52" s="146">
        <f t="shared" si="2"/>
        <v>20.16</v>
      </c>
      <c r="I52" s="146"/>
    </row>
    <row r="53" spans="2:9" x14ac:dyDescent="0.2">
      <c r="B53" s="143" t="s">
        <v>101</v>
      </c>
      <c r="C53" s="143"/>
      <c r="D53" s="12" t="s">
        <v>86</v>
      </c>
      <c r="E53" s="13">
        <f>Calculos!$AB$304</f>
        <v>12</v>
      </c>
      <c r="F53" s="152">
        <f>Tab_Precos!$E49</f>
        <v>1</v>
      </c>
      <c r="G53" s="153"/>
      <c r="H53" s="146">
        <f t="shared" si="2"/>
        <v>12</v>
      </c>
      <c r="I53" s="146"/>
    </row>
    <row r="54" spans="2:9" x14ac:dyDescent="0.2">
      <c r="B54" s="143" t="s">
        <v>102</v>
      </c>
      <c r="C54" s="143"/>
      <c r="D54" s="12" t="s">
        <v>86</v>
      </c>
      <c r="E54" s="13">
        <f>ROUND((E50+E51)/2/0.2,0)</f>
        <v>23</v>
      </c>
      <c r="F54" s="152">
        <f>Tab_Precos!$E50</f>
        <v>0.1</v>
      </c>
      <c r="G54" s="153"/>
      <c r="H54" s="146">
        <f t="shared" si="2"/>
        <v>2.3000000000000003</v>
      </c>
      <c r="I54" s="146"/>
    </row>
    <row r="55" spans="2:9" x14ac:dyDescent="0.2">
      <c r="B55" s="143" t="s">
        <v>103</v>
      </c>
      <c r="C55" s="143"/>
      <c r="D55" s="12" t="s">
        <v>67</v>
      </c>
      <c r="E55" s="13">
        <f>ROUND((E50+E51)/2,0)</f>
        <v>5</v>
      </c>
      <c r="F55" s="152">
        <f>Tab_Precos!$E51</f>
        <v>2</v>
      </c>
      <c r="G55" s="153"/>
      <c r="H55" s="146">
        <f t="shared" si="2"/>
        <v>10</v>
      </c>
      <c r="I55" s="146"/>
    </row>
    <row r="56" spans="2:9" x14ac:dyDescent="0.2">
      <c r="B56" s="143"/>
      <c r="C56" s="143"/>
      <c r="D56" s="12"/>
      <c r="E56" s="13"/>
      <c r="F56" s="152">
        <f>Tab_Precos!$E52</f>
        <v>0</v>
      </c>
      <c r="G56" s="153"/>
      <c r="H56" s="146">
        <f t="shared" si="2"/>
        <v>0</v>
      </c>
      <c r="I56" s="146"/>
    </row>
    <row r="57" spans="2:9" x14ac:dyDescent="0.2">
      <c r="B57" s="143" t="s">
        <v>104</v>
      </c>
      <c r="C57" s="143"/>
      <c r="D57" s="12"/>
      <c r="E57" s="13"/>
      <c r="F57" s="152">
        <f>Tab_Precos!$E53</f>
        <v>0</v>
      </c>
      <c r="G57" s="153"/>
      <c r="H57" s="146">
        <f t="shared" si="2"/>
        <v>0</v>
      </c>
      <c r="I57" s="146"/>
    </row>
    <row r="58" spans="2:9" x14ac:dyDescent="0.2">
      <c r="B58" s="143" t="s">
        <v>105</v>
      </c>
      <c r="C58" s="143"/>
      <c r="D58" s="12" t="s">
        <v>66</v>
      </c>
      <c r="E58" s="13">
        <f>ROUND((Calculos!$P$304+Calculos!$AC$304)*2.66*1.3,0)</f>
        <v>0</v>
      </c>
      <c r="F58" s="152">
        <f>Tab_Precos!$E54</f>
        <v>2.5</v>
      </c>
      <c r="G58" s="153"/>
      <c r="H58" s="146">
        <f t="shared" si="2"/>
        <v>0</v>
      </c>
      <c r="I58" s="146"/>
    </row>
    <row r="59" spans="2:9" x14ac:dyDescent="0.2">
      <c r="B59" s="144"/>
      <c r="C59" s="144"/>
      <c r="D59" s="14"/>
      <c r="E59" s="15"/>
      <c r="F59" s="154">
        <f>Tab_Precos!$E55</f>
        <v>0</v>
      </c>
      <c r="G59" s="155"/>
      <c r="H59" s="147">
        <f t="shared" si="2"/>
        <v>0</v>
      </c>
      <c r="I59" s="147"/>
    </row>
    <row r="60" spans="2:9" x14ac:dyDescent="0.2">
      <c r="B60" s="11"/>
      <c r="C60" s="11"/>
      <c r="D60" s="19" t="s">
        <v>115</v>
      </c>
      <c r="E60" s="20" t="s">
        <v>115</v>
      </c>
      <c r="F60" s="17"/>
      <c r="G60" s="17"/>
      <c r="H60" s="151">
        <f>SUM(H49:I59)</f>
        <v>89.46</v>
      </c>
      <c r="I60" s="151"/>
    </row>
    <row r="61" spans="2:9" x14ac:dyDescent="0.2">
      <c r="B61" s="11"/>
      <c r="C61" s="11"/>
      <c r="D61" s="11"/>
      <c r="E61" s="11"/>
      <c r="F61" s="11"/>
      <c r="G61" s="11"/>
      <c r="H61" s="11"/>
      <c r="I61" s="11"/>
    </row>
    <row r="62" spans="2:9" x14ac:dyDescent="0.2">
      <c r="B62" s="145" t="s">
        <v>106</v>
      </c>
      <c r="C62" s="145"/>
      <c r="D62" s="145"/>
      <c r="E62" s="145"/>
      <c r="F62" s="145"/>
      <c r="G62" s="145"/>
      <c r="H62" s="168">
        <f>ROUND(H15+H30+H37+H41+H46+H60,0)</f>
        <v>564</v>
      </c>
      <c r="I62" s="168"/>
    </row>
    <row r="63" spans="2:9" ht="6" customHeight="1" x14ac:dyDescent="0.2">
      <c r="B63" s="17"/>
      <c r="C63" s="17"/>
      <c r="D63" s="17"/>
      <c r="E63" s="17"/>
      <c r="F63" s="17"/>
      <c r="G63" s="17"/>
      <c r="H63" s="21"/>
      <c r="I63" s="21"/>
    </row>
    <row r="64" spans="2:9" x14ac:dyDescent="0.2">
      <c r="B64" s="167" t="s">
        <v>107</v>
      </c>
      <c r="C64" s="167"/>
      <c r="D64" s="167"/>
      <c r="E64" s="167"/>
      <c r="F64" s="167"/>
      <c r="G64" s="167"/>
      <c r="H64" s="151">
        <f>IF($E$15&lt;500,$E$15*Principal!$G$14*2,Resumo!$E$15*Principal!$G$14)</f>
        <v>972</v>
      </c>
      <c r="I64" s="151"/>
    </row>
    <row r="65" spans="2:9" ht="6" customHeight="1" x14ac:dyDescent="0.2">
      <c r="B65" s="17"/>
      <c r="C65" s="17"/>
      <c r="D65" s="17"/>
      <c r="E65" s="17"/>
      <c r="F65" s="17"/>
      <c r="G65" s="17"/>
      <c r="H65" s="21"/>
      <c r="I65" s="21"/>
    </row>
    <row r="66" spans="2:9" x14ac:dyDescent="0.2">
      <c r="B66" s="167" t="s">
        <v>108</v>
      </c>
      <c r="C66" s="167"/>
      <c r="D66" s="167"/>
      <c r="E66" s="167"/>
      <c r="F66" s="167"/>
      <c r="G66" s="167"/>
      <c r="H66" s="151">
        <f>H62+H64</f>
        <v>1536</v>
      </c>
      <c r="I66" s="151"/>
    </row>
    <row r="67" spans="2:9" x14ac:dyDescent="0.2">
      <c r="B67" s="11"/>
      <c r="C67" s="11"/>
      <c r="D67" s="11"/>
      <c r="E67" s="11"/>
      <c r="F67" s="11"/>
      <c r="G67" s="11"/>
      <c r="H67" s="11"/>
      <c r="I67" s="11"/>
    </row>
    <row r="68" spans="2:9" x14ac:dyDescent="0.2">
      <c r="B68" s="11"/>
      <c r="C68" s="11"/>
      <c r="D68" s="167" t="s">
        <v>109</v>
      </c>
      <c r="E68" s="167"/>
      <c r="F68" s="167"/>
      <c r="G68" s="167"/>
      <c r="H68" s="151">
        <f>IF($E$15&gt;0, H62/$E$15, 0)</f>
        <v>20.888888888888889</v>
      </c>
      <c r="I68" s="151"/>
    </row>
    <row r="69" spans="2:9" x14ac:dyDescent="0.2">
      <c r="B69" s="11"/>
      <c r="C69" s="11"/>
      <c r="D69" s="167" t="s">
        <v>110</v>
      </c>
      <c r="E69" s="167"/>
      <c r="F69" s="167"/>
      <c r="G69" s="167"/>
      <c r="H69" s="151">
        <f>IF($E$15&gt;0, H64/$E$15, 0)</f>
        <v>36</v>
      </c>
      <c r="I69" s="151"/>
    </row>
    <row r="70" spans="2:9" x14ac:dyDescent="0.2">
      <c r="B70" s="11"/>
      <c r="C70" s="11"/>
      <c r="D70" s="167" t="s">
        <v>111</v>
      </c>
      <c r="E70" s="167"/>
      <c r="F70" s="167"/>
      <c r="G70" s="167"/>
      <c r="H70" s="151">
        <f>H68+H69</f>
        <v>56.888888888888886</v>
      </c>
      <c r="I70" s="151"/>
    </row>
    <row r="71" spans="2:9" x14ac:dyDescent="0.2">
      <c r="B71" s="11"/>
      <c r="C71" s="11"/>
      <c r="D71" s="11"/>
      <c r="E71" s="11"/>
      <c r="F71" s="11"/>
      <c r="G71" s="11"/>
      <c r="H71" s="11"/>
      <c r="I71" s="11"/>
    </row>
  </sheetData>
  <sheetProtection sheet="1" objects="1" scenarios="1"/>
  <mergeCells count="157">
    <mergeCell ref="B1:C1"/>
    <mergeCell ref="H68:I68"/>
    <mergeCell ref="D68:G68"/>
    <mergeCell ref="D69:G69"/>
    <mergeCell ref="H69:I69"/>
    <mergeCell ref="H60:I60"/>
    <mergeCell ref="B62:G62"/>
    <mergeCell ref="B64:G64"/>
    <mergeCell ref="B59:C59"/>
    <mergeCell ref="F59:G59"/>
    <mergeCell ref="B58:C58"/>
    <mergeCell ref="F58:G58"/>
    <mergeCell ref="H58:I58"/>
    <mergeCell ref="H59:I59"/>
    <mergeCell ref="B55:C55"/>
    <mergeCell ref="F55:G55"/>
    <mergeCell ref="H55:I55"/>
    <mergeCell ref="B53:C53"/>
    <mergeCell ref="F53:G53"/>
    <mergeCell ref="H53:I53"/>
    <mergeCell ref="B54:C54"/>
    <mergeCell ref="B50:C50"/>
    <mergeCell ref="F50:G50"/>
    <mergeCell ref="H50:I50"/>
    <mergeCell ref="B40:C40"/>
    <mergeCell ref="F40:G40"/>
    <mergeCell ref="H40:I40"/>
    <mergeCell ref="D70:G70"/>
    <mergeCell ref="H70:I70"/>
    <mergeCell ref="H66:I66"/>
    <mergeCell ref="B66:G66"/>
    <mergeCell ref="H62:I62"/>
    <mergeCell ref="H64:I64"/>
    <mergeCell ref="B56:C56"/>
    <mergeCell ref="F56:G56"/>
    <mergeCell ref="H56:I56"/>
    <mergeCell ref="B57:C57"/>
    <mergeCell ref="F57:G57"/>
    <mergeCell ref="H57:I57"/>
    <mergeCell ref="B43:C43"/>
    <mergeCell ref="F43:G43"/>
    <mergeCell ref="H43:I43"/>
    <mergeCell ref="B49:C49"/>
    <mergeCell ref="B51:C51"/>
    <mergeCell ref="F51:G51"/>
    <mergeCell ref="H51:I51"/>
    <mergeCell ref="F54:G54"/>
    <mergeCell ref="H54:I54"/>
    <mergeCell ref="B35:C35"/>
    <mergeCell ref="F35:G35"/>
    <mergeCell ref="H35:I35"/>
    <mergeCell ref="B36:C36"/>
    <mergeCell ref="F36:G36"/>
    <mergeCell ref="H36:I36"/>
    <mergeCell ref="H37:I37"/>
    <mergeCell ref="B39:C39"/>
    <mergeCell ref="F39:G39"/>
    <mergeCell ref="H39:I39"/>
    <mergeCell ref="B52:C52"/>
    <mergeCell ref="F52:G52"/>
    <mergeCell ref="H52:I52"/>
    <mergeCell ref="H41:I41"/>
    <mergeCell ref="B44:C44"/>
    <mergeCell ref="F44:G44"/>
    <mergeCell ref="B48:C48"/>
    <mergeCell ref="F48:G48"/>
    <mergeCell ref="H48:I48"/>
    <mergeCell ref="H44:I44"/>
    <mergeCell ref="H46:I46"/>
    <mergeCell ref="B45:C45"/>
    <mergeCell ref="F45:G45"/>
    <mergeCell ref="H45:I45"/>
    <mergeCell ref="F49:G49"/>
    <mergeCell ref="H49:I49"/>
    <mergeCell ref="B32:C32"/>
    <mergeCell ref="F32:G32"/>
    <mergeCell ref="H32:I32"/>
    <mergeCell ref="B33:C33"/>
    <mergeCell ref="F33:G33"/>
    <mergeCell ref="H33:I33"/>
    <mergeCell ref="B34:C34"/>
    <mergeCell ref="F34:G34"/>
    <mergeCell ref="B26:C26"/>
    <mergeCell ref="F26:G26"/>
    <mergeCell ref="H26:I26"/>
    <mergeCell ref="B27:C27"/>
    <mergeCell ref="F27:G27"/>
    <mergeCell ref="H27:I27"/>
    <mergeCell ref="H30:I30"/>
    <mergeCell ref="B29:C29"/>
    <mergeCell ref="F29:G29"/>
    <mergeCell ref="B28:C28"/>
    <mergeCell ref="F28:G28"/>
    <mergeCell ref="H28:I28"/>
    <mergeCell ref="H34:I34"/>
    <mergeCell ref="B22:C22"/>
    <mergeCell ref="F22:G22"/>
    <mergeCell ref="H22:I22"/>
    <mergeCell ref="B23:C23"/>
    <mergeCell ref="F23:G23"/>
    <mergeCell ref="H23:I23"/>
    <mergeCell ref="H29:I29"/>
    <mergeCell ref="B21:C21"/>
    <mergeCell ref="F21:G21"/>
    <mergeCell ref="H21:I21"/>
    <mergeCell ref="B24:C24"/>
    <mergeCell ref="F24:G24"/>
    <mergeCell ref="H24:I24"/>
    <mergeCell ref="B25:C25"/>
    <mergeCell ref="F25:G25"/>
    <mergeCell ref="H25:I25"/>
    <mergeCell ref="B19:C19"/>
    <mergeCell ref="F19:G19"/>
    <mergeCell ref="H19:I19"/>
    <mergeCell ref="B20:C20"/>
    <mergeCell ref="F20:G20"/>
    <mergeCell ref="H20:I20"/>
    <mergeCell ref="B17:C17"/>
    <mergeCell ref="F17:G17"/>
    <mergeCell ref="H17:I17"/>
    <mergeCell ref="B18:C18"/>
    <mergeCell ref="F18:G18"/>
    <mergeCell ref="H18:I18"/>
    <mergeCell ref="H15:I15"/>
    <mergeCell ref="F7:G7"/>
    <mergeCell ref="H7:I7"/>
    <mergeCell ref="H8:I8"/>
    <mergeCell ref="H9:I9"/>
    <mergeCell ref="H10:I10"/>
    <mergeCell ref="H12:I12"/>
    <mergeCell ref="H11:I11"/>
    <mergeCell ref="F11:G11"/>
    <mergeCell ref="F12:G12"/>
    <mergeCell ref="F13:G13"/>
    <mergeCell ref="F14:G14"/>
    <mergeCell ref="F8:G8"/>
    <mergeCell ref="F9:G9"/>
    <mergeCell ref="F10:G10"/>
    <mergeCell ref="B2:C2"/>
    <mergeCell ref="D2:I2"/>
    <mergeCell ref="B3:C3"/>
    <mergeCell ref="D3:I3"/>
    <mergeCell ref="B6:C6"/>
    <mergeCell ref="B12:C12"/>
    <mergeCell ref="B13:C13"/>
    <mergeCell ref="B14:C14"/>
    <mergeCell ref="B7:C7"/>
    <mergeCell ref="B8:C8"/>
    <mergeCell ref="B9:C9"/>
    <mergeCell ref="B10:C10"/>
    <mergeCell ref="B11:C11"/>
    <mergeCell ref="B4:C4"/>
    <mergeCell ref="H13:I13"/>
    <mergeCell ref="H14:I14"/>
    <mergeCell ref="D4:I4"/>
    <mergeCell ref="B5:C5"/>
    <mergeCell ref="D5:I5"/>
  </mergeCells>
  <phoneticPr fontId="0" type="noConversion"/>
  <hyperlinks>
    <hyperlink ref="B1:C1" location="Principal!C15" display="Retorna" xr:uid="{00000000-0004-0000-0200-000000000000}"/>
  </hyperlinks>
  <printOptions horizontalCentered="1" verticalCentered="1" gridLines="1"/>
  <pageMargins left="0.59055118110236227" right="0.39370078740157483" top="0.19685039370078741" bottom="0.19685039370078741" header="0" footer="0"/>
  <pageSetup paperSize="9" scale="93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E305"/>
  <sheetViews>
    <sheetView showGridLines="0" showZeros="0" zoomScale="70" workbookViewId="0">
      <pane ySplit="12" topLeftCell="A13" activePane="bottomLeft" state="frozenSplit"/>
      <selection pane="bottomLeft" activeCell="J49" sqref="J49"/>
    </sheetView>
  </sheetViews>
  <sheetFormatPr defaultRowHeight="12.75" x14ac:dyDescent="0.2"/>
  <cols>
    <col min="1" max="1" width="2.5703125" customWidth="1"/>
    <col min="7" max="7" width="11.7109375" bestFit="1" customWidth="1"/>
    <col min="8" max="8" width="12.42578125" bestFit="1" customWidth="1"/>
    <col min="9" max="9" width="8.5703125" bestFit="1" customWidth="1"/>
    <col min="10" max="10" width="12.42578125" bestFit="1" customWidth="1"/>
    <col min="11" max="11" width="7.7109375" bestFit="1" customWidth="1"/>
    <col min="12" max="12" width="11.140625" bestFit="1" customWidth="1"/>
    <col min="13" max="13" width="9.28515625" bestFit="1" customWidth="1"/>
    <col min="14" max="15" width="14.28515625" bestFit="1" customWidth="1"/>
    <col min="16" max="16" width="12.85546875" bestFit="1" customWidth="1"/>
    <col min="17" max="17" width="14.85546875" bestFit="1" customWidth="1"/>
    <col min="18" max="18" width="2.28515625" customWidth="1"/>
    <col min="26" max="26" width="14" bestFit="1" customWidth="1"/>
    <col min="29" max="30" width="12.5703125" customWidth="1"/>
    <col min="31" max="31" width="10.5703125" customWidth="1"/>
  </cols>
  <sheetData>
    <row r="1" spans="2:31" ht="8.25" customHeight="1" x14ac:dyDescent="0.2"/>
    <row r="2" spans="2:31" s="36" customFormat="1" ht="25.5" x14ac:dyDescent="0.2">
      <c r="B2" s="34" t="s">
        <v>14</v>
      </c>
      <c r="C2" s="35" t="s">
        <v>20</v>
      </c>
      <c r="D2" s="170" t="s">
        <v>11</v>
      </c>
      <c r="E2" s="170"/>
      <c r="F2" s="170" t="s">
        <v>142</v>
      </c>
      <c r="G2" s="170"/>
      <c r="H2" s="170" t="s">
        <v>137</v>
      </c>
      <c r="I2" s="171"/>
      <c r="Z2" s="36" t="str">
        <f>Principal!H12</f>
        <v>ABNT</v>
      </c>
    </row>
    <row r="3" spans="2:31" x14ac:dyDescent="0.2">
      <c r="B3" s="37" t="s">
        <v>15</v>
      </c>
      <c r="C3" s="37">
        <v>4.5</v>
      </c>
      <c r="D3" s="38" t="s">
        <v>21</v>
      </c>
      <c r="E3" s="39">
        <v>30</v>
      </c>
      <c r="F3" s="38" t="s">
        <v>21</v>
      </c>
      <c r="G3" s="39">
        <v>70</v>
      </c>
      <c r="H3" s="38" t="s">
        <v>21</v>
      </c>
      <c r="I3" s="39">
        <v>90</v>
      </c>
      <c r="J3" s="36"/>
      <c r="K3" s="36"/>
      <c r="Z3">
        <f>SUM(AA3:AD3)</f>
        <v>30</v>
      </c>
      <c r="AA3">
        <f>IF(Principal!$G$12=1,Calculos!E3,"")</f>
        <v>30</v>
      </c>
      <c r="AB3" t="str">
        <f>IF(Principal!$G$12=2,Calculos!G3,"")</f>
        <v/>
      </c>
      <c r="AC3" t="str">
        <f>IF(Principal!$G$12=3,Calculos!I3,"")</f>
        <v/>
      </c>
      <c r="AD3" t="str">
        <f>IF(Principal!$G$12=4,Calculos!K3,"")</f>
        <v/>
      </c>
    </row>
    <row r="4" spans="2:31" x14ac:dyDescent="0.2">
      <c r="B4" s="40" t="s">
        <v>16</v>
      </c>
      <c r="C4" s="40">
        <v>5.7</v>
      </c>
      <c r="D4" s="41" t="s">
        <v>21</v>
      </c>
      <c r="E4" s="42">
        <v>75</v>
      </c>
      <c r="F4" s="41" t="s">
        <v>21</v>
      </c>
      <c r="G4" s="42">
        <v>90</v>
      </c>
      <c r="H4" s="41" t="s">
        <v>21</v>
      </c>
      <c r="I4" s="42">
        <v>120</v>
      </c>
      <c r="J4" s="36"/>
      <c r="K4" s="36"/>
      <c r="Z4">
        <f>SUM(AA4:AD4)</f>
        <v>75</v>
      </c>
      <c r="AA4">
        <f>IF(Principal!$G$12=1,Calculos!E4,"")</f>
        <v>75</v>
      </c>
      <c r="AB4" t="str">
        <f>IF(Principal!$G$12=2,Calculos!G4,"")</f>
        <v/>
      </c>
      <c r="AC4" t="str">
        <f>IF(Principal!$G$12=3,Calculos!I4,"")</f>
        <v/>
      </c>
      <c r="AD4" t="str">
        <f>IF(Principal!$G$12=4,Calculos!K4,"")</f>
        <v/>
      </c>
    </row>
    <row r="5" spans="2:31" x14ac:dyDescent="0.2">
      <c r="B5" s="40" t="s">
        <v>17</v>
      </c>
      <c r="C5" s="40">
        <v>6.8</v>
      </c>
      <c r="D5" s="41" t="s">
        <v>21</v>
      </c>
      <c r="E5" s="42">
        <v>140</v>
      </c>
      <c r="F5" s="41" t="s">
        <v>21</v>
      </c>
      <c r="G5" s="42">
        <v>120</v>
      </c>
      <c r="H5" s="41" t="s">
        <v>21</v>
      </c>
      <c r="I5" s="42">
        <v>150</v>
      </c>
      <c r="J5" s="36"/>
      <c r="K5" s="36"/>
      <c r="Z5">
        <f>SUM(AA5:AD5)</f>
        <v>140</v>
      </c>
      <c r="AA5">
        <f>IF(Principal!$G$12=1,Calculos!E5,"")</f>
        <v>140</v>
      </c>
      <c r="AB5" t="str">
        <f>IF(Principal!$G$12=2,Calculos!G5,"")</f>
        <v/>
      </c>
      <c r="AC5" t="str">
        <f>IF(Principal!$G$12=3,Calculos!I5,"")</f>
        <v/>
      </c>
      <c r="AD5" t="str">
        <f>IF(Principal!$G$12=4,Calculos!K5,"")</f>
        <v/>
      </c>
    </row>
    <row r="6" spans="2:31" x14ac:dyDescent="0.2">
      <c r="B6" s="40" t="s">
        <v>18</v>
      </c>
      <c r="C6" s="40">
        <v>8.1</v>
      </c>
      <c r="D6" s="41" t="s">
        <v>21</v>
      </c>
      <c r="E6" s="42">
        <v>210</v>
      </c>
      <c r="F6" s="41" t="s">
        <v>21</v>
      </c>
      <c r="G6" s="42">
        <v>150</v>
      </c>
      <c r="H6" s="41" t="s">
        <v>21</v>
      </c>
      <c r="I6" s="42">
        <v>180</v>
      </c>
      <c r="J6" s="36"/>
      <c r="K6" s="36"/>
      <c r="Z6">
        <f>SUM(AA6:AD6)</f>
        <v>210</v>
      </c>
      <c r="AA6">
        <f>IF(Principal!$G$12=1,Calculos!E6,"")</f>
        <v>210</v>
      </c>
      <c r="AB6" t="str">
        <f>IF(Principal!$G$12=2,Calculos!G6,"")</f>
        <v/>
      </c>
      <c r="AC6" t="str">
        <f>IF(Principal!$G$12=3,Calculos!I6,"")</f>
        <v/>
      </c>
      <c r="AD6" t="str">
        <f>IF(Principal!$G$12=4,Calculos!K6,"")</f>
        <v/>
      </c>
    </row>
    <row r="7" spans="2:31" x14ac:dyDescent="0.2">
      <c r="B7" s="43" t="s">
        <v>19</v>
      </c>
      <c r="C7" s="43">
        <v>10.5</v>
      </c>
      <c r="D7" s="44" t="s">
        <v>22</v>
      </c>
      <c r="E7" s="45">
        <f>E6</f>
        <v>210</v>
      </c>
      <c r="F7" s="44" t="s">
        <v>22</v>
      </c>
      <c r="G7" s="45">
        <v>150</v>
      </c>
      <c r="H7" s="44" t="s">
        <v>22</v>
      </c>
      <c r="I7" s="45">
        <v>180</v>
      </c>
      <c r="J7" s="36"/>
      <c r="K7" s="36"/>
      <c r="Z7">
        <f>SUM(AA7:AD7)</f>
        <v>210</v>
      </c>
      <c r="AA7">
        <f>IF(Principal!$G$12=1,Calculos!E7,"")</f>
        <v>210</v>
      </c>
      <c r="AB7" t="str">
        <f>IF(Principal!$G$12=2,Calculos!G7,"")</f>
        <v/>
      </c>
      <c r="AC7" t="str">
        <f>IF(Principal!$G$12=3,Calculos!I7,"")</f>
        <v/>
      </c>
      <c r="AD7" t="str">
        <f>IF(Principal!$G$12=4,Calculos!K7,"")</f>
        <v/>
      </c>
    </row>
    <row r="10" spans="2:31" x14ac:dyDescent="0.2">
      <c r="B10" s="46" t="s">
        <v>15</v>
      </c>
      <c r="C10" s="46" t="s">
        <v>16</v>
      </c>
      <c r="D10" s="46" t="s">
        <v>17</v>
      </c>
      <c r="E10" s="46" t="s">
        <v>18</v>
      </c>
      <c r="F10" s="46" t="s">
        <v>19</v>
      </c>
      <c r="H10" s="47" t="s">
        <v>45</v>
      </c>
      <c r="I10" s="47" t="s">
        <v>47</v>
      </c>
      <c r="J10" s="47" t="s">
        <v>48</v>
      </c>
      <c r="K10" s="47" t="s">
        <v>49</v>
      </c>
      <c r="L10" s="47" t="s">
        <v>50</v>
      </c>
      <c r="M10" s="47" t="s">
        <v>51</v>
      </c>
      <c r="N10" s="47" t="s">
        <v>54</v>
      </c>
      <c r="O10" s="47" t="s">
        <v>54</v>
      </c>
      <c r="P10" s="47" t="s">
        <v>33</v>
      </c>
      <c r="Q10" s="47" t="s">
        <v>61</v>
      </c>
      <c r="S10" s="47" t="s">
        <v>51</v>
      </c>
      <c r="T10" s="47" t="s">
        <v>119</v>
      </c>
      <c r="U10" s="47" t="s">
        <v>119</v>
      </c>
      <c r="V10" s="47" t="s">
        <v>119</v>
      </c>
      <c r="W10" s="47" t="s">
        <v>122</v>
      </c>
      <c r="X10" s="47" t="s">
        <v>122</v>
      </c>
      <c r="Y10" s="47" t="s">
        <v>122</v>
      </c>
      <c r="Z10" s="47" t="s">
        <v>125</v>
      </c>
      <c r="AA10" s="47" t="s">
        <v>126</v>
      </c>
      <c r="AB10" s="47" t="s">
        <v>128</v>
      </c>
      <c r="AC10" s="47" t="s">
        <v>129</v>
      </c>
      <c r="AD10" s="47" t="s">
        <v>131</v>
      </c>
      <c r="AE10" s="47" t="s">
        <v>131</v>
      </c>
    </row>
    <row r="11" spans="2:31" x14ac:dyDescent="0.2">
      <c r="B11" s="48" t="s">
        <v>39</v>
      </c>
      <c r="C11" s="48" t="s">
        <v>40</v>
      </c>
      <c r="D11" s="48" t="s">
        <v>41</v>
      </c>
      <c r="E11" s="48" t="s">
        <v>42</v>
      </c>
      <c r="F11" s="48" t="s">
        <v>37</v>
      </c>
      <c r="G11" s="49" t="s">
        <v>52</v>
      </c>
      <c r="H11" s="50" t="s">
        <v>46</v>
      </c>
      <c r="I11" s="50"/>
      <c r="J11" s="50" t="s">
        <v>46</v>
      </c>
      <c r="K11" s="50"/>
      <c r="L11" s="50"/>
      <c r="M11" s="50"/>
      <c r="N11" s="50" t="s">
        <v>55</v>
      </c>
      <c r="O11" s="50" t="s">
        <v>58</v>
      </c>
      <c r="P11" s="50" t="s">
        <v>57</v>
      </c>
      <c r="Q11" s="50" t="s">
        <v>15</v>
      </c>
      <c r="S11" s="50" t="s">
        <v>118</v>
      </c>
      <c r="T11" s="50" t="s">
        <v>120</v>
      </c>
      <c r="U11" s="50" t="s">
        <v>121</v>
      </c>
      <c r="V11" s="50" t="s">
        <v>124</v>
      </c>
      <c r="W11" s="50" t="s">
        <v>120</v>
      </c>
      <c r="X11" s="50" t="s">
        <v>121</v>
      </c>
      <c r="Y11" s="50" t="s">
        <v>124</v>
      </c>
      <c r="Z11" s="50" t="s">
        <v>120</v>
      </c>
      <c r="AA11" s="50" t="s">
        <v>127</v>
      </c>
      <c r="AB11" s="50" t="s">
        <v>127</v>
      </c>
      <c r="AC11" s="50" t="s">
        <v>130</v>
      </c>
      <c r="AD11" s="50" t="s">
        <v>132</v>
      </c>
      <c r="AE11" s="50" t="s">
        <v>133</v>
      </c>
    </row>
    <row r="12" spans="2:31" x14ac:dyDescent="0.2">
      <c r="B12" s="51" t="s">
        <v>38</v>
      </c>
      <c r="C12" s="51" t="s">
        <v>38</v>
      </c>
      <c r="D12" s="51" t="s">
        <v>38</v>
      </c>
      <c r="E12" s="51" t="s">
        <v>38</v>
      </c>
      <c r="F12" s="51" t="s">
        <v>38</v>
      </c>
      <c r="G12" s="52" t="s">
        <v>53</v>
      </c>
      <c r="H12" s="53" t="s">
        <v>38</v>
      </c>
      <c r="I12" s="53" t="s">
        <v>38</v>
      </c>
      <c r="J12" s="53" t="s">
        <v>38</v>
      </c>
      <c r="K12" s="53" t="s">
        <v>38</v>
      </c>
      <c r="L12" s="53" t="s">
        <v>38</v>
      </c>
      <c r="M12" s="53" t="s">
        <v>38</v>
      </c>
      <c r="N12" s="53" t="s">
        <v>53</v>
      </c>
      <c r="O12" s="53" t="s">
        <v>53</v>
      </c>
      <c r="P12" s="53" t="s">
        <v>53</v>
      </c>
      <c r="Q12" s="53" t="s">
        <v>38</v>
      </c>
      <c r="S12" s="53" t="s">
        <v>38</v>
      </c>
      <c r="T12" s="53" t="s">
        <v>53</v>
      </c>
      <c r="U12" s="53" t="s">
        <v>53</v>
      </c>
      <c r="V12" s="53" t="s">
        <v>53</v>
      </c>
      <c r="W12" s="53" t="s">
        <v>123</v>
      </c>
      <c r="X12" s="53" t="s">
        <v>123</v>
      </c>
      <c r="Y12" s="53" t="s">
        <v>123</v>
      </c>
      <c r="Z12" s="53" t="s">
        <v>53</v>
      </c>
      <c r="AA12" s="53" t="s">
        <v>123</v>
      </c>
      <c r="AB12" s="53" t="s">
        <v>123</v>
      </c>
      <c r="AC12" s="53" t="s">
        <v>53</v>
      </c>
      <c r="AD12" s="53" t="s">
        <v>38</v>
      </c>
      <c r="AE12" s="53" t="s">
        <v>38</v>
      </c>
    </row>
    <row r="13" spans="2:31" x14ac:dyDescent="0.2">
      <c r="B13" s="54">
        <f>IF('Levantamento dutos'!$B13&lt;=Calculos!$Z$3,((('Levantamento dutos'!$B13)/100+('Levantamento dutos'!$C13)/100)*2)*'Levantamento dutos'!$D13,0)</f>
        <v>0</v>
      </c>
      <c r="C13" s="55">
        <f>IF('Levantamento dutos'!$B13&gt;Calculos!$Z$3,IF('Levantamento dutos'!$B13&lt;=Calculos!$Z$4,((('Levantamento dutos'!$B13)/100+('Levantamento dutos'!$C13)/100)*2)*'Levantamento dutos'!$D13,0),0)</f>
        <v>3.9000000000000004</v>
      </c>
      <c r="D13" s="55">
        <f>IF('Levantamento dutos'!$B13&gt;Calculos!$Z$4,IF('Levantamento dutos'!$B13&lt;=Calculos!$Z$5,((('Levantamento dutos'!$B13)/100+('Levantamento dutos'!$C13)/100)*2)*'Levantamento dutos'!$D13,0),0)</f>
        <v>0</v>
      </c>
      <c r="E13" s="55">
        <f>IF('Levantamento dutos'!$B13&gt;Calculos!$Z$5,IF('Levantamento dutos'!$B13&lt;=Calculos!$Z$6,((('Levantamento dutos'!$B13)/100+('Levantamento dutos'!$C13)/100)*2)*'Levantamento dutos'!$D13,0),0)</f>
        <v>0</v>
      </c>
      <c r="F13" s="56">
        <f>IF('Levantamento dutos'!$B13&gt;Calculos!$Z$7,((('Levantamento dutos'!$B13)/100+('Levantamento dutos'!$C13)/100)*2)*'Levantamento dutos'!$D13,0)</f>
        <v>0</v>
      </c>
      <c r="G13">
        <f>(('Levantamento dutos'!B13+'Levantamento dutos'!C13)/100)*2</f>
        <v>1.3</v>
      </c>
      <c r="H13" s="54">
        <f>IF(CODE('Levantamento dutos'!$E13)=76,SUM($B13:$F13),0)</f>
        <v>0</v>
      </c>
      <c r="I13" s="55">
        <f>IF(CODE('Levantamento dutos'!$E13)=73,SUM($B13:$F13),0)</f>
        <v>0</v>
      </c>
      <c r="J13" s="55">
        <f>IF(CODE('Levantamento dutos'!$E13)=80,SUM($B13:$F13),0)</f>
        <v>0</v>
      </c>
      <c r="K13" s="55">
        <f>IF(CODE('Levantamento dutos'!$F13)=66,SUM($B13:$F13),0)</f>
        <v>0</v>
      </c>
      <c r="L13" s="55">
        <f>IF(CODE('Levantamento dutos'!$F13)=70,SUM($B13:$F13),0)</f>
        <v>0</v>
      </c>
      <c r="M13" s="56">
        <f>IF(CODE('Levantamento dutos'!$E13)=84,SUM($B13:$F13),0)</f>
        <v>0</v>
      </c>
      <c r="N13" s="57">
        <f>IF(CODE('Levantamento dutos'!$G13)=80,IF('Levantamento dutos'!$B13&lt;=200,('Levantamento dutos'!$D13/'Levantamento dutos'!$G$12*Calculos!$G13*2),0),0)</f>
        <v>7.8000000000000007</v>
      </c>
      <c r="O13" s="57">
        <f>IF(CODE('Levantamento dutos'!$G13)=80,IF('Levantamento dutos'!$B13&gt;200,('Levantamento dutos'!$D13/'Levantamento dutos'!$G$12*Calculos!$G13*2),0),0)</f>
        <v>0</v>
      </c>
      <c r="P13" s="57">
        <f>IF(CODE('Levantamento dutos'!$G13)=67,('Levantamento dutos'!$D13/'Levantamento dutos'!$G$12*Calculos!$G13*2),0)</f>
        <v>0</v>
      </c>
      <c r="Q13" s="57">
        <f>IF(CODE('Levantamento dutos'!H13)=83,((('Levantamento dutos'!B13/100)+('Levantamento dutos'!$H$12/1000))+(('Levantamento dutos'!C13/100)+('Levantamento dutos'!$H$12)/1000))*2*'Levantamento dutos'!D13,0)</f>
        <v>0</v>
      </c>
      <c r="S13" s="57">
        <f>IF(CODE('Levantamento dutos'!$I13)=83,$Q13,0)</f>
        <v>0</v>
      </c>
      <c r="T13" s="57">
        <f>IF(CODE('Levantamento dutos'!$E13)=76,ROUND((('Levantamento dutos'!$D13/0.5)*(Calculos!$G13+0.2)*1.2),0),0)</f>
        <v>0</v>
      </c>
      <c r="U13" s="57">
        <f>IF(CODE('Levantamento dutos'!$E13)=73,ROUND((('Levantamento dutos'!$D13/0.5)*(Calculos!$G13+0.2)*1.2),0),0)</f>
        <v>0</v>
      </c>
      <c r="V13" s="57">
        <f>IF(CODE('Levantamento dutos'!$E13)=80,ROUND((('Levantamento dutos'!$D13/0.5)*(Calculos!$G13+0.2)*1.2),0),0)</f>
        <v>0</v>
      </c>
      <c r="W13" s="57">
        <f>IF(CODE('Levantamento dutos'!$E13)=76,'Levantamento dutos'!$D13/0.5*1.5,0)</f>
        <v>0</v>
      </c>
      <c r="X13" s="57">
        <f>IF(CODE('Levantamento dutos'!$E13)=73,'Levantamento dutos'!$D13/0.5*1.5,0)</f>
        <v>0</v>
      </c>
      <c r="Y13" s="57">
        <f>IF(CODE('Levantamento dutos'!$E13)=80,'Levantamento dutos'!$D13/0.5*1.5,0)</f>
        <v>0</v>
      </c>
      <c r="Z13" s="57">
        <f>IF(CODE('Levantamento dutos'!$E13)=76,ROUND(('Levantamento dutos'!$D13)+('Levantamento dutos'!$D13*Calculos!$G13*2)*1.1,0),0)</f>
        <v>0</v>
      </c>
      <c r="AA13" s="57">
        <f>IF(CODE('Levantamento dutos'!$G13)=80,('Levantamento dutos'!$D13/'Levantamento dutos'!$G$12)*8,0)</f>
        <v>24</v>
      </c>
      <c r="AB13" s="57">
        <f>IF(CODE('Levantamento dutos'!$G13)=80,IF('Levantamento dutos'!$B13&gt;30,('Levantamento dutos'!$D13/'Levantamento dutos'!$G$12)*4,0),0)</f>
        <v>12</v>
      </c>
      <c r="AC13" s="57">
        <f>IF('Levantamento dutos'!$B13&gt;220,('Levantamento dutos'!$D13/'Levantamento dutos'!$G$12*Calculos!$G13*2),0)</f>
        <v>0</v>
      </c>
      <c r="AD13" s="57">
        <f>IF(CODE('Levantamento dutos'!$E13)=73,((('Levantamento dutos'!$E$12/1000)+0.02)*'Levantamento dutos'!$D13)*4*1.3,0)</f>
        <v>0</v>
      </c>
      <c r="AE13" s="57">
        <f>IF(CODE('Levantamento dutos'!$E13)=80,((('Levantamento dutos'!$E$12/1000)+0.02)*'Levantamento dutos'!$D13)*4*1.3,0)</f>
        <v>0</v>
      </c>
    </row>
    <row r="14" spans="2:31" x14ac:dyDescent="0.2">
      <c r="B14" s="58">
        <f>IF('Levantamento dutos'!$B14&lt;=Calculos!$Z$3,((('Levantamento dutos'!$B14)/100+('Levantamento dutos'!$C14)/100)*2)*'Levantamento dutos'!$D14,0)</f>
        <v>0</v>
      </c>
      <c r="C14">
        <f>IF('Levantamento dutos'!$B14&gt;Calculos!$Z$3,IF('Levantamento dutos'!$B14&lt;=Calculos!$Z$4,((('Levantamento dutos'!$B14)/100+('Levantamento dutos'!$C14)/100)*2)*'Levantamento dutos'!$D14,0),0)</f>
        <v>0</v>
      </c>
      <c r="D14">
        <f>IF('Levantamento dutos'!$B14&gt;Calculos!$Z$4,IF('Levantamento dutos'!$B14&lt;=Calculos!$Z$5,((('Levantamento dutos'!$B14)/100+('Levantamento dutos'!$C14)/100)*2)*'Levantamento dutos'!$D14,0),0)</f>
        <v>0</v>
      </c>
      <c r="E14">
        <f>IF('Levantamento dutos'!$B14&gt;Calculos!$Z$5,IF('Levantamento dutos'!$B14&lt;=Calculos!$Z$6,((('Levantamento dutos'!$B14)/100+('Levantamento dutos'!$C14)/100)*2)*'Levantamento dutos'!$D14,0),0)</f>
        <v>0</v>
      </c>
      <c r="F14" s="59">
        <f>IF('Levantamento dutos'!$B14&gt;Calculos!$Z$7,((('Levantamento dutos'!$B14)/100+('Levantamento dutos'!$C14)/100)*2)*'Levantamento dutos'!$D14,0)</f>
        <v>0</v>
      </c>
      <c r="G14">
        <f>(('Levantamento dutos'!B14+'Levantamento dutos'!C14)/100)*2</f>
        <v>0</v>
      </c>
      <c r="H14" s="58">
        <f>IF(CODE('Levantamento dutos'!$E14)=76,SUM($B14:$F14),0)</f>
        <v>0</v>
      </c>
      <c r="I14">
        <f>IF(CODE('Levantamento dutos'!$E14)=73,SUM($B14:$F14),0)</f>
        <v>0</v>
      </c>
      <c r="J14">
        <f>IF(CODE('Levantamento dutos'!$E14)=80,SUM($B14:$F14),0)</f>
        <v>0</v>
      </c>
      <c r="K14">
        <f>IF(CODE('Levantamento dutos'!$F14)=66,SUM($B14:$F14),0)</f>
        <v>0</v>
      </c>
      <c r="L14">
        <f>IF(CODE('Levantamento dutos'!$F14)=70,SUM($B14:$F14),0)</f>
        <v>0</v>
      </c>
      <c r="M14" s="59">
        <f>IF(CODE('Levantamento dutos'!$E14)=84,SUM($B14:$F14),0)</f>
        <v>0</v>
      </c>
      <c r="N14" s="60">
        <f>IF(CODE('Levantamento dutos'!$G14)=80,IF('Levantamento dutos'!$B14&lt;=200,('Levantamento dutos'!$D14/'Levantamento dutos'!$G$12*Calculos!$G14*2),0),0)</f>
        <v>0</v>
      </c>
      <c r="O14" s="60">
        <f>IF(CODE('Levantamento dutos'!$G14)=80,IF('Levantamento dutos'!$B14&gt;200,('Levantamento dutos'!$D14/'Levantamento dutos'!$G$12*Calculos!$G14*2),0),0)</f>
        <v>0</v>
      </c>
      <c r="P14" s="60">
        <f>IF(CODE('Levantamento dutos'!$G14)=67,('Levantamento dutos'!$D14/'Levantamento dutos'!$G$12*Calculos!$G14*2),0)</f>
        <v>0</v>
      </c>
      <c r="Q14" s="60">
        <f>IF(CODE('Levantamento dutos'!H14)=83,((('Levantamento dutos'!B14/100)+('Levantamento dutos'!$H$12/1000))+(('Levantamento dutos'!C14/100)+('Levantamento dutos'!$H$12)/1000))*2*'Levantamento dutos'!D14,0)</f>
        <v>0</v>
      </c>
      <c r="S14" s="60">
        <f>IF(CODE('Levantamento dutos'!$I14)=83,$Q14,0)</f>
        <v>0</v>
      </c>
      <c r="T14" s="60">
        <f>IF(CODE('Levantamento dutos'!$E14)=76,ROUND((('Levantamento dutos'!$D14/5)*(Calculos!$G14+0.2)*1.2),0),0)</f>
        <v>0</v>
      </c>
      <c r="U14" s="60">
        <f>IF(CODE('Levantamento dutos'!$E14)=73,ROUND((('Levantamento dutos'!$D14/0.5)*(Calculos!$G14+0.2)*1.2),0),0)</f>
        <v>0</v>
      </c>
      <c r="V14" s="60">
        <f>IF(CODE('Levantamento dutos'!$E14)=80,ROUND((('Levantamento dutos'!$D14/0.5)*(Calculos!$G14+0.2)*1.2),0),0)</f>
        <v>0</v>
      </c>
      <c r="W14" s="60">
        <f>IF(CODE('Levantamento dutos'!$E14)=76,'Levantamento dutos'!$D14/0.5*1.5,0)</f>
        <v>0</v>
      </c>
      <c r="X14" s="60">
        <f>IF(CODE('Levantamento dutos'!$E14)=73,'Levantamento dutos'!$D14/0.5*1.5,0)</f>
        <v>0</v>
      </c>
      <c r="Y14" s="60">
        <f>IF(CODE('Levantamento dutos'!$E14)=80,'Levantamento dutos'!$D14/0.5*1.5,0)</f>
        <v>0</v>
      </c>
      <c r="Z14" s="60">
        <f>IF(CODE('Levantamento dutos'!$E14)=76,ROUND(('Levantamento dutos'!$D14)+('Levantamento dutos'!$D14*Calculos!$G14*2)*1.1,0),0)</f>
        <v>0</v>
      </c>
      <c r="AA14" s="60">
        <f>IF(CODE('Levantamento dutos'!$G14)=80,('Levantamento dutos'!$D14/'Levantamento dutos'!$G$12)*8,0)</f>
        <v>0</v>
      </c>
      <c r="AB14" s="60">
        <f>IF(CODE('Levantamento dutos'!$G14)=80,IF('Levantamento dutos'!$B14&gt;30,('Levantamento dutos'!$D14/'Levantamento dutos'!$G$12)*4,0),0)</f>
        <v>0</v>
      </c>
      <c r="AC14" s="60">
        <f>IF('Levantamento dutos'!$B14&gt;220,('Levantamento dutos'!$D14/'Levantamento dutos'!$G$12*Calculos!$G14*2),0)</f>
        <v>0</v>
      </c>
      <c r="AD14" s="60">
        <f>IF(CODE('Levantamento dutos'!$E14)=73,((('Levantamento dutos'!$E$12/1000)+0.02)*'Levantamento dutos'!$D14)*4*1.3,0)</f>
        <v>0</v>
      </c>
      <c r="AE14" s="60">
        <f>IF(CODE('Levantamento dutos'!$E14)=80,((('Levantamento dutos'!$E$12/1000)+0.02)*'Levantamento dutos'!$D14)*4*1.3,0)</f>
        <v>0</v>
      </c>
    </row>
    <row r="15" spans="2:31" x14ac:dyDescent="0.2">
      <c r="B15" s="58">
        <f>IF('Levantamento dutos'!$B15&lt;=Calculos!$Z$3,((('Levantamento dutos'!$B15)/100+('Levantamento dutos'!$C15)/100)*2)*'Levantamento dutos'!$D15,0)</f>
        <v>0</v>
      </c>
      <c r="C15">
        <f>IF('Levantamento dutos'!$B15&gt;Calculos!$Z$3,IF('Levantamento dutos'!$B15&lt;=Calculos!$Z$4,((('Levantamento dutos'!$B15)/100+('Levantamento dutos'!$C15)/100)*2)*'Levantamento dutos'!$D15,0),0)</f>
        <v>0</v>
      </c>
      <c r="D15">
        <f>IF('Levantamento dutos'!$B15&gt;Calculos!$Z$4,IF('Levantamento dutos'!$B15&lt;=Calculos!$Z$5,((('Levantamento dutos'!$B15)/100+('Levantamento dutos'!$C15)/100)*2)*'Levantamento dutos'!$D15,0),0)</f>
        <v>0</v>
      </c>
      <c r="E15">
        <f>IF('Levantamento dutos'!$B15&gt;Calculos!$Z$5,IF('Levantamento dutos'!$B15&lt;=Calculos!$Z$6,((('Levantamento dutos'!$B15)/100+('Levantamento dutos'!$C15)/100)*2)*'Levantamento dutos'!$D15,0),0)</f>
        <v>0</v>
      </c>
      <c r="F15" s="59">
        <f>IF('Levantamento dutos'!$B15&gt;Calculos!$Z$7,((('Levantamento dutos'!$B15)/100+('Levantamento dutos'!$C15)/100)*2)*'Levantamento dutos'!$D15,0)</f>
        <v>0</v>
      </c>
      <c r="G15">
        <f>(('Levantamento dutos'!B15+'Levantamento dutos'!C15)/100)*2</f>
        <v>0</v>
      </c>
      <c r="H15" s="58">
        <f>IF(CODE('Levantamento dutos'!$E15)=76,SUM($B15:$F15),0)</f>
        <v>0</v>
      </c>
      <c r="I15">
        <f>IF(CODE('Levantamento dutos'!$E15)=73,SUM($B15:$F15),0)</f>
        <v>0</v>
      </c>
      <c r="J15">
        <f>IF(CODE('Levantamento dutos'!$E15)=80,SUM($B15:$F15),0)</f>
        <v>0</v>
      </c>
      <c r="K15">
        <f>IF(CODE('Levantamento dutos'!$F15)=66,SUM($B15:$F15),0)</f>
        <v>0</v>
      </c>
      <c r="L15">
        <f>IF(CODE('Levantamento dutos'!$F15)=70,SUM($B15:$F15),0)</f>
        <v>0</v>
      </c>
      <c r="M15" s="59">
        <f>IF(CODE('Levantamento dutos'!$E15)=84,SUM($B15:$F15),0)</f>
        <v>0</v>
      </c>
      <c r="N15" s="60">
        <f>IF(CODE('Levantamento dutos'!$G15)=80,IF('Levantamento dutos'!$B15&lt;=200,('Levantamento dutos'!$D15/'Levantamento dutos'!$G$12*Calculos!$G15*2),0),0)</f>
        <v>0</v>
      </c>
      <c r="O15" s="60">
        <f>IF(CODE('Levantamento dutos'!$G15)=80,IF('Levantamento dutos'!$B15&gt;200,('Levantamento dutos'!$D15/'Levantamento dutos'!$G$12*Calculos!$G15*2),0),0)</f>
        <v>0</v>
      </c>
      <c r="P15" s="60">
        <f>IF(CODE('Levantamento dutos'!$G15)=67,('Levantamento dutos'!$D15/'Levantamento dutos'!$G$12*Calculos!$G15*2),0)</f>
        <v>0</v>
      </c>
      <c r="Q15" s="60">
        <f>IF(CODE('Levantamento dutos'!H15)=83,((('Levantamento dutos'!B15/100)+('Levantamento dutos'!$H$12/1000))+(('Levantamento dutos'!C15/100)+('Levantamento dutos'!$H$12)/1000))*2*'Levantamento dutos'!D15,0)</f>
        <v>0</v>
      </c>
      <c r="S15" s="60">
        <f>IF(CODE('Levantamento dutos'!$I15)=83,$Q15,0)</f>
        <v>0</v>
      </c>
      <c r="T15" s="60">
        <f>IF(CODE('Levantamento dutos'!$E15)=76,ROUND((('Levantamento dutos'!$D15/5)*(Calculos!$G15+0.2)*1.2),0),0)</f>
        <v>0</v>
      </c>
      <c r="U15" s="60">
        <f>IF(CODE('Levantamento dutos'!$E15)=73,ROUND((('Levantamento dutos'!$D15/0.5)*(Calculos!$G15+0.2)*1.2),0),0)</f>
        <v>0</v>
      </c>
      <c r="V15" s="60">
        <f>IF(CODE('Levantamento dutos'!$E15)=80,ROUND((('Levantamento dutos'!$D15/0.5)*(Calculos!$G15+0.2)*1.2),0),0)</f>
        <v>0</v>
      </c>
      <c r="W15" s="60">
        <f>IF(CODE('Levantamento dutos'!$E15)=76,'Levantamento dutos'!$D15/0.5*1.5,0)</f>
        <v>0</v>
      </c>
      <c r="X15" s="60">
        <f>IF(CODE('Levantamento dutos'!$E15)=73,'Levantamento dutos'!$D15/0.5*1.5,0)</f>
        <v>0</v>
      </c>
      <c r="Y15" s="60">
        <f>IF(CODE('Levantamento dutos'!$E15)=80,'Levantamento dutos'!$D15/0.5*1.5,0)</f>
        <v>0</v>
      </c>
      <c r="Z15" s="60">
        <f>IF(CODE('Levantamento dutos'!$E15)=76,ROUND(('Levantamento dutos'!$D15)+('Levantamento dutos'!$D15*Calculos!$G15*2)*1.1,0),0)</f>
        <v>0</v>
      </c>
      <c r="AA15" s="60">
        <f>IF(CODE('Levantamento dutos'!$G15)=80,('Levantamento dutos'!$D15/'Levantamento dutos'!$G$12)*8,0)</f>
        <v>0</v>
      </c>
      <c r="AB15" s="60">
        <f>IF(CODE('Levantamento dutos'!$G15)=80,IF('Levantamento dutos'!$B15&gt;30,('Levantamento dutos'!$D15/'Levantamento dutos'!$G$12)*4,0),0)</f>
        <v>0</v>
      </c>
      <c r="AC15" s="60">
        <f>IF('Levantamento dutos'!$B15&gt;220,('Levantamento dutos'!$D15/'Levantamento dutos'!$G$12*Calculos!$G15*2),0)</f>
        <v>0</v>
      </c>
      <c r="AD15" s="60">
        <f>IF(CODE('Levantamento dutos'!$E15)=73,((('Levantamento dutos'!$E$12/1000)+0.02)*'Levantamento dutos'!$D15)*4*1.3,0)</f>
        <v>0</v>
      </c>
      <c r="AE15" s="60">
        <f>IF(CODE('Levantamento dutos'!$E15)=80,((('Levantamento dutos'!$E$12/1000)+0.02)*'Levantamento dutos'!$D15)*4*1.3,0)</f>
        <v>0</v>
      </c>
    </row>
    <row r="16" spans="2:31" x14ac:dyDescent="0.2">
      <c r="B16" s="58">
        <f>IF('Levantamento dutos'!$B16&lt;=Calculos!$Z$3,((('Levantamento dutos'!$B16)/100+('Levantamento dutos'!$C16)/100)*2)*'Levantamento dutos'!$D16,0)</f>
        <v>0</v>
      </c>
      <c r="C16">
        <f>IF('Levantamento dutos'!$B16&gt;Calculos!$Z$3,IF('Levantamento dutos'!$B16&lt;=Calculos!$Z$4,((('Levantamento dutos'!$B16)/100+('Levantamento dutos'!$C16)/100)*2)*'Levantamento dutos'!$D16,0),0)</f>
        <v>0</v>
      </c>
      <c r="D16">
        <f>IF('Levantamento dutos'!$B16&gt;Calculos!$Z$4,IF('Levantamento dutos'!$B16&lt;=Calculos!$Z$5,((('Levantamento dutos'!$B16)/100+('Levantamento dutos'!$C16)/100)*2)*'Levantamento dutos'!$D16,0),0)</f>
        <v>0</v>
      </c>
      <c r="E16">
        <f>IF('Levantamento dutos'!$B16&gt;Calculos!$Z$5,IF('Levantamento dutos'!$B16&lt;=Calculos!$Z$6,((('Levantamento dutos'!$B16)/100+('Levantamento dutos'!$C16)/100)*2)*'Levantamento dutos'!$D16,0),0)</f>
        <v>0</v>
      </c>
      <c r="F16" s="59">
        <f>IF('Levantamento dutos'!$B16&gt;Calculos!$Z$7,((('Levantamento dutos'!$B16)/100+('Levantamento dutos'!$C16)/100)*2)*'Levantamento dutos'!$D16,0)</f>
        <v>0</v>
      </c>
      <c r="G16">
        <f>(('Levantamento dutos'!B16+'Levantamento dutos'!C16)/100)*2</f>
        <v>0</v>
      </c>
      <c r="H16" s="58">
        <f>IF(CODE('Levantamento dutos'!$E16)=76,SUM($B16:$F16),0)</f>
        <v>0</v>
      </c>
      <c r="I16">
        <f>IF(CODE('Levantamento dutos'!$E16)=73,SUM($B16:$F16),0)</f>
        <v>0</v>
      </c>
      <c r="J16">
        <f>IF(CODE('Levantamento dutos'!$E16)=80,SUM($B16:$F16),0)</f>
        <v>0</v>
      </c>
      <c r="K16">
        <f>IF(CODE('Levantamento dutos'!$F16)=66,SUM($B16:$F16),0)</f>
        <v>0</v>
      </c>
      <c r="L16">
        <f>IF(CODE('Levantamento dutos'!$F16)=70,SUM($B16:$F16),0)</f>
        <v>0</v>
      </c>
      <c r="M16" s="59">
        <f>IF(CODE('Levantamento dutos'!$E16)=84,SUM($B16:$F16),0)</f>
        <v>0</v>
      </c>
      <c r="N16" s="60">
        <f>IF(CODE('Levantamento dutos'!$G16)=80,IF('Levantamento dutos'!$B16&lt;=200,('Levantamento dutos'!$D16/'Levantamento dutos'!$G$12*Calculos!$G16*2),0),0)</f>
        <v>0</v>
      </c>
      <c r="O16" s="60">
        <f>IF(CODE('Levantamento dutos'!$G16)=80,IF('Levantamento dutos'!$B16&gt;200,('Levantamento dutos'!$D16/'Levantamento dutos'!$G$12*Calculos!$G16*2),0),0)</f>
        <v>0</v>
      </c>
      <c r="P16" s="60">
        <f>IF(CODE('Levantamento dutos'!$G16)=67,('Levantamento dutos'!$D16/'Levantamento dutos'!$G$12*Calculos!$G16*2),0)</f>
        <v>0</v>
      </c>
      <c r="Q16" s="60">
        <f>IF(CODE('Levantamento dutos'!H16)=83,((('Levantamento dutos'!B16/100)+('Levantamento dutos'!$H$12/1000))+(('Levantamento dutos'!C16/100)+('Levantamento dutos'!$H$12)/1000))*2*'Levantamento dutos'!D16,0)</f>
        <v>0</v>
      </c>
      <c r="S16" s="60">
        <f>IF(CODE('Levantamento dutos'!$I16)=83,$Q16,0)</f>
        <v>0</v>
      </c>
      <c r="T16" s="60">
        <f>IF(CODE('Levantamento dutos'!$E16)=76,ROUND((('Levantamento dutos'!$D16/5)*(Calculos!$G16+0.2)*1.2),0),0)</f>
        <v>0</v>
      </c>
      <c r="U16" s="60">
        <f>IF(CODE('Levantamento dutos'!$E16)=73,ROUND((('Levantamento dutos'!$D16/0.5)*(Calculos!$G16+0.2)*1.2),0),0)</f>
        <v>0</v>
      </c>
      <c r="V16" s="60">
        <f>IF(CODE('Levantamento dutos'!$E16)=80,ROUND((('Levantamento dutos'!$D16/0.5)*(Calculos!$G16+0.2)*1.2),0),0)</f>
        <v>0</v>
      </c>
      <c r="W16" s="60">
        <f>IF(CODE('Levantamento dutos'!$E16)=76,'Levantamento dutos'!$D16/0.5*1.5,0)</f>
        <v>0</v>
      </c>
      <c r="X16" s="60">
        <f>IF(CODE('Levantamento dutos'!$E16)=73,'Levantamento dutos'!$D16/0.5*1.5,0)</f>
        <v>0</v>
      </c>
      <c r="Y16" s="60">
        <f>IF(CODE('Levantamento dutos'!$E16)=80,'Levantamento dutos'!$D16/0.5*1.5,0)</f>
        <v>0</v>
      </c>
      <c r="Z16" s="60">
        <f>IF(CODE('Levantamento dutos'!$E16)=76,ROUND(('Levantamento dutos'!$D16)+('Levantamento dutos'!$D16*Calculos!$G16*2)*1.1,0),0)</f>
        <v>0</v>
      </c>
      <c r="AA16" s="60">
        <f>IF(CODE('Levantamento dutos'!$G16)=80,('Levantamento dutos'!$D16/'Levantamento dutos'!$G$12)*8,0)</f>
        <v>0</v>
      </c>
      <c r="AB16" s="60">
        <f>IF(CODE('Levantamento dutos'!$G16)=80,IF('Levantamento dutos'!$B16&gt;30,('Levantamento dutos'!$D16/'Levantamento dutos'!$G$12)*4,0),0)</f>
        <v>0</v>
      </c>
      <c r="AC16" s="60">
        <f>IF('Levantamento dutos'!$B16&gt;220,('Levantamento dutos'!$D16/'Levantamento dutos'!$G$12*Calculos!$G16*2),0)</f>
        <v>0</v>
      </c>
      <c r="AD16" s="60">
        <f>IF(CODE('Levantamento dutos'!$E16)=73,((('Levantamento dutos'!$E$12/1000)+0.02)*'Levantamento dutos'!$D16)*4*1.3,0)</f>
        <v>0</v>
      </c>
      <c r="AE16" s="60">
        <f>IF(CODE('Levantamento dutos'!$E16)=80,((('Levantamento dutos'!$E$12/1000)+0.02)*'Levantamento dutos'!$D16)*4*1.3,0)</f>
        <v>0</v>
      </c>
    </row>
    <row r="17" spans="2:31" x14ac:dyDescent="0.2">
      <c r="B17" s="58">
        <f>IF('Levantamento dutos'!$B17&lt;=Calculos!$Z$3,((('Levantamento dutos'!$B17)/100+('Levantamento dutos'!$C17)/100)*2)*'Levantamento dutos'!$D17,0)</f>
        <v>0</v>
      </c>
      <c r="C17">
        <f>IF('Levantamento dutos'!$B17&gt;Calculos!$Z$3,IF('Levantamento dutos'!$B17&lt;=Calculos!$Z$4,((('Levantamento dutos'!$B17)/100+('Levantamento dutos'!$C17)/100)*2)*'Levantamento dutos'!$D17,0),0)</f>
        <v>0</v>
      </c>
      <c r="D17">
        <f>IF('Levantamento dutos'!$B17&gt;Calculos!$Z$4,IF('Levantamento dutos'!$B17&lt;=Calculos!$Z$5,((('Levantamento dutos'!$B17)/100+('Levantamento dutos'!$C17)/100)*2)*'Levantamento dutos'!$D17,0),0)</f>
        <v>0</v>
      </c>
      <c r="E17">
        <f>IF('Levantamento dutos'!$B17&gt;Calculos!$Z$5,IF('Levantamento dutos'!$B17&lt;=Calculos!$Z$6,((('Levantamento dutos'!$B17)/100+('Levantamento dutos'!$C17)/100)*2)*'Levantamento dutos'!$D17,0),0)</f>
        <v>0</v>
      </c>
      <c r="F17" s="59">
        <f>IF('Levantamento dutos'!$B17&gt;Calculos!$Z$7,((('Levantamento dutos'!$B17)/100+('Levantamento dutos'!$C17)/100)*2)*'Levantamento dutos'!$D17,0)</f>
        <v>0</v>
      </c>
      <c r="G17">
        <f>(('Levantamento dutos'!B17+'Levantamento dutos'!C17)/100)*2</f>
        <v>0</v>
      </c>
      <c r="H17" s="58">
        <f>IF(CODE('Levantamento dutos'!$E17)=76,SUM($B17:$F17),0)</f>
        <v>0</v>
      </c>
      <c r="I17">
        <f>IF(CODE('Levantamento dutos'!$E17)=73,SUM($B17:$F17),0)</f>
        <v>0</v>
      </c>
      <c r="J17">
        <f>IF(CODE('Levantamento dutos'!$E17)=80,SUM($B17:$F17),0)</f>
        <v>0</v>
      </c>
      <c r="K17">
        <f>IF(CODE('Levantamento dutos'!$F17)=66,SUM($B17:$F17),0)</f>
        <v>0</v>
      </c>
      <c r="L17">
        <f>IF(CODE('Levantamento dutos'!$F17)=70,SUM($B17:$F17),0)</f>
        <v>0</v>
      </c>
      <c r="M17" s="59">
        <f>IF(CODE('Levantamento dutos'!$E17)=84,SUM($B17:$F17),0)</f>
        <v>0</v>
      </c>
      <c r="N17" s="60">
        <f>IF(CODE('Levantamento dutos'!$G17)=80,IF('Levantamento dutos'!$B17&lt;=200,('Levantamento dutos'!$D17/'Levantamento dutos'!$G$12*Calculos!$G17*2),0),0)</f>
        <v>0</v>
      </c>
      <c r="O17" s="60">
        <f>IF(CODE('Levantamento dutos'!$G17)=80,IF('Levantamento dutos'!$B17&gt;200,('Levantamento dutos'!$D17/'Levantamento dutos'!$G$12*Calculos!$G17*2),0),0)</f>
        <v>0</v>
      </c>
      <c r="P17" s="60">
        <f>IF(CODE('Levantamento dutos'!$G17)=67,('Levantamento dutos'!$D17/'Levantamento dutos'!$G$12*Calculos!$G17*2),0)</f>
        <v>0</v>
      </c>
      <c r="Q17" s="60">
        <f>IF(CODE('Levantamento dutos'!H17)=83,((('Levantamento dutos'!B17/100)+('Levantamento dutos'!$H$12/1000))+(('Levantamento dutos'!C17/100)+('Levantamento dutos'!$H$12)/1000))*2*'Levantamento dutos'!D17,0)</f>
        <v>0</v>
      </c>
      <c r="S17" s="60">
        <f>IF(CODE('Levantamento dutos'!$I17)=83,$Q17,0)</f>
        <v>0</v>
      </c>
      <c r="T17" s="60">
        <f>IF(CODE('Levantamento dutos'!$E17)=76,ROUND((('Levantamento dutos'!$D17/5)*(Calculos!$G17+0.2)*1.2),0),0)</f>
        <v>0</v>
      </c>
      <c r="U17" s="60">
        <f>IF(CODE('Levantamento dutos'!$E17)=73,ROUND((('Levantamento dutos'!$D17/0.5)*(Calculos!$G17+0.2)*1.2),0),0)</f>
        <v>0</v>
      </c>
      <c r="V17" s="60">
        <f>IF(CODE('Levantamento dutos'!$E17)=80,ROUND((('Levantamento dutos'!$D17/0.5)*(Calculos!$G17+0.2)*1.2),0),0)</f>
        <v>0</v>
      </c>
      <c r="W17" s="60">
        <f>IF(CODE('Levantamento dutos'!$E17)=76,'Levantamento dutos'!$D17/0.5*1.5,0)</f>
        <v>0</v>
      </c>
      <c r="X17" s="60">
        <f>IF(CODE('Levantamento dutos'!$E17)=73,'Levantamento dutos'!$D17/0.5*1.5,0)</f>
        <v>0</v>
      </c>
      <c r="Y17" s="60">
        <f>IF(CODE('Levantamento dutos'!$E17)=80,'Levantamento dutos'!$D17/0.5*1.5,0)</f>
        <v>0</v>
      </c>
      <c r="Z17" s="60">
        <f>IF(CODE('Levantamento dutos'!$E17)=76,ROUND(('Levantamento dutos'!$D17)+('Levantamento dutos'!$D17*Calculos!$G17*2)*1.1,0),0)</f>
        <v>0</v>
      </c>
      <c r="AA17" s="60">
        <f>IF(CODE('Levantamento dutos'!$G17)=80,('Levantamento dutos'!$D17/'Levantamento dutos'!$G$12)*8,0)</f>
        <v>0</v>
      </c>
      <c r="AB17" s="60">
        <f>IF(CODE('Levantamento dutos'!$G17)=80,IF('Levantamento dutos'!$B17&gt;30,('Levantamento dutos'!$D17/'Levantamento dutos'!$G$12)*4,0),0)</f>
        <v>0</v>
      </c>
      <c r="AC17" s="60">
        <f>IF('Levantamento dutos'!$B17&gt;220,('Levantamento dutos'!$D17/'Levantamento dutos'!$G$12*Calculos!$G17*2),0)</f>
        <v>0</v>
      </c>
      <c r="AD17" s="60">
        <f>IF(CODE('Levantamento dutos'!$E17)=73,((('Levantamento dutos'!$E$12/1000)+0.02)*'Levantamento dutos'!$D17)*4*1.3,0)</f>
        <v>0</v>
      </c>
      <c r="AE17" s="60">
        <f>IF(CODE('Levantamento dutos'!$E17)=80,((('Levantamento dutos'!$E$12/1000)+0.02)*'Levantamento dutos'!$D17)*4*1.3,0)</f>
        <v>0</v>
      </c>
    </row>
    <row r="18" spans="2:31" x14ac:dyDescent="0.2">
      <c r="B18" s="58">
        <f>IF('Levantamento dutos'!$B18&lt;=Calculos!$Z$3,((('Levantamento dutos'!$B18)/100+('Levantamento dutos'!$C18)/100)*2)*'Levantamento dutos'!$D18,0)</f>
        <v>0</v>
      </c>
      <c r="C18">
        <f>IF('Levantamento dutos'!$B18&gt;Calculos!$Z$3,IF('Levantamento dutos'!$B18&lt;=Calculos!$Z$4,((('Levantamento dutos'!$B18)/100+('Levantamento dutos'!$C18)/100)*2)*'Levantamento dutos'!$D18,0),0)</f>
        <v>0</v>
      </c>
      <c r="D18">
        <f>IF('Levantamento dutos'!$B18&gt;Calculos!$Z$4,IF('Levantamento dutos'!$B18&lt;=Calculos!$Z$5,((('Levantamento dutos'!$B18)/100+('Levantamento dutos'!$C18)/100)*2)*'Levantamento dutos'!$D18,0),0)</f>
        <v>0</v>
      </c>
      <c r="E18">
        <f>IF('Levantamento dutos'!$B18&gt;Calculos!$Z$5,IF('Levantamento dutos'!$B18&lt;=Calculos!$Z$6,((('Levantamento dutos'!$B18)/100+('Levantamento dutos'!$C18)/100)*2)*'Levantamento dutos'!$D18,0),0)</f>
        <v>0</v>
      </c>
      <c r="F18" s="59">
        <f>IF('Levantamento dutos'!$B18&gt;Calculos!$Z$7,((('Levantamento dutos'!$B18)/100+('Levantamento dutos'!$C18)/100)*2)*'Levantamento dutos'!$D18,0)</f>
        <v>0</v>
      </c>
      <c r="G18">
        <f>(('Levantamento dutos'!B18+'Levantamento dutos'!C18)/100)*2</f>
        <v>0</v>
      </c>
      <c r="H18" s="58">
        <f>IF(CODE('Levantamento dutos'!$E18)=76,SUM($B18:$F18),0)</f>
        <v>0</v>
      </c>
      <c r="I18">
        <f>IF(CODE('Levantamento dutos'!$E18)=73,SUM($B18:$F18),0)</f>
        <v>0</v>
      </c>
      <c r="J18">
        <f>IF(CODE('Levantamento dutos'!$E18)=80,SUM($B18:$F18),0)</f>
        <v>0</v>
      </c>
      <c r="K18">
        <f>IF(CODE('Levantamento dutos'!$F18)=66,SUM($B18:$F18),0)</f>
        <v>0</v>
      </c>
      <c r="L18">
        <f>IF(CODE('Levantamento dutos'!$F18)=70,SUM($B18:$F18),0)</f>
        <v>0</v>
      </c>
      <c r="M18" s="59">
        <f>IF(CODE('Levantamento dutos'!$E18)=84,SUM($B18:$F18),0)</f>
        <v>0</v>
      </c>
      <c r="N18" s="60">
        <f>IF(CODE('Levantamento dutos'!$G18)=80,IF('Levantamento dutos'!$B18&lt;=200,('Levantamento dutos'!$D18/'Levantamento dutos'!$G$12*Calculos!$G18*2),0),0)</f>
        <v>0</v>
      </c>
      <c r="O18" s="60">
        <f>IF(CODE('Levantamento dutos'!$G18)=80,IF('Levantamento dutos'!$B18&gt;200,('Levantamento dutos'!$D18/'Levantamento dutos'!$G$12*Calculos!$G18*2),0),0)</f>
        <v>0</v>
      </c>
      <c r="P18" s="60">
        <f>IF(CODE('Levantamento dutos'!$G18)=67,('Levantamento dutos'!$D18/'Levantamento dutos'!$G$12*Calculos!$G18*2),0)</f>
        <v>0</v>
      </c>
      <c r="Q18" s="60">
        <f>IF(CODE('Levantamento dutos'!H18)=83,((('Levantamento dutos'!B18/100)+('Levantamento dutos'!$H$12/1000))+(('Levantamento dutos'!C18/100)+('Levantamento dutos'!$H$12)/1000))*2*'Levantamento dutos'!D18,0)</f>
        <v>0</v>
      </c>
      <c r="S18" s="60">
        <f>IF(CODE('Levantamento dutos'!$I18)=83,$Q18,0)</f>
        <v>0</v>
      </c>
      <c r="T18" s="60">
        <f>IF(CODE('Levantamento dutos'!$E18)=76,ROUND((('Levantamento dutos'!$D18/5)*(Calculos!$G18+0.2)*1.2),0),0)</f>
        <v>0</v>
      </c>
      <c r="U18" s="60">
        <f>IF(CODE('Levantamento dutos'!$E18)=73,ROUND((('Levantamento dutos'!$D18/0.5)*(Calculos!$G18+0.2)*1.2),0),0)</f>
        <v>0</v>
      </c>
      <c r="V18" s="60">
        <f>IF(CODE('Levantamento dutos'!$E18)=80,ROUND((('Levantamento dutos'!$D18/0.5)*(Calculos!$G18+0.2)*1.2),0),0)</f>
        <v>0</v>
      </c>
      <c r="W18" s="60">
        <f>IF(CODE('Levantamento dutos'!$E18)=76,'Levantamento dutos'!$D18/0.5*1.5,0)</f>
        <v>0</v>
      </c>
      <c r="X18" s="60">
        <f>IF(CODE('Levantamento dutos'!$E18)=73,'Levantamento dutos'!$D18/0.5*1.5,0)</f>
        <v>0</v>
      </c>
      <c r="Y18" s="60">
        <f>IF(CODE('Levantamento dutos'!$E18)=80,'Levantamento dutos'!$D18/0.5*1.5,0)</f>
        <v>0</v>
      </c>
      <c r="Z18" s="60">
        <f>IF(CODE('Levantamento dutos'!$E18)=76,ROUND(('Levantamento dutos'!$D18)+('Levantamento dutos'!$D18*Calculos!$G18*2)*1.1,0),0)</f>
        <v>0</v>
      </c>
      <c r="AA18" s="60">
        <f>IF(CODE('Levantamento dutos'!$G18)=80,('Levantamento dutos'!$D18/'Levantamento dutos'!$G$12)*8,0)</f>
        <v>0</v>
      </c>
      <c r="AB18" s="60">
        <f>IF(CODE('Levantamento dutos'!$G18)=80,IF('Levantamento dutos'!$B18&gt;30,('Levantamento dutos'!$D18/'Levantamento dutos'!$G$12)*4,0),0)</f>
        <v>0</v>
      </c>
      <c r="AC18" s="60">
        <f>IF('Levantamento dutos'!$B18&gt;220,('Levantamento dutos'!$D18/'Levantamento dutos'!$G$12*Calculos!$G18*2),0)</f>
        <v>0</v>
      </c>
      <c r="AD18" s="60">
        <f>IF(CODE('Levantamento dutos'!$E18)=73,((('Levantamento dutos'!$E$12/1000)+0.02)*'Levantamento dutos'!$D18)*4*1.3,0)</f>
        <v>0</v>
      </c>
      <c r="AE18" s="60">
        <f>IF(CODE('Levantamento dutos'!$E18)=80,((('Levantamento dutos'!$E$12/1000)+0.02)*'Levantamento dutos'!$D18)*4*1.3,0)</f>
        <v>0</v>
      </c>
    </row>
    <row r="19" spans="2:31" x14ac:dyDescent="0.2">
      <c r="B19" s="58">
        <f>IF('Levantamento dutos'!$B19&lt;=Calculos!$Z$3,((('Levantamento dutos'!$B19)/100+('Levantamento dutos'!$C19)/100)*2)*'Levantamento dutos'!$D19,0)</f>
        <v>0</v>
      </c>
      <c r="C19">
        <f>IF('Levantamento dutos'!$B19&gt;Calculos!$Z$3,IF('Levantamento dutos'!$B19&lt;=Calculos!$Z$4,((('Levantamento dutos'!$B19)/100+('Levantamento dutos'!$C19)/100)*2)*'Levantamento dutos'!$D19,0),0)</f>
        <v>0</v>
      </c>
      <c r="D19">
        <f>IF('Levantamento dutos'!$B19&gt;Calculos!$Z$4,IF('Levantamento dutos'!$B19&lt;=Calculos!$Z$5,((('Levantamento dutos'!$B19)/100+('Levantamento dutos'!$C19)/100)*2)*'Levantamento dutos'!$D19,0),0)</f>
        <v>0</v>
      </c>
      <c r="E19">
        <f>IF('Levantamento dutos'!$B19&gt;Calculos!$Z$5,IF('Levantamento dutos'!$B19&lt;=Calculos!$Z$6,((('Levantamento dutos'!$B19)/100+('Levantamento dutos'!$C19)/100)*2)*'Levantamento dutos'!$D19,0),0)</f>
        <v>0</v>
      </c>
      <c r="F19" s="59">
        <f>IF('Levantamento dutos'!$B19&gt;Calculos!$Z$7,((('Levantamento dutos'!$B19)/100+('Levantamento dutos'!$C19)/100)*2)*'Levantamento dutos'!$D19,0)</f>
        <v>0</v>
      </c>
      <c r="G19">
        <f>(('Levantamento dutos'!B19+'Levantamento dutos'!C19)/100)*2</f>
        <v>0</v>
      </c>
      <c r="H19" s="58">
        <f>IF(CODE('Levantamento dutos'!$E19)=76,SUM($B19:$F19),0)</f>
        <v>0</v>
      </c>
      <c r="I19">
        <f>IF(CODE('Levantamento dutos'!$E19)=73,SUM($B19:$F19),0)</f>
        <v>0</v>
      </c>
      <c r="J19">
        <f>IF(CODE('Levantamento dutos'!$E19)=80,SUM($B19:$F19),0)</f>
        <v>0</v>
      </c>
      <c r="K19">
        <f>IF(CODE('Levantamento dutos'!$F19)=66,SUM($B19:$F19),0)</f>
        <v>0</v>
      </c>
      <c r="L19">
        <f>IF(CODE('Levantamento dutos'!$F19)=70,SUM($B19:$F19),0)</f>
        <v>0</v>
      </c>
      <c r="M19" s="59">
        <f>IF(CODE('Levantamento dutos'!$E19)=84,SUM($B19:$F19),0)</f>
        <v>0</v>
      </c>
      <c r="N19" s="60">
        <f>IF(CODE('Levantamento dutos'!$G19)=80,IF('Levantamento dutos'!$B19&lt;=200,('Levantamento dutos'!$D19/'Levantamento dutos'!$G$12*Calculos!$G19*2),0),0)</f>
        <v>0</v>
      </c>
      <c r="O19" s="60">
        <f>IF(CODE('Levantamento dutos'!$G19)=80,IF('Levantamento dutos'!$B19&gt;200,('Levantamento dutos'!$D19/'Levantamento dutos'!$G$12*Calculos!$G19*2),0),0)</f>
        <v>0</v>
      </c>
      <c r="P19" s="60">
        <f>IF(CODE('Levantamento dutos'!$G19)=67,('Levantamento dutos'!$D19/'Levantamento dutos'!$G$12*Calculos!$G19*2),0)</f>
        <v>0</v>
      </c>
      <c r="Q19" s="60">
        <f>IF(CODE('Levantamento dutos'!H19)=83,((('Levantamento dutos'!B19/100)+('Levantamento dutos'!$H$12/1000))+(('Levantamento dutos'!C19/100)+('Levantamento dutos'!$H$12)/1000))*2*'Levantamento dutos'!D19,0)</f>
        <v>0</v>
      </c>
      <c r="S19" s="60">
        <f>IF(CODE('Levantamento dutos'!$I19)=83,$Q19,0)</f>
        <v>0</v>
      </c>
      <c r="T19" s="60">
        <f>IF(CODE('Levantamento dutos'!$E19)=76,ROUND((('Levantamento dutos'!$D19/5)*(Calculos!$G19+0.2)*1.2),0),0)</f>
        <v>0</v>
      </c>
      <c r="U19" s="60">
        <f>IF(CODE('Levantamento dutos'!$E19)=73,ROUND((('Levantamento dutos'!$D19/0.5)*(Calculos!$G19+0.2)*1.2),0),0)</f>
        <v>0</v>
      </c>
      <c r="V19" s="60">
        <f>IF(CODE('Levantamento dutos'!$E19)=80,ROUND((('Levantamento dutos'!$D19/0.5)*(Calculos!$G19+0.2)*1.2),0),0)</f>
        <v>0</v>
      </c>
      <c r="W19" s="60">
        <f>IF(CODE('Levantamento dutos'!$E19)=76,'Levantamento dutos'!$D19/0.5*1.5,0)</f>
        <v>0</v>
      </c>
      <c r="X19" s="60">
        <f>IF(CODE('Levantamento dutos'!$E19)=73,'Levantamento dutos'!$D19/0.5*1.5,0)</f>
        <v>0</v>
      </c>
      <c r="Y19" s="60">
        <f>IF(CODE('Levantamento dutos'!$E19)=80,'Levantamento dutos'!$D19/0.5*1.5,0)</f>
        <v>0</v>
      </c>
      <c r="Z19" s="60">
        <f>IF(CODE('Levantamento dutos'!$E19)=76,ROUND(('Levantamento dutos'!$D19)+('Levantamento dutos'!$D19*Calculos!$G19*2)*1.1,0),0)</f>
        <v>0</v>
      </c>
      <c r="AA19" s="60">
        <f>IF(CODE('Levantamento dutos'!$G19)=80,('Levantamento dutos'!$D19/'Levantamento dutos'!$G$12)*8,0)</f>
        <v>0</v>
      </c>
      <c r="AB19" s="60">
        <f>IF(CODE('Levantamento dutos'!$G19)=80,IF('Levantamento dutos'!$B19&gt;30,('Levantamento dutos'!$D19/'Levantamento dutos'!$G$12)*4,0),0)</f>
        <v>0</v>
      </c>
      <c r="AC19" s="60">
        <f>IF('Levantamento dutos'!$B19&gt;220,('Levantamento dutos'!$D19/'Levantamento dutos'!$G$12*Calculos!$G19*2),0)</f>
        <v>0</v>
      </c>
      <c r="AD19" s="60">
        <f>IF(CODE('Levantamento dutos'!$E19)=73,((('Levantamento dutos'!$E$12/1000)+0.02)*'Levantamento dutos'!$D19)*4*1.3,0)</f>
        <v>0</v>
      </c>
      <c r="AE19" s="60">
        <f>IF(CODE('Levantamento dutos'!$E19)=80,((('Levantamento dutos'!$E$12/1000)+0.02)*'Levantamento dutos'!$D19)*4*1.3,0)</f>
        <v>0</v>
      </c>
    </row>
    <row r="20" spans="2:31" x14ac:dyDescent="0.2">
      <c r="B20" s="58">
        <f>IF('Levantamento dutos'!$B20&lt;=Calculos!$Z$3,((('Levantamento dutos'!$B20)/100+('Levantamento dutos'!$C20)/100)*2)*'Levantamento dutos'!$D20,0)</f>
        <v>0</v>
      </c>
      <c r="C20">
        <f>IF('Levantamento dutos'!$B20&gt;Calculos!$Z$3,IF('Levantamento dutos'!$B20&lt;=Calculos!$Z$4,((('Levantamento dutos'!$B20)/100+('Levantamento dutos'!$C20)/100)*2)*'Levantamento dutos'!$D20,0),0)</f>
        <v>0</v>
      </c>
      <c r="D20">
        <f>IF('Levantamento dutos'!$B20&gt;Calculos!$Z$4,IF('Levantamento dutos'!$B20&lt;=Calculos!$Z$5,((('Levantamento dutos'!$B20)/100+('Levantamento dutos'!$C20)/100)*2)*'Levantamento dutos'!$D20,0),0)</f>
        <v>0</v>
      </c>
      <c r="E20">
        <f>IF('Levantamento dutos'!$B20&gt;Calculos!$Z$5,IF('Levantamento dutos'!$B20&lt;=Calculos!$Z$6,((('Levantamento dutos'!$B20)/100+('Levantamento dutos'!$C20)/100)*2)*'Levantamento dutos'!$D20,0),0)</f>
        <v>0</v>
      </c>
      <c r="F20" s="59">
        <f>IF('Levantamento dutos'!$B20&gt;Calculos!$Z$7,((('Levantamento dutos'!$B20)/100+('Levantamento dutos'!$C20)/100)*2)*'Levantamento dutos'!$D20,0)</f>
        <v>0</v>
      </c>
      <c r="G20">
        <f>(('Levantamento dutos'!B20+'Levantamento dutos'!C20)/100)*2</f>
        <v>0</v>
      </c>
      <c r="H20" s="58">
        <f>IF(CODE('Levantamento dutos'!$E20)=76,SUM($B20:$F20),0)</f>
        <v>0</v>
      </c>
      <c r="I20">
        <f>IF(CODE('Levantamento dutos'!$E20)=73,SUM($B20:$F20),0)</f>
        <v>0</v>
      </c>
      <c r="J20">
        <f>IF(CODE('Levantamento dutos'!$E20)=80,SUM($B20:$F20),0)</f>
        <v>0</v>
      </c>
      <c r="K20">
        <f>IF(CODE('Levantamento dutos'!$F20)=66,SUM($B20:$F20),0)</f>
        <v>0</v>
      </c>
      <c r="L20">
        <f>IF(CODE('Levantamento dutos'!$F20)=70,SUM($B20:$F20),0)</f>
        <v>0</v>
      </c>
      <c r="M20" s="59">
        <f>IF(CODE('Levantamento dutos'!$E20)=84,SUM($B20:$F20),0)</f>
        <v>0</v>
      </c>
      <c r="N20" s="60">
        <f>IF(CODE('Levantamento dutos'!$G20)=80,IF('Levantamento dutos'!$B20&lt;=200,('Levantamento dutos'!$D20/'Levantamento dutos'!$G$12*Calculos!$G20*2),0),0)</f>
        <v>0</v>
      </c>
      <c r="O20" s="60">
        <f>IF(CODE('Levantamento dutos'!$G20)=80,IF('Levantamento dutos'!$B20&gt;200,('Levantamento dutos'!$D20/'Levantamento dutos'!$G$12*Calculos!$G20*2),0),0)</f>
        <v>0</v>
      </c>
      <c r="P20" s="60">
        <f>IF(CODE('Levantamento dutos'!$G20)=67,('Levantamento dutos'!$D20/'Levantamento dutos'!$G$12*Calculos!$G20*2),0)</f>
        <v>0</v>
      </c>
      <c r="Q20" s="60">
        <f>IF(CODE('Levantamento dutos'!H20)=83,((('Levantamento dutos'!B20/100)+('Levantamento dutos'!$H$12/1000))+(('Levantamento dutos'!C20/100)+('Levantamento dutos'!$H$12)/1000))*2*'Levantamento dutos'!D20,0)</f>
        <v>0</v>
      </c>
      <c r="S20" s="60">
        <f>IF(CODE('Levantamento dutos'!$I20)=83,$Q20,0)</f>
        <v>0</v>
      </c>
      <c r="T20" s="60">
        <f>IF(CODE('Levantamento dutos'!$E20)=76,ROUND((('Levantamento dutos'!$D20/5)*(Calculos!$G20+0.2)*1.2),0),0)</f>
        <v>0</v>
      </c>
      <c r="U20" s="60">
        <f>IF(CODE('Levantamento dutos'!$E20)=73,ROUND((('Levantamento dutos'!$D20/0.5)*(Calculos!$G20+0.2)*1.2),0),0)</f>
        <v>0</v>
      </c>
      <c r="V20" s="60">
        <f>IF(CODE('Levantamento dutos'!$E20)=80,ROUND((('Levantamento dutos'!$D20/0.5)*(Calculos!$G20+0.2)*1.2),0),0)</f>
        <v>0</v>
      </c>
      <c r="W20" s="60">
        <f>IF(CODE('Levantamento dutos'!$E20)=76,'Levantamento dutos'!$D20/0.5*1.5,0)</f>
        <v>0</v>
      </c>
      <c r="X20" s="60">
        <f>IF(CODE('Levantamento dutos'!$E20)=73,'Levantamento dutos'!$D20/0.5*1.5,0)</f>
        <v>0</v>
      </c>
      <c r="Y20" s="60">
        <f>IF(CODE('Levantamento dutos'!$E20)=80,'Levantamento dutos'!$D20/0.5*1.5,0)</f>
        <v>0</v>
      </c>
      <c r="Z20" s="60">
        <f>IF(CODE('Levantamento dutos'!$E20)=76,ROUND(('Levantamento dutos'!$D20)+('Levantamento dutos'!$D20*Calculos!$G20*2)*1.1,0),0)</f>
        <v>0</v>
      </c>
      <c r="AA20" s="60">
        <f>IF(CODE('Levantamento dutos'!$G20)=80,('Levantamento dutos'!$D20/'Levantamento dutos'!$G$12)*8,0)</f>
        <v>0</v>
      </c>
      <c r="AB20" s="60">
        <f>IF(CODE('Levantamento dutos'!$G20)=80,IF('Levantamento dutos'!$B20&gt;30,('Levantamento dutos'!$D20/'Levantamento dutos'!$G$12)*4,0),0)</f>
        <v>0</v>
      </c>
      <c r="AC20" s="60">
        <f>IF('Levantamento dutos'!$B20&gt;220,('Levantamento dutos'!$D20/'Levantamento dutos'!$G$12*Calculos!$G20*2),0)</f>
        <v>0</v>
      </c>
      <c r="AD20" s="60">
        <f>IF(CODE('Levantamento dutos'!$E20)=73,((('Levantamento dutos'!$E$12/1000)+0.02)*'Levantamento dutos'!$D20)*4*1.3,0)</f>
        <v>0</v>
      </c>
      <c r="AE20" s="60">
        <f>IF(CODE('Levantamento dutos'!$E20)=80,((('Levantamento dutos'!$E$12/1000)+0.02)*'Levantamento dutos'!$D20)*4*1.3,0)</f>
        <v>0</v>
      </c>
    </row>
    <row r="21" spans="2:31" x14ac:dyDescent="0.2">
      <c r="B21" s="58">
        <f>IF('Levantamento dutos'!$B21&lt;=Calculos!$Z$3,((('Levantamento dutos'!$B21)/100+('Levantamento dutos'!$C21)/100)*2)*'Levantamento dutos'!$D21,0)</f>
        <v>0</v>
      </c>
      <c r="C21">
        <f>IF('Levantamento dutos'!$B21&gt;Calculos!$Z$3,IF('Levantamento dutos'!$B21&lt;=Calculos!$Z$4,((('Levantamento dutos'!$B21)/100+('Levantamento dutos'!$C21)/100)*2)*'Levantamento dutos'!$D21,0),0)</f>
        <v>0</v>
      </c>
      <c r="D21">
        <f>IF('Levantamento dutos'!$B21&gt;Calculos!$Z$4,IF('Levantamento dutos'!$B21&lt;=Calculos!$Z$5,((('Levantamento dutos'!$B21)/100+('Levantamento dutos'!$C21)/100)*2)*'Levantamento dutos'!$D21,0),0)</f>
        <v>0</v>
      </c>
      <c r="E21">
        <f>IF('Levantamento dutos'!$B21&gt;Calculos!$Z$5,IF('Levantamento dutos'!$B21&lt;=Calculos!$Z$6,((('Levantamento dutos'!$B21)/100+('Levantamento dutos'!$C21)/100)*2)*'Levantamento dutos'!$D21,0),0)</f>
        <v>0</v>
      </c>
      <c r="F21" s="59">
        <f>IF('Levantamento dutos'!$B21&gt;Calculos!$Z$7,((('Levantamento dutos'!$B21)/100+('Levantamento dutos'!$C21)/100)*2)*'Levantamento dutos'!$D21,0)</f>
        <v>0</v>
      </c>
      <c r="G21">
        <f>(('Levantamento dutos'!B21+'Levantamento dutos'!C21)/100)*2</f>
        <v>0</v>
      </c>
      <c r="H21" s="58">
        <f>IF(CODE('Levantamento dutos'!$E21)=76,SUM($B21:$F21),0)</f>
        <v>0</v>
      </c>
      <c r="I21">
        <f>IF(CODE('Levantamento dutos'!$E21)=73,SUM($B21:$F21),0)</f>
        <v>0</v>
      </c>
      <c r="J21">
        <f>IF(CODE('Levantamento dutos'!$E21)=80,SUM($B21:$F21),0)</f>
        <v>0</v>
      </c>
      <c r="K21">
        <f>IF(CODE('Levantamento dutos'!$F21)=66,SUM($B21:$F21),0)</f>
        <v>0</v>
      </c>
      <c r="L21">
        <f>IF(CODE('Levantamento dutos'!$F21)=70,SUM($B21:$F21),0)</f>
        <v>0</v>
      </c>
      <c r="M21" s="59">
        <f>IF(CODE('Levantamento dutos'!$E21)=84,SUM($B21:$F21),0)</f>
        <v>0</v>
      </c>
      <c r="N21" s="60">
        <f>IF(CODE('Levantamento dutos'!$G21)=80,IF('Levantamento dutos'!$B21&lt;=200,('Levantamento dutos'!$D21/'Levantamento dutos'!$G$12*Calculos!$G21*2),0),0)</f>
        <v>0</v>
      </c>
      <c r="O21" s="60">
        <f>IF(CODE('Levantamento dutos'!$G21)=80,IF('Levantamento dutos'!$B21&gt;200,('Levantamento dutos'!$D21/'Levantamento dutos'!$G$12*Calculos!$G21*2),0),0)</f>
        <v>0</v>
      </c>
      <c r="P21" s="60">
        <f>IF(CODE('Levantamento dutos'!$G21)=67,('Levantamento dutos'!$D21/'Levantamento dutos'!$G$12*Calculos!$G21*2),0)</f>
        <v>0</v>
      </c>
      <c r="Q21" s="60">
        <f>IF(CODE('Levantamento dutos'!H21)=83,((('Levantamento dutos'!B21/100)+('Levantamento dutos'!$H$12/1000))+(('Levantamento dutos'!C21/100)+('Levantamento dutos'!$H$12)/1000))*2*'Levantamento dutos'!D21,0)</f>
        <v>0</v>
      </c>
      <c r="S21" s="60">
        <f>IF(CODE('Levantamento dutos'!$I21)=83,$Q21,0)</f>
        <v>0</v>
      </c>
      <c r="T21" s="60">
        <f>IF(CODE('Levantamento dutos'!$E21)=76,ROUND((('Levantamento dutos'!$D21/5)*(Calculos!$G21+0.2)*1.2),0),0)</f>
        <v>0</v>
      </c>
      <c r="U21" s="60">
        <f>IF(CODE('Levantamento dutos'!$E21)=73,ROUND((('Levantamento dutos'!$D21/0.5)*(Calculos!$G21+0.2)*1.2),0),0)</f>
        <v>0</v>
      </c>
      <c r="V21" s="60">
        <f>IF(CODE('Levantamento dutos'!$E21)=80,ROUND((('Levantamento dutos'!$D21/0.5)*(Calculos!$G21+0.2)*1.2),0),0)</f>
        <v>0</v>
      </c>
      <c r="W21" s="60">
        <f>IF(CODE('Levantamento dutos'!$E21)=76,'Levantamento dutos'!$D21/0.5*1.5,0)</f>
        <v>0</v>
      </c>
      <c r="X21" s="60">
        <f>IF(CODE('Levantamento dutos'!$E21)=73,'Levantamento dutos'!$D21/0.5*1.5,0)</f>
        <v>0</v>
      </c>
      <c r="Y21" s="60">
        <f>IF(CODE('Levantamento dutos'!$E21)=80,'Levantamento dutos'!$D21/0.5*1.5,0)</f>
        <v>0</v>
      </c>
      <c r="Z21" s="60">
        <f>IF(CODE('Levantamento dutos'!$E21)=76,ROUND(('Levantamento dutos'!$D21)+('Levantamento dutos'!$D21*Calculos!$G21*2)*1.1,0),0)</f>
        <v>0</v>
      </c>
      <c r="AA21" s="60">
        <f>IF(CODE('Levantamento dutos'!$G21)=80,('Levantamento dutos'!$D21/'Levantamento dutos'!$G$12)*8,0)</f>
        <v>0</v>
      </c>
      <c r="AB21" s="60">
        <f>IF(CODE('Levantamento dutos'!$G21)=80,IF('Levantamento dutos'!$B21&gt;30,('Levantamento dutos'!$D21/'Levantamento dutos'!$G$12)*4,0),0)</f>
        <v>0</v>
      </c>
      <c r="AC21" s="60">
        <f>IF('Levantamento dutos'!$B21&gt;220,('Levantamento dutos'!$D21/'Levantamento dutos'!$G$12*Calculos!$G21*2),0)</f>
        <v>0</v>
      </c>
      <c r="AD21" s="60">
        <f>IF(CODE('Levantamento dutos'!$E21)=73,((('Levantamento dutos'!$E$12/1000)+0.02)*'Levantamento dutos'!$D21)*4*1.3,0)</f>
        <v>0</v>
      </c>
      <c r="AE21" s="60">
        <f>IF(CODE('Levantamento dutos'!$E21)=80,((('Levantamento dutos'!$E$12/1000)+0.02)*'Levantamento dutos'!$D21)*4*1.3,0)</f>
        <v>0</v>
      </c>
    </row>
    <row r="22" spans="2:31" x14ac:dyDescent="0.2">
      <c r="B22" s="58">
        <f>IF('Levantamento dutos'!$B22&lt;=Calculos!$Z$3,((('Levantamento dutos'!$B22)/100+('Levantamento dutos'!$C22)/100)*2)*'Levantamento dutos'!$D22,0)</f>
        <v>0</v>
      </c>
      <c r="C22">
        <f>IF('Levantamento dutos'!$B22&gt;Calculos!$Z$3,IF('Levantamento dutos'!$B22&lt;=Calculos!$Z$4,((('Levantamento dutos'!$B22)/100+('Levantamento dutos'!$C22)/100)*2)*'Levantamento dutos'!$D22,0),0)</f>
        <v>0</v>
      </c>
      <c r="D22">
        <f>IF('Levantamento dutos'!$B22&gt;Calculos!$Z$4,IF('Levantamento dutos'!$B22&lt;=Calculos!$Z$5,((('Levantamento dutos'!$B22)/100+('Levantamento dutos'!$C22)/100)*2)*'Levantamento dutos'!$D22,0),0)</f>
        <v>0</v>
      </c>
      <c r="E22">
        <f>IF('Levantamento dutos'!$B22&gt;Calculos!$Z$5,IF('Levantamento dutos'!$B22&lt;=Calculos!$Z$6,((('Levantamento dutos'!$B22)/100+('Levantamento dutos'!$C22)/100)*2)*'Levantamento dutos'!$D22,0),0)</f>
        <v>0</v>
      </c>
      <c r="F22" s="59">
        <f>IF('Levantamento dutos'!$B22&gt;Calculos!$Z$7,((('Levantamento dutos'!$B22)/100+('Levantamento dutos'!$C22)/100)*2)*'Levantamento dutos'!$D22,0)</f>
        <v>0</v>
      </c>
      <c r="G22">
        <f>(('Levantamento dutos'!B22+'Levantamento dutos'!C22)/100)*2</f>
        <v>0</v>
      </c>
      <c r="H22" s="58">
        <f>IF(CODE('Levantamento dutos'!$E22)=76,SUM($B22:$F22),0)</f>
        <v>0</v>
      </c>
      <c r="I22">
        <f>IF(CODE('Levantamento dutos'!$E22)=73,SUM($B22:$F22),0)</f>
        <v>0</v>
      </c>
      <c r="J22">
        <f>IF(CODE('Levantamento dutos'!$E22)=80,SUM($B22:$F22),0)</f>
        <v>0</v>
      </c>
      <c r="K22">
        <f>IF(CODE('Levantamento dutos'!$F22)=66,SUM($B22:$F22),0)</f>
        <v>0</v>
      </c>
      <c r="L22">
        <f>IF(CODE('Levantamento dutos'!$F22)=70,SUM($B22:$F22),0)</f>
        <v>0</v>
      </c>
      <c r="M22" s="59">
        <f>IF(CODE('Levantamento dutos'!$E22)=84,SUM($B22:$F22),0)</f>
        <v>0</v>
      </c>
      <c r="N22" s="60">
        <f>IF(CODE('Levantamento dutos'!$G22)=80,IF('Levantamento dutos'!$B22&lt;=200,('Levantamento dutos'!$D22/'Levantamento dutos'!$G$12*Calculos!$G22*2),0),0)</f>
        <v>0</v>
      </c>
      <c r="O22" s="60">
        <f>IF(CODE('Levantamento dutos'!$G22)=80,IF('Levantamento dutos'!$B22&gt;200,('Levantamento dutos'!$D22/'Levantamento dutos'!$G$12*Calculos!$G22*2),0),0)</f>
        <v>0</v>
      </c>
      <c r="P22" s="60">
        <f>IF(CODE('Levantamento dutos'!$G22)=67,('Levantamento dutos'!$D22/'Levantamento dutos'!$G$12*Calculos!$G22*2),0)</f>
        <v>0</v>
      </c>
      <c r="Q22" s="60">
        <f>IF(CODE('Levantamento dutos'!H22)=83,((('Levantamento dutos'!B22/100)+('Levantamento dutos'!$H$12/1000))+(('Levantamento dutos'!C22/100)+('Levantamento dutos'!$H$12)/1000))*2*'Levantamento dutos'!D22,0)</f>
        <v>0</v>
      </c>
      <c r="S22" s="60">
        <f>IF(CODE('Levantamento dutos'!$I22)=83,$Q22,0)</f>
        <v>0</v>
      </c>
      <c r="T22" s="60">
        <f>IF(CODE('Levantamento dutos'!$E22)=76,ROUND((('Levantamento dutos'!$D22/5)*(Calculos!$G22+0.2)*1.2),0),0)</f>
        <v>0</v>
      </c>
      <c r="U22" s="60">
        <f>IF(CODE('Levantamento dutos'!$E22)=73,ROUND((('Levantamento dutos'!$D22/0.5)*(Calculos!$G22+0.2)*1.2),0),0)</f>
        <v>0</v>
      </c>
      <c r="V22" s="60">
        <f>IF(CODE('Levantamento dutos'!$E22)=80,ROUND((('Levantamento dutos'!$D22/0.5)*(Calculos!$G22+0.2)*1.2),0),0)</f>
        <v>0</v>
      </c>
      <c r="W22" s="60">
        <f>IF(CODE('Levantamento dutos'!$E22)=76,'Levantamento dutos'!$D22/0.5*1.5,0)</f>
        <v>0</v>
      </c>
      <c r="X22" s="60">
        <f>IF(CODE('Levantamento dutos'!$E22)=73,'Levantamento dutos'!$D22/0.5*1.5,0)</f>
        <v>0</v>
      </c>
      <c r="Y22" s="60">
        <f>IF(CODE('Levantamento dutos'!$E22)=80,'Levantamento dutos'!$D22/0.5*1.5,0)</f>
        <v>0</v>
      </c>
      <c r="Z22" s="60">
        <f>IF(CODE('Levantamento dutos'!$E22)=76,ROUND(('Levantamento dutos'!$D22)+('Levantamento dutos'!$D22*Calculos!$G22*2)*1.1,0),0)</f>
        <v>0</v>
      </c>
      <c r="AA22" s="60">
        <f>IF(CODE('Levantamento dutos'!$G22)=80,('Levantamento dutos'!$D22/'Levantamento dutos'!$G$12)*8,0)</f>
        <v>0</v>
      </c>
      <c r="AB22" s="60">
        <f>IF(CODE('Levantamento dutos'!$G22)=80,IF('Levantamento dutos'!$B22&gt;30,('Levantamento dutos'!$D22/'Levantamento dutos'!$G$12)*4,0),0)</f>
        <v>0</v>
      </c>
      <c r="AC22" s="60">
        <f>IF('Levantamento dutos'!$B22&gt;220,('Levantamento dutos'!$D22/'Levantamento dutos'!$G$12*Calculos!$G22*2),0)</f>
        <v>0</v>
      </c>
      <c r="AD22" s="60">
        <f>IF(CODE('Levantamento dutos'!$E22)=73,((('Levantamento dutos'!$E$12/1000)+0.02)*'Levantamento dutos'!$D22)*4*1.3,0)</f>
        <v>0</v>
      </c>
      <c r="AE22" s="60">
        <f>IF(CODE('Levantamento dutos'!$E22)=80,((('Levantamento dutos'!$E$12/1000)+0.02)*'Levantamento dutos'!$D22)*4*1.3,0)</f>
        <v>0</v>
      </c>
    </row>
    <row r="23" spans="2:31" x14ac:dyDescent="0.2">
      <c r="B23" s="58">
        <f>IF('Levantamento dutos'!$B23&lt;=Calculos!$Z$3,((('Levantamento dutos'!$B23)/100+('Levantamento dutos'!$C23)/100)*2)*'Levantamento dutos'!$D23,0)</f>
        <v>0</v>
      </c>
      <c r="C23">
        <f>IF('Levantamento dutos'!$B23&gt;Calculos!$Z$3,IF('Levantamento dutos'!$B23&lt;=Calculos!$Z$4,((('Levantamento dutos'!$B23)/100+('Levantamento dutos'!$C23)/100)*2)*'Levantamento dutos'!$D23,0),0)</f>
        <v>0</v>
      </c>
      <c r="D23">
        <f>IF('Levantamento dutos'!$B23&gt;Calculos!$Z$4,IF('Levantamento dutos'!$B23&lt;=Calculos!$Z$5,((('Levantamento dutos'!$B23)/100+('Levantamento dutos'!$C23)/100)*2)*'Levantamento dutos'!$D23,0),0)</f>
        <v>0</v>
      </c>
      <c r="E23">
        <f>IF('Levantamento dutos'!$B23&gt;Calculos!$Z$5,IF('Levantamento dutos'!$B23&lt;=Calculos!$Z$6,((('Levantamento dutos'!$B23)/100+('Levantamento dutos'!$C23)/100)*2)*'Levantamento dutos'!$D23,0),0)</f>
        <v>0</v>
      </c>
      <c r="F23" s="59">
        <f>IF('Levantamento dutos'!$B23&gt;Calculos!$Z$7,((('Levantamento dutos'!$B23)/100+('Levantamento dutos'!$C23)/100)*2)*'Levantamento dutos'!$D23,0)</f>
        <v>0</v>
      </c>
      <c r="G23">
        <f>(('Levantamento dutos'!B23+'Levantamento dutos'!C23)/100)*2</f>
        <v>0</v>
      </c>
      <c r="H23" s="58">
        <f>IF(CODE('Levantamento dutos'!$E23)=76,SUM($B23:$F23),0)</f>
        <v>0</v>
      </c>
      <c r="I23">
        <f>IF(CODE('Levantamento dutos'!$E23)=73,SUM($B23:$F23),0)</f>
        <v>0</v>
      </c>
      <c r="J23">
        <f>IF(CODE('Levantamento dutos'!$E23)=80,SUM($B23:$F23),0)</f>
        <v>0</v>
      </c>
      <c r="K23">
        <f>IF(CODE('Levantamento dutos'!$F23)=66,SUM($B23:$F23),0)</f>
        <v>0</v>
      </c>
      <c r="L23">
        <f>IF(CODE('Levantamento dutos'!$F23)=70,SUM($B23:$F23),0)</f>
        <v>0</v>
      </c>
      <c r="M23" s="59">
        <f>IF(CODE('Levantamento dutos'!$E23)=84,SUM($B23:$F23),0)</f>
        <v>0</v>
      </c>
      <c r="N23" s="60">
        <f>IF(CODE('Levantamento dutos'!$G23)=80,IF('Levantamento dutos'!$B23&lt;=200,('Levantamento dutos'!$D23/'Levantamento dutos'!$G$12*Calculos!$G23*2),0),0)</f>
        <v>0</v>
      </c>
      <c r="O23" s="60">
        <f>IF(CODE('Levantamento dutos'!$G23)=80,IF('Levantamento dutos'!$B23&gt;200,('Levantamento dutos'!$D23/'Levantamento dutos'!$G$12*Calculos!$G23*2),0),0)</f>
        <v>0</v>
      </c>
      <c r="P23" s="60">
        <f>IF(CODE('Levantamento dutos'!$G23)=67,('Levantamento dutos'!$D23/'Levantamento dutos'!$G$12*Calculos!$G23*2),0)</f>
        <v>0</v>
      </c>
      <c r="Q23" s="60">
        <f>IF(CODE('Levantamento dutos'!H23)=83,((('Levantamento dutos'!B23/100)+('Levantamento dutos'!$H$12/1000))+(('Levantamento dutos'!C23/100)+('Levantamento dutos'!$H$12)/1000))*2*'Levantamento dutos'!D23,0)</f>
        <v>0</v>
      </c>
      <c r="S23" s="60">
        <f>IF(CODE('Levantamento dutos'!$I23)=83,$Q23,0)</f>
        <v>0</v>
      </c>
      <c r="T23" s="60">
        <f>IF(CODE('Levantamento dutos'!$E23)=76,ROUND((('Levantamento dutos'!$D23/5)*(Calculos!$G23+0.2)*1.2),0),0)</f>
        <v>0</v>
      </c>
      <c r="U23" s="60">
        <f>IF(CODE('Levantamento dutos'!$E23)=73,ROUND((('Levantamento dutos'!$D23/0.5)*(Calculos!$G23+0.2)*1.2),0),0)</f>
        <v>0</v>
      </c>
      <c r="V23" s="60">
        <f>IF(CODE('Levantamento dutos'!$E23)=80,ROUND((('Levantamento dutos'!$D23/0.5)*(Calculos!$G23+0.2)*1.2),0),0)</f>
        <v>0</v>
      </c>
      <c r="W23" s="60">
        <f>IF(CODE('Levantamento dutos'!$E23)=76,'Levantamento dutos'!$D23/0.5*1.5,0)</f>
        <v>0</v>
      </c>
      <c r="X23" s="60">
        <f>IF(CODE('Levantamento dutos'!$E23)=73,'Levantamento dutos'!$D23/0.5*1.5,0)</f>
        <v>0</v>
      </c>
      <c r="Y23" s="60">
        <f>IF(CODE('Levantamento dutos'!$E23)=80,'Levantamento dutos'!$D23/0.5*1.5,0)</f>
        <v>0</v>
      </c>
      <c r="Z23" s="60">
        <f>IF(CODE('Levantamento dutos'!$E23)=76,ROUND(('Levantamento dutos'!$D23)+('Levantamento dutos'!$D23*Calculos!$G23*2)*1.1,0),0)</f>
        <v>0</v>
      </c>
      <c r="AA23" s="60">
        <f>IF(CODE('Levantamento dutos'!$G23)=80,('Levantamento dutos'!$D23/'Levantamento dutos'!$G$12)*8,0)</f>
        <v>0</v>
      </c>
      <c r="AB23" s="60">
        <f>IF(CODE('Levantamento dutos'!$G23)=80,IF('Levantamento dutos'!$B23&gt;30,('Levantamento dutos'!$D23/'Levantamento dutos'!$G$12)*4,0),0)</f>
        <v>0</v>
      </c>
      <c r="AC23" s="60">
        <f>IF('Levantamento dutos'!$B23&gt;220,('Levantamento dutos'!$D23/'Levantamento dutos'!$G$12*Calculos!$G23*2),0)</f>
        <v>0</v>
      </c>
      <c r="AD23" s="60">
        <f>IF(CODE('Levantamento dutos'!$E23)=73,((('Levantamento dutos'!$E$12/1000)+0.02)*'Levantamento dutos'!$D23)*4*1.3,0)</f>
        <v>0</v>
      </c>
      <c r="AE23" s="60">
        <f>IF(CODE('Levantamento dutos'!$E23)=80,((('Levantamento dutos'!$E$12/1000)+0.02)*'Levantamento dutos'!$D23)*4*1.3,0)</f>
        <v>0</v>
      </c>
    </row>
    <row r="24" spans="2:31" x14ac:dyDescent="0.2">
      <c r="B24" s="58">
        <f>IF('Levantamento dutos'!$B24&lt;=Calculos!$Z$3,((('Levantamento dutos'!$B24)/100+('Levantamento dutos'!$C24)/100)*2)*'Levantamento dutos'!$D24,0)</f>
        <v>0</v>
      </c>
      <c r="C24">
        <f>IF('Levantamento dutos'!$B24&gt;Calculos!$Z$3,IF('Levantamento dutos'!$B24&lt;=Calculos!$Z$4,((('Levantamento dutos'!$B24)/100+('Levantamento dutos'!$C24)/100)*2)*'Levantamento dutos'!$D24,0),0)</f>
        <v>0</v>
      </c>
      <c r="D24">
        <f>IF('Levantamento dutos'!$B24&gt;Calculos!$Z$4,IF('Levantamento dutos'!$B24&lt;=Calculos!$Z$5,((('Levantamento dutos'!$B24)/100+('Levantamento dutos'!$C24)/100)*2)*'Levantamento dutos'!$D24,0),0)</f>
        <v>0</v>
      </c>
      <c r="E24">
        <f>IF('Levantamento dutos'!$B24&gt;Calculos!$Z$5,IF('Levantamento dutos'!$B24&lt;=Calculos!$Z$6,((('Levantamento dutos'!$B24)/100+('Levantamento dutos'!$C24)/100)*2)*'Levantamento dutos'!$D24,0),0)</f>
        <v>0</v>
      </c>
      <c r="F24" s="59">
        <f>IF('Levantamento dutos'!$B24&gt;Calculos!$Z$7,((('Levantamento dutos'!$B24)/100+('Levantamento dutos'!$C24)/100)*2)*'Levantamento dutos'!$D24,0)</f>
        <v>0</v>
      </c>
      <c r="G24">
        <f>(('Levantamento dutos'!B24+'Levantamento dutos'!C24)/100)*2</f>
        <v>0</v>
      </c>
      <c r="H24" s="58">
        <f>IF(CODE('Levantamento dutos'!$E24)=76,SUM($B24:$F24),0)</f>
        <v>0</v>
      </c>
      <c r="I24">
        <f>IF(CODE('Levantamento dutos'!$E24)=73,SUM($B24:$F24),0)</f>
        <v>0</v>
      </c>
      <c r="J24">
        <f>IF(CODE('Levantamento dutos'!$E24)=80,SUM($B24:$F24),0)</f>
        <v>0</v>
      </c>
      <c r="K24">
        <f>IF(CODE('Levantamento dutos'!$F24)=66,SUM($B24:$F24),0)</f>
        <v>0</v>
      </c>
      <c r="L24">
        <f>IF(CODE('Levantamento dutos'!$F24)=70,SUM($B24:$F24),0)</f>
        <v>0</v>
      </c>
      <c r="M24" s="59">
        <f>IF(CODE('Levantamento dutos'!$E24)=84,SUM($B24:$F24),0)</f>
        <v>0</v>
      </c>
      <c r="N24" s="60">
        <f>IF(CODE('Levantamento dutos'!$G24)=80,IF('Levantamento dutos'!$B24&lt;=200,('Levantamento dutos'!$D24/'Levantamento dutos'!$G$12*Calculos!$G24*2),0),0)</f>
        <v>0</v>
      </c>
      <c r="O24" s="60">
        <f>IF(CODE('Levantamento dutos'!$G24)=80,IF('Levantamento dutos'!$B24&gt;200,('Levantamento dutos'!$D24/'Levantamento dutos'!$G$12*Calculos!$G24*2),0),0)</f>
        <v>0</v>
      </c>
      <c r="P24" s="60">
        <f>IF(CODE('Levantamento dutos'!$G24)=67,('Levantamento dutos'!$D24/'Levantamento dutos'!$G$12*Calculos!$G24*2),0)</f>
        <v>0</v>
      </c>
      <c r="Q24" s="60">
        <f>IF(CODE('Levantamento dutos'!H24)=83,((('Levantamento dutos'!B24/100)+('Levantamento dutos'!$H$12/1000))+(('Levantamento dutos'!C24/100)+('Levantamento dutos'!$H$12)/1000))*2*'Levantamento dutos'!D24,0)</f>
        <v>0</v>
      </c>
      <c r="S24" s="60">
        <f>IF(CODE('Levantamento dutos'!$I24)=83,$Q24,0)</f>
        <v>0</v>
      </c>
      <c r="T24" s="60">
        <f>IF(CODE('Levantamento dutos'!$E24)=76,ROUND((('Levantamento dutos'!$D24/5)*(Calculos!$G24+0.2)*1.2),0),0)</f>
        <v>0</v>
      </c>
      <c r="U24" s="60">
        <f>IF(CODE('Levantamento dutos'!$E24)=73,ROUND((('Levantamento dutos'!$D24/0.5)*(Calculos!$G24+0.2)*1.2),0),0)</f>
        <v>0</v>
      </c>
      <c r="V24" s="60">
        <f>IF(CODE('Levantamento dutos'!$E24)=80,ROUND((('Levantamento dutos'!$D24/0.5)*(Calculos!$G24+0.2)*1.2),0),0)</f>
        <v>0</v>
      </c>
      <c r="W24" s="60">
        <f>IF(CODE('Levantamento dutos'!$E24)=76,'Levantamento dutos'!$D24/0.5*1.5,0)</f>
        <v>0</v>
      </c>
      <c r="X24" s="60">
        <f>IF(CODE('Levantamento dutos'!$E24)=73,'Levantamento dutos'!$D24/0.5*1.5,0)</f>
        <v>0</v>
      </c>
      <c r="Y24" s="60">
        <f>IF(CODE('Levantamento dutos'!$E24)=80,'Levantamento dutos'!$D24/0.5*1.5,0)</f>
        <v>0</v>
      </c>
      <c r="Z24" s="60">
        <f>IF(CODE('Levantamento dutos'!$E24)=76,ROUND(('Levantamento dutos'!$D24)+('Levantamento dutos'!$D24*Calculos!$G24*2)*1.1,0),0)</f>
        <v>0</v>
      </c>
      <c r="AA24" s="60">
        <f>IF(CODE('Levantamento dutos'!$G24)=80,('Levantamento dutos'!$D24/'Levantamento dutos'!$G$12)*8,0)</f>
        <v>0</v>
      </c>
      <c r="AB24" s="60">
        <f>IF(CODE('Levantamento dutos'!$G24)=80,IF('Levantamento dutos'!$B24&gt;30,('Levantamento dutos'!$D24/'Levantamento dutos'!$G$12)*4,0),0)</f>
        <v>0</v>
      </c>
      <c r="AC24" s="60">
        <f>IF('Levantamento dutos'!$B24&gt;220,('Levantamento dutos'!$D24/'Levantamento dutos'!$G$12*Calculos!$G24*2),0)</f>
        <v>0</v>
      </c>
      <c r="AD24" s="60">
        <f>IF(CODE('Levantamento dutos'!$E24)=73,((('Levantamento dutos'!$E$12/1000)+0.02)*'Levantamento dutos'!$D24)*4*1.3,0)</f>
        <v>0</v>
      </c>
      <c r="AE24" s="60">
        <f>IF(CODE('Levantamento dutos'!$E24)=80,((('Levantamento dutos'!$E$12/1000)+0.02)*'Levantamento dutos'!$D24)*4*1.3,0)</f>
        <v>0</v>
      </c>
    </row>
    <row r="25" spans="2:31" x14ac:dyDescent="0.2">
      <c r="B25" s="58">
        <f>IF('Levantamento dutos'!$B25&lt;=Calculos!$Z$3,((('Levantamento dutos'!$B25)/100+('Levantamento dutos'!$C25)/100)*2)*'Levantamento dutos'!$D25,0)</f>
        <v>0</v>
      </c>
      <c r="C25">
        <f>IF('Levantamento dutos'!$B25&gt;Calculos!$Z$3,IF('Levantamento dutos'!$B25&lt;=Calculos!$Z$4,((('Levantamento dutos'!$B25)/100+('Levantamento dutos'!$C25)/100)*2)*'Levantamento dutos'!$D25,0),0)</f>
        <v>0</v>
      </c>
      <c r="D25">
        <f>IF('Levantamento dutos'!$B25&gt;Calculos!$Z$4,IF('Levantamento dutos'!$B25&lt;=Calculos!$Z$5,((('Levantamento dutos'!$B25)/100+('Levantamento dutos'!$C25)/100)*2)*'Levantamento dutos'!$D25,0),0)</f>
        <v>0</v>
      </c>
      <c r="E25">
        <f>IF('Levantamento dutos'!$B25&gt;Calculos!$Z$5,IF('Levantamento dutos'!$B25&lt;=Calculos!$Z$6,((('Levantamento dutos'!$B25)/100+('Levantamento dutos'!$C25)/100)*2)*'Levantamento dutos'!$D25,0),0)</f>
        <v>0</v>
      </c>
      <c r="F25" s="59">
        <f>IF('Levantamento dutos'!$B25&gt;Calculos!$Z$7,((('Levantamento dutos'!$B25)/100+('Levantamento dutos'!$C25)/100)*2)*'Levantamento dutos'!$D25,0)</f>
        <v>0</v>
      </c>
      <c r="G25">
        <f>(('Levantamento dutos'!B25+'Levantamento dutos'!C25)/100)*2</f>
        <v>0</v>
      </c>
      <c r="H25" s="58">
        <f>IF(CODE('Levantamento dutos'!$E25)=76,SUM($B25:$F25),0)</f>
        <v>0</v>
      </c>
      <c r="I25">
        <f>IF(CODE('Levantamento dutos'!$E25)=73,SUM($B25:$F25),0)</f>
        <v>0</v>
      </c>
      <c r="J25">
        <f>IF(CODE('Levantamento dutos'!$E25)=80,SUM($B25:$F25),0)</f>
        <v>0</v>
      </c>
      <c r="K25">
        <f>IF(CODE('Levantamento dutos'!$F25)=66,SUM($B25:$F25),0)</f>
        <v>0</v>
      </c>
      <c r="L25">
        <f>IF(CODE('Levantamento dutos'!$F25)=70,SUM($B25:$F25),0)</f>
        <v>0</v>
      </c>
      <c r="M25" s="59">
        <f>IF(CODE('Levantamento dutos'!$E25)=84,SUM($B25:$F25),0)</f>
        <v>0</v>
      </c>
      <c r="N25" s="60">
        <f>IF(CODE('Levantamento dutos'!$G25)=80,IF('Levantamento dutos'!$B25&lt;=200,('Levantamento dutos'!$D25/'Levantamento dutos'!$G$12*Calculos!$G25*2),0),0)</f>
        <v>0</v>
      </c>
      <c r="O25" s="60">
        <f>IF(CODE('Levantamento dutos'!$G25)=80,IF('Levantamento dutos'!$B25&gt;200,('Levantamento dutos'!$D25/'Levantamento dutos'!$G$12*Calculos!$G25*2),0),0)</f>
        <v>0</v>
      </c>
      <c r="P25" s="60">
        <f>IF(CODE('Levantamento dutos'!$G25)=67,('Levantamento dutos'!$D25/'Levantamento dutos'!$G$12*Calculos!$G25*2),0)</f>
        <v>0</v>
      </c>
      <c r="Q25" s="60">
        <f>IF(CODE('Levantamento dutos'!H25)=83,((('Levantamento dutos'!B25/100)+('Levantamento dutos'!$H$12/1000))+(('Levantamento dutos'!C25/100)+('Levantamento dutos'!$H$12)/1000))*2*'Levantamento dutos'!D25,0)</f>
        <v>0</v>
      </c>
      <c r="S25" s="60">
        <f>IF(CODE('Levantamento dutos'!$I25)=83,$Q25,0)</f>
        <v>0</v>
      </c>
      <c r="T25" s="60">
        <f>IF(CODE('Levantamento dutos'!$E25)=76,ROUND((('Levantamento dutos'!$D25/5)*(Calculos!$G25+0.2)*1.2),0),0)</f>
        <v>0</v>
      </c>
      <c r="U25" s="60">
        <f>IF(CODE('Levantamento dutos'!$E25)=73,ROUND((('Levantamento dutos'!$D25/0.5)*(Calculos!$G25+0.2)*1.2),0),0)</f>
        <v>0</v>
      </c>
      <c r="V25" s="60">
        <f>IF(CODE('Levantamento dutos'!$E25)=80,ROUND((('Levantamento dutos'!$D25/0.5)*(Calculos!$G25+0.2)*1.2),0),0)</f>
        <v>0</v>
      </c>
      <c r="W25" s="60">
        <f>IF(CODE('Levantamento dutos'!$E25)=76,'Levantamento dutos'!$D25/0.5*1.5,0)</f>
        <v>0</v>
      </c>
      <c r="X25" s="60">
        <f>IF(CODE('Levantamento dutos'!$E25)=73,'Levantamento dutos'!$D25/0.5*1.5,0)</f>
        <v>0</v>
      </c>
      <c r="Y25" s="60">
        <f>IF(CODE('Levantamento dutos'!$E25)=80,'Levantamento dutos'!$D25/0.5*1.5,0)</f>
        <v>0</v>
      </c>
      <c r="Z25" s="60">
        <f>IF(CODE('Levantamento dutos'!$E25)=76,ROUND(('Levantamento dutos'!$D25)+('Levantamento dutos'!$D25*Calculos!$G25*2)*1.1,0),0)</f>
        <v>0</v>
      </c>
      <c r="AA25" s="60">
        <f>IF(CODE('Levantamento dutos'!$G25)=80,('Levantamento dutos'!$D25/'Levantamento dutos'!$G$12)*8,0)</f>
        <v>0</v>
      </c>
      <c r="AB25" s="60">
        <f>IF(CODE('Levantamento dutos'!$G25)=80,IF('Levantamento dutos'!$B25&gt;30,('Levantamento dutos'!$D25/'Levantamento dutos'!$G$12)*4,0),0)</f>
        <v>0</v>
      </c>
      <c r="AC25" s="60">
        <f>IF('Levantamento dutos'!$B25&gt;220,('Levantamento dutos'!$D25/'Levantamento dutos'!$G$12*Calculos!$G25*2),0)</f>
        <v>0</v>
      </c>
      <c r="AD25" s="60">
        <f>IF(CODE('Levantamento dutos'!$E25)=73,((('Levantamento dutos'!$E$12/1000)+0.02)*'Levantamento dutos'!$D25)*4*1.3,0)</f>
        <v>0</v>
      </c>
      <c r="AE25" s="60">
        <f>IF(CODE('Levantamento dutos'!$E25)=80,((('Levantamento dutos'!$E$12/1000)+0.02)*'Levantamento dutos'!$D25)*4*1.3,0)</f>
        <v>0</v>
      </c>
    </row>
    <row r="26" spans="2:31" x14ac:dyDescent="0.2">
      <c r="B26" s="58">
        <f>IF('Levantamento dutos'!$B26&lt;=Calculos!$Z$3,((('Levantamento dutos'!$B26)/100+('Levantamento dutos'!$C26)/100)*2)*'Levantamento dutos'!$D26,0)</f>
        <v>0</v>
      </c>
      <c r="C26">
        <f>IF('Levantamento dutos'!$B26&gt;Calculos!$Z$3,IF('Levantamento dutos'!$B26&lt;=Calculos!$Z$4,((('Levantamento dutos'!$B26)/100+('Levantamento dutos'!$C26)/100)*2)*'Levantamento dutos'!$D26,0),0)</f>
        <v>0</v>
      </c>
      <c r="D26">
        <f>IF('Levantamento dutos'!$B26&gt;Calculos!$Z$4,IF('Levantamento dutos'!$B26&lt;=Calculos!$Z$5,((('Levantamento dutos'!$B26)/100+('Levantamento dutos'!$C26)/100)*2)*'Levantamento dutos'!$D26,0),0)</f>
        <v>0</v>
      </c>
      <c r="E26">
        <f>IF('Levantamento dutos'!$B26&gt;Calculos!$Z$5,IF('Levantamento dutos'!$B26&lt;=Calculos!$Z$6,((('Levantamento dutos'!$B26)/100+('Levantamento dutos'!$C26)/100)*2)*'Levantamento dutos'!$D26,0),0)</f>
        <v>0</v>
      </c>
      <c r="F26" s="59">
        <f>IF('Levantamento dutos'!$B26&gt;Calculos!$Z$7,((('Levantamento dutos'!$B26)/100+('Levantamento dutos'!$C26)/100)*2)*'Levantamento dutos'!$D26,0)</f>
        <v>0</v>
      </c>
      <c r="G26">
        <f>(('Levantamento dutos'!B26+'Levantamento dutos'!C26)/100)*2</f>
        <v>0</v>
      </c>
      <c r="H26" s="58">
        <f>IF(CODE('Levantamento dutos'!$E26)=76,SUM($B26:$F26),0)</f>
        <v>0</v>
      </c>
      <c r="I26">
        <f>IF(CODE('Levantamento dutos'!$E26)=73,SUM($B26:$F26),0)</f>
        <v>0</v>
      </c>
      <c r="J26">
        <f>IF(CODE('Levantamento dutos'!$E26)=80,SUM($B26:$F26),0)</f>
        <v>0</v>
      </c>
      <c r="K26">
        <f>IF(CODE('Levantamento dutos'!$F26)=66,SUM($B26:$F26),0)</f>
        <v>0</v>
      </c>
      <c r="L26">
        <f>IF(CODE('Levantamento dutos'!$F26)=70,SUM($B26:$F26),0)</f>
        <v>0</v>
      </c>
      <c r="M26" s="59">
        <f>IF(CODE('Levantamento dutos'!$E26)=84,SUM($B26:$F26),0)</f>
        <v>0</v>
      </c>
      <c r="N26" s="60">
        <f>IF(CODE('Levantamento dutos'!$G26)=80,IF('Levantamento dutos'!$B26&lt;=200,('Levantamento dutos'!$D26/'Levantamento dutos'!$G$12*Calculos!$G26*2),0),0)</f>
        <v>0</v>
      </c>
      <c r="O26" s="60">
        <f>IF(CODE('Levantamento dutos'!$G26)=80,IF('Levantamento dutos'!$B26&gt;200,('Levantamento dutos'!$D26/'Levantamento dutos'!$G$12*Calculos!$G26*2),0),0)</f>
        <v>0</v>
      </c>
      <c r="P26" s="60">
        <f>IF(CODE('Levantamento dutos'!$G26)=67,('Levantamento dutos'!$D26/'Levantamento dutos'!$G$12*Calculos!$G26*2),0)</f>
        <v>0</v>
      </c>
      <c r="Q26" s="60">
        <f>IF(CODE('Levantamento dutos'!H26)=83,((('Levantamento dutos'!B26/100)+('Levantamento dutos'!$H$12/1000))+(('Levantamento dutos'!C26/100)+('Levantamento dutos'!$H$12)/1000))*2*'Levantamento dutos'!D26,0)</f>
        <v>0</v>
      </c>
      <c r="S26" s="60">
        <f>IF(CODE('Levantamento dutos'!$I26)=83,$Q26,0)</f>
        <v>0</v>
      </c>
      <c r="T26" s="60">
        <f>IF(CODE('Levantamento dutos'!$E26)=76,ROUND((('Levantamento dutos'!$D26/5)*(Calculos!$G26+0.2)*1.2),0),0)</f>
        <v>0</v>
      </c>
      <c r="U26" s="60">
        <f>IF(CODE('Levantamento dutos'!$E26)=73,ROUND((('Levantamento dutos'!$D26/0.5)*(Calculos!$G26+0.2)*1.2),0),0)</f>
        <v>0</v>
      </c>
      <c r="V26" s="60">
        <f>IF(CODE('Levantamento dutos'!$E26)=80,ROUND((('Levantamento dutos'!$D26/0.5)*(Calculos!$G26+0.2)*1.2),0),0)</f>
        <v>0</v>
      </c>
      <c r="W26" s="60">
        <f>IF(CODE('Levantamento dutos'!$E26)=76,'Levantamento dutos'!$D26/0.5*1.5,0)</f>
        <v>0</v>
      </c>
      <c r="X26" s="60">
        <f>IF(CODE('Levantamento dutos'!$E26)=73,'Levantamento dutos'!$D26/0.5*1.5,0)</f>
        <v>0</v>
      </c>
      <c r="Y26" s="60">
        <f>IF(CODE('Levantamento dutos'!$E26)=80,'Levantamento dutos'!$D26/0.5*1.5,0)</f>
        <v>0</v>
      </c>
      <c r="Z26" s="60">
        <f>IF(CODE('Levantamento dutos'!$E26)=76,ROUND(('Levantamento dutos'!$D26)+('Levantamento dutos'!$D26*Calculos!$G26*2)*1.1,0),0)</f>
        <v>0</v>
      </c>
      <c r="AA26" s="60">
        <f>IF(CODE('Levantamento dutos'!$G26)=80,('Levantamento dutos'!$D26/'Levantamento dutos'!$G$12)*8,0)</f>
        <v>0</v>
      </c>
      <c r="AB26" s="60">
        <f>IF(CODE('Levantamento dutos'!$G26)=80,IF('Levantamento dutos'!$B26&gt;30,('Levantamento dutos'!$D26/'Levantamento dutos'!$G$12)*4,0),0)</f>
        <v>0</v>
      </c>
      <c r="AC26" s="60">
        <f>IF('Levantamento dutos'!$B26&gt;220,('Levantamento dutos'!$D26/'Levantamento dutos'!$G$12*Calculos!$G26*2),0)</f>
        <v>0</v>
      </c>
      <c r="AD26" s="60">
        <f>IF(CODE('Levantamento dutos'!$E26)=73,((('Levantamento dutos'!$E$12/1000)+0.02)*'Levantamento dutos'!$D26)*4*1.3,0)</f>
        <v>0</v>
      </c>
      <c r="AE26" s="60">
        <f>IF(CODE('Levantamento dutos'!$E26)=80,((('Levantamento dutos'!$E$12/1000)+0.02)*'Levantamento dutos'!$D26)*4*1.3,0)</f>
        <v>0</v>
      </c>
    </row>
    <row r="27" spans="2:31" x14ac:dyDescent="0.2">
      <c r="B27" s="58">
        <f>IF('Levantamento dutos'!$B27&lt;=Calculos!$Z$3,((('Levantamento dutos'!$B27)/100+('Levantamento dutos'!$C27)/100)*2)*'Levantamento dutos'!$D27,0)</f>
        <v>0</v>
      </c>
      <c r="C27">
        <f>IF('Levantamento dutos'!$B27&gt;Calculos!$Z$3,IF('Levantamento dutos'!$B27&lt;=Calculos!$Z$4,((('Levantamento dutos'!$B27)/100+('Levantamento dutos'!$C27)/100)*2)*'Levantamento dutos'!$D27,0),0)</f>
        <v>0</v>
      </c>
      <c r="D27">
        <f>IF('Levantamento dutos'!$B27&gt;Calculos!$Z$4,IF('Levantamento dutos'!$B27&lt;=Calculos!$Z$5,((('Levantamento dutos'!$B27)/100+('Levantamento dutos'!$C27)/100)*2)*'Levantamento dutos'!$D27,0),0)</f>
        <v>0</v>
      </c>
      <c r="E27">
        <f>IF('Levantamento dutos'!$B27&gt;Calculos!$Z$5,IF('Levantamento dutos'!$B27&lt;=Calculos!$Z$6,((('Levantamento dutos'!$B27)/100+('Levantamento dutos'!$C27)/100)*2)*'Levantamento dutos'!$D27,0),0)</f>
        <v>0</v>
      </c>
      <c r="F27" s="59">
        <f>IF('Levantamento dutos'!$B27&gt;Calculos!$Z$7,((('Levantamento dutos'!$B27)/100+('Levantamento dutos'!$C27)/100)*2)*'Levantamento dutos'!$D27,0)</f>
        <v>0</v>
      </c>
      <c r="G27">
        <f>(('Levantamento dutos'!B27+'Levantamento dutos'!C27)/100)*2</f>
        <v>0</v>
      </c>
      <c r="H27" s="58">
        <f>IF(CODE('Levantamento dutos'!$E27)=76,SUM($B27:$F27),0)</f>
        <v>0</v>
      </c>
      <c r="I27">
        <f>IF(CODE('Levantamento dutos'!$E27)=73,SUM($B27:$F27),0)</f>
        <v>0</v>
      </c>
      <c r="J27">
        <f>IF(CODE('Levantamento dutos'!$E27)=80,SUM($B27:$F27),0)</f>
        <v>0</v>
      </c>
      <c r="K27">
        <f>IF(CODE('Levantamento dutos'!$F27)=66,SUM($B27:$F27),0)</f>
        <v>0</v>
      </c>
      <c r="L27">
        <f>IF(CODE('Levantamento dutos'!$F27)=70,SUM($B27:$F27),0)</f>
        <v>0</v>
      </c>
      <c r="M27" s="59">
        <f>IF(CODE('Levantamento dutos'!$E27)=84,SUM($B27:$F27),0)</f>
        <v>0</v>
      </c>
      <c r="N27" s="60">
        <f>IF(CODE('Levantamento dutos'!$G27)=80,IF('Levantamento dutos'!$B27&lt;=200,('Levantamento dutos'!$D27/'Levantamento dutos'!$G$12*Calculos!$G27*2),0),0)</f>
        <v>0</v>
      </c>
      <c r="O27" s="60">
        <f>IF(CODE('Levantamento dutos'!$G27)=80,IF('Levantamento dutos'!$B27&gt;200,('Levantamento dutos'!$D27/'Levantamento dutos'!$G$12*Calculos!$G27*2),0),0)</f>
        <v>0</v>
      </c>
      <c r="P27" s="60">
        <f>IF(CODE('Levantamento dutos'!$G27)=67,('Levantamento dutos'!$D27/'Levantamento dutos'!$G$12*Calculos!$G27*2),0)</f>
        <v>0</v>
      </c>
      <c r="Q27" s="60">
        <f>IF(CODE('Levantamento dutos'!H27)=83,((('Levantamento dutos'!B27/100)+('Levantamento dutos'!$H$12/1000))+(('Levantamento dutos'!C27/100)+('Levantamento dutos'!$H$12)/1000))*2*'Levantamento dutos'!D27,0)</f>
        <v>0</v>
      </c>
      <c r="S27" s="60">
        <f>IF(CODE('Levantamento dutos'!$I27)=83,$Q27,0)</f>
        <v>0</v>
      </c>
      <c r="T27" s="60">
        <f>IF(CODE('Levantamento dutos'!$E27)=76,ROUND((('Levantamento dutos'!$D27/5)*(Calculos!$G27+0.2)*1.2),0),0)</f>
        <v>0</v>
      </c>
      <c r="U27" s="60">
        <f>IF(CODE('Levantamento dutos'!$E27)=73,ROUND((('Levantamento dutos'!$D27/0.5)*(Calculos!$G27+0.2)*1.2),0),0)</f>
        <v>0</v>
      </c>
      <c r="V27" s="60">
        <f>IF(CODE('Levantamento dutos'!$E27)=80,ROUND((('Levantamento dutos'!$D27/0.5)*(Calculos!$G27+0.2)*1.2),0),0)</f>
        <v>0</v>
      </c>
      <c r="W27" s="60">
        <f>IF(CODE('Levantamento dutos'!$E27)=76,'Levantamento dutos'!$D27/0.5*1.5,0)</f>
        <v>0</v>
      </c>
      <c r="X27" s="60">
        <f>IF(CODE('Levantamento dutos'!$E27)=73,'Levantamento dutos'!$D27/0.5*1.5,0)</f>
        <v>0</v>
      </c>
      <c r="Y27" s="60">
        <f>IF(CODE('Levantamento dutos'!$E27)=80,'Levantamento dutos'!$D27/0.5*1.5,0)</f>
        <v>0</v>
      </c>
      <c r="Z27" s="60">
        <f>IF(CODE('Levantamento dutos'!$E27)=76,ROUND(('Levantamento dutos'!$D27)+('Levantamento dutos'!$D27*Calculos!$G27*2)*1.1,0),0)</f>
        <v>0</v>
      </c>
      <c r="AA27" s="60">
        <f>IF(CODE('Levantamento dutos'!$G27)=80,('Levantamento dutos'!$D27/'Levantamento dutos'!$G$12)*8,0)</f>
        <v>0</v>
      </c>
      <c r="AB27" s="60">
        <f>IF(CODE('Levantamento dutos'!$G27)=80,IF('Levantamento dutos'!$B27&gt;30,('Levantamento dutos'!$D27/'Levantamento dutos'!$G$12)*4,0),0)</f>
        <v>0</v>
      </c>
      <c r="AC27" s="60">
        <f>IF('Levantamento dutos'!$B27&gt;220,('Levantamento dutos'!$D27/'Levantamento dutos'!$G$12*Calculos!$G27*2),0)</f>
        <v>0</v>
      </c>
      <c r="AD27" s="60">
        <f>IF(CODE('Levantamento dutos'!$E27)=73,((('Levantamento dutos'!$E$12/1000)+0.02)*'Levantamento dutos'!$D27)*4*1.3,0)</f>
        <v>0</v>
      </c>
      <c r="AE27" s="60">
        <f>IF(CODE('Levantamento dutos'!$E27)=80,((('Levantamento dutos'!$E$12/1000)+0.02)*'Levantamento dutos'!$D27)*4*1.3,0)</f>
        <v>0</v>
      </c>
    </row>
    <row r="28" spans="2:31" x14ac:dyDescent="0.2">
      <c r="B28" s="58">
        <f>IF('Levantamento dutos'!$B28&lt;=Calculos!$Z$3,((('Levantamento dutos'!$B28)/100+('Levantamento dutos'!$C28)/100)*2)*'Levantamento dutos'!$D28,0)</f>
        <v>0</v>
      </c>
      <c r="C28">
        <f>IF('Levantamento dutos'!$B28&gt;Calculos!$Z$3,IF('Levantamento dutos'!$B28&lt;=Calculos!$Z$4,((('Levantamento dutos'!$B28)/100+('Levantamento dutos'!$C28)/100)*2)*'Levantamento dutos'!$D28,0),0)</f>
        <v>0</v>
      </c>
      <c r="D28">
        <f>IF('Levantamento dutos'!$B28&gt;Calculos!$Z$4,IF('Levantamento dutos'!$B28&lt;=Calculos!$Z$5,((('Levantamento dutos'!$B28)/100+('Levantamento dutos'!$C28)/100)*2)*'Levantamento dutos'!$D28,0),0)</f>
        <v>0</v>
      </c>
      <c r="E28">
        <f>IF('Levantamento dutos'!$B28&gt;Calculos!$Z$5,IF('Levantamento dutos'!$B28&lt;=Calculos!$Z$6,((('Levantamento dutos'!$B28)/100+('Levantamento dutos'!$C28)/100)*2)*'Levantamento dutos'!$D28,0),0)</f>
        <v>0</v>
      </c>
      <c r="F28" s="59">
        <f>IF('Levantamento dutos'!$B28&gt;Calculos!$Z$7,((('Levantamento dutos'!$B28)/100+('Levantamento dutos'!$C28)/100)*2)*'Levantamento dutos'!$D28,0)</f>
        <v>0</v>
      </c>
      <c r="G28">
        <f>(('Levantamento dutos'!B28+'Levantamento dutos'!C28)/100)*2</f>
        <v>0</v>
      </c>
      <c r="H28" s="58">
        <f>IF(CODE('Levantamento dutos'!$E28)=76,SUM($B28:$F28),0)</f>
        <v>0</v>
      </c>
      <c r="I28">
        <f>IF(CODE('Levantamento dutos'!$E28)=73,SUM($B28:$F28),0)</f>
        <v>0</v>
      </c>
      <c r="J28">
        <f>IF(CODE('Levantamento dutos'!$E28)=80,SUM($B28:$F28),0)</f>
        <v>0</v>
      </c>
      <c r="K28">
        <f>IF(CODE('Levantamento dutos'!$F28)=66,SUM($B28:$F28),0)</f>
        <v>0</v>
      </c>
      <c r="L28">
        <f>IF(CODE('Levantamento dutos'!$F28)=70,SUM($B28:$F28),0)</f>
        <v>0</v>
      </c>
      <c r="M28" s="59">
        <f>IF(CODE('Levantamento dutos'!$E28)=84,SUM($B28:$F28),0)</f>
        <v>0</v>
      </c>
      <c r="N28" s="60">
        <f>IF(CODE('Levantamento dutos'!$G28)=80,IF('Levantamento dutos'!$B28&lt;=200,('Levantamento dutos'!$D28/'Levantamento dutos'!$G$12*Calculos!$G28*2),0),0)</f>
        <v>0</v>
      </c>
      <c r="O28" s="60">
        <f>IF(CODE('Levantamento dutos'!$G28)=80,IF('Levantamento dutos'!$B28&gt;200,('Levantamento dutos'!$D28/'Levantamento dutos'!$G$12*Calculos!$G28*2),0),0)</f>
        <v>0</v>
      </c>
      <c r="P28" s="60">
        <f>IF(CODE('Levantamento dutos'!$G28)=67,('Levantamento dutos'!$D28/'Levantamento dutos'!$G$12*Calculos!$G28*2),0)</f>
        <v>0</v>
      </c>
      <c r="Q28" s="60">
        <f>IF(CODE('Levantamento dutos'!H28)=83,((('Levantamento dutos'!B28/100)+('Levantamento dutos'!$H$12/1000))+(('Levantamento dutos'!C28/100)+('Levantamento dutos'!$H$12)/1000))*2*'Levantamento dutos'!D28,0)</f>
        <v>0</v>
      </c>
      <c r="S28" s="60">
        <f>IF(CODE('Levantamento dutos'!$I28)=83,$Q28,0)</f>
        <v>0</v>
      </c>
      <c r="T28" s="60">
        <f>IF(CODE('Levantamento dutos'!$E28)=76,ROUND((('Levantamento dutos'!$D28/5)*(Calculos!$G28+0.2)*1.2),0),0)</f>
        <v>0</v>
      </c>
      <c r="U28" s="60">
        <f>IF(CODE('Levantamento dutos'!$E28)=73,ROUND((('Levantamento dutos'!$D28/0.5)*(Calculos!$G28+0.2)*1.2),0),0)</f>
        <v>0</v>
      </c>
      <c r="V28" s="60">
        <f>IF(CODE('Levantamento dutos'!$E28)=80,ROUND((('Levantamento dutos'!$D28/0.5)*(Calculos!$G28+0.2)*1.2),0),0)</f>
        <v>0</v>
      </c>
      <c r="W28" s="60">
        <f>IF(CODE('Levantamento dutos'!$E28)=76,'Levantamento dutos'!$D28/0.5*1.5,0)</f>
        <v>0</v>
      </c>
      <c r="X28" s="60">
        <f>IF(CODE('Levantamento dutos'!$E28)=73,'Levantamento dutos'!$D28/0.5*1.5,0)</f>
        <v>0</v>
      </c>
      <c r="Y28" s="60">
        <f>IF(CODE('Levantamento dutos'!$E28)=80,'Levantamento dutos'!$D28/0.5*1.5,0)</f>
        <v>0</v>
      </c>
      <c r="Z28" s="60">
        <f>IF(CODE('Levantamento dutos'!$E28)=76,ROUND(('Levantamento dutos'!$D28)+('Levantamento dutos'!$D28*Calculos!$G28*2)*1.1,0),0)</f>
        <v>0</v>
      </c>
      <c r="AA28" s="60">
        <f>IF(CODE('Levantamento dutos'!$G28)=80,('Levantamento dutos'!$D28/'Levantamento dutos'!$G$12)*8,0)</f>
        <v>0</v>
      </c>
      <c r="AB28" s="60">
        <f>IF(CODE('Levantamento dutos'!$G28)=80,IF('Levantamento dutos'!$B28&gt;30,('Levantamento dutos'!$D28/'Levantamento dutos'!$G$12)*4,0),0)</f>
        <v>0</v>
      </c>
      <c r="AC28" s="60">
        <f>IF('Levantamento dutos'!$B28&gt;220,('Levantamento dutos'!$D28/'Levantamento dutos'!$G$12*Calculos!$G28*2),0)</f>
        <v>0</v>
      </c>
      <c r="AD28" s="60">
        <f>IF(CODE('Levantamento dutos'!$E28)=73,((('Levantamento dutos'!$E$12/1000)+0.02)*'Levantamento dutos'!$D28)*4*1.3,0)</f>
        <v>0</v>
      </c>
      <c r="AE28" s="60">
        <f>IF(CODE('Levantamento dutos'!$E28)=80,((('Levantamento dutos'!$E$12/1000)+0.02)*'Levantamento dutos'!$D28)*4*1.3,0)</f>
        <v>0</v>
      </c>
    </row>
    <row r="29" spans="2:31" x14ac:dyDescent="0.2">
      <c r="B29" s="58">
        <f>IF('Levantamento dutos'!$B29&lt;=Calculos!$Z$3,((('Levantamento dutos'!$B29)/100+('Levantamento dutos'!$C29)/100)*2)*'Levantamento dutos'!$D29,0)</f>
        <v>0</v>
      </c>
      <c r="C29">
        <f>IF('Levantamento dutos'!$B29&gt;Calculos!$Z$3,IF('Levantamento dutos'!$B29&lt;=Calculos!$Z$4,((('Levantamento dutos'!$B29)/100+('Levantamento dutos'!$C29)/100)*2)*'Levantamento dutos'!$D29,0),0)</f>
        <v>0</v>
      </c>
      <c r="D29">
        <f>IF('Levantamento dutos'!$B29&gt;Calculos!$Z$4,IF('Levantamento dutos'!$B29&lt;=Calculos!$Z$5,((('Levantamento dutos'!$B29)/100+('Levantamento dutos'!$C29)/100)*2)*'Levantamento dutos'!$D29,0),0)</f>
        <v>0</v>
      </c>
      <c r="E29">
        <f>IF('Levantamento dutos'!$B29&gt;Calculos!$Z$5,IF('Levantamento dutos'!$B29&lt;=Calculos!$Z$6,((('Levantamento dutos'!$B29)/100+('Levantamento dutos'!$C29)/100)*2)*'Levantamento dutos'!$D29,0),0)</f>
        <v>0</v>
      </c>
      <c r="F29" s="59">
        <f>IF('Levantamento dutos'!$B29&gt;Calculos!$Z$7,((('Levantamento dutos'!$B29)/100+('Levantamento dutos'!$C29)/100)*2)*'Levantamento dutos'!$D29,0)</f>
        <v>0</v>
      </c>
      <c r="G29">
        <f>(('Levantamento dutos'!B29+'Levantamento dutos'!C29)/100)*2</f>
        <v>0</v>
      </c>
      <c r="H29" s="58">
        <f>IF(CODE('Levantamento dutos'!$E29)=76,SUM($B29:$F29),0)</f>
        <v>0</v>
      </c>
      <c r="I29">
        <f>IF(CODE('Levantamento dutos'!$E29)=73,SUM($B29:$F29),0)</f>
        <v>0</v>
      </c>
      <c r="J29">
        <f>IF(CODE('Levantamento dutos'!$E29)=80,SUM($B29:$F29),0)</f>
        <v>0</v>
      </c>
      <c r="K29">
        <f>IF(CODE('Levantamento dutos'!$F29)=66,SUM($B29:$F29),0)</f>
        <v>0</v>
      </c>
      <c r="L29">
        <f>IF(CODE('Levantamento dutos'!$F29)=70,SUM($B29:$F29),0)</f>
        <v>0</v>
      </c>
      <c r="M29" s="59">
        <f>IF(CODE('Levantamento dutos'!$E29)=84,SUM($B29:$F29),0)</f>
        <v>0</v>
      </c>
      <c r="N29" s="60">
        <f>IF(CODE('Levantamento dutos'!$G29)=80,IF('Levantamento dutos'!$B29&lt;=200,('Levantamento dutos'!$D29/'Levantamento dutos'!$G$12*Calculos!$G29*2),0),0)</f>
        <v>0</v>
      </c>
      <c r="O29" s="60">
        <f>IF(CODE('Levantamento dutos'!$G29)=80,IF('Levantamento dutos'!$B29&gt;200,('Levantamento dutos'!$D29/'Levantamento dutos'!$G$12*Calculos!$G29*2),0),0)</f>
        <v>0</v>
      </c>
      <c r="P29" s="60">
        <f>IF(CODE('Levantamento dutos'!$G29)=67,('Levantamento dutos'!$D29/'Levantamento dutos'!$G$12*Calculos!$G29*2),0)</f>
        <v>0</v>
      </c>
      <c r="Q29" s="60">
        <f>IF(CODE('Levantamento dutos'!H29)=83,((('Levantamento dutos'!B29/100)+('Levantamento dutos'!$H$12/1000))+(('Levantamento dutos'!C29/100)+('Levantamento dutos'!$H$12)/1000))*2*'Levantamento dutos'!D29,0)</f>
        <v>0</v>
      </c>
      <c r="S29" s="60">
        <f>IF(CODE('Levantamento dutos'!$I29)=83,$Q29,0)</f>
        <v>0</v>
      </c>
      <c r="T29" s="60">
        <f>IF(CODE('Levantamento dutos'!$E29)=76,ROUND((('Levantamento dutos'!$D29/5)*(Calculos!$G29+0.2)*1.2),0),0)</f>
        <v>0</v>
      </c>
      <c r="U29" s="60">
        <f>IF(CODE('Levantamento dutos'!$E29)=73,ROUND((('Levantamento dutos'!$D29/0.5)*(Calculos!$G29+0.2)*1.2),0),0)</f>
        <v>0</v>
      </c>
      <c r="V29" s="60">
        <f>IF(CODE('Levantamento dutos'!$E29)=80,ROUND((('Levantamento dutos'!$D29/0.5)*(Calculos!$G29+0.2)*1.2),0),0)</f>
        <v>0</v>
      </c>
      <c r="W29" s="60">
        <f>IF(CODE('Levantamento dutos'!$E29)=76,'Levantamento dutos'!$D29/0.5*1.5,0)</f>
        <v>0</v>
      </c>
      <c r="X29" s="60">
        <f>IF(CODE('Levantamento dutos'!$E29)=73,'Levantamento dutos'!$D29/0.5*1.5,0)</f>
        <v>0</v>
      </c>
      <c r="Y29" s="60">
        <f>IF(CODE('Levantamento dutos'!$E29)=80,'Levantamento dutos'!$D29/0.5*1.5,0)</f>
        <v>0</v>
      </c>
      <c r="Z29" s="60">
        <f>IF(CODE('Levantamento dutos'!$E29)=76,ROUND(('Levantamento dutos'!$D29)+('Levantamento dutos'!$D29*Calculos!$G29*2)*1.1,0),0)</f>
        <v>0</v>
      </c>
      <c r="AA29" s="60">
        <f>IF(CODE('Levantamento dutos'!$G29)=80,('Levantamento dutos'!$D29/'Levantamento dutos'!$G$12)*8,0)</f>
        <v>0</v>
      </c>
      <c r="AB29" s="60">
        <f>IF(CODE('Levantamento dutos'!$G29)=80,IF('Levantamento dutos'!$B29&gt;30,('Levantamento dutos'!$D29/'Levantamento dutos'!$G$12)*4,0),0)</f>
        <v>0</v>
      </c>
      <c r="AC29" s="60">
        <f>IF('Levantamento dutos'!$B29&gt;220,('Levantamento dutos'!$D29/'Levantamento dutos'!$G$12*Calculos!$G29*2),0)</f>
        <v>0</v>
      </c>
      <c r="AD29" s="60">
        <f>IF(CODE('Levantamento dutos'!$E29)=73,((('Levantamento dutos'!$E$12/1000)+0.02)*'Levantamento dutos'!$D29)*4*1.3,0)</f>
        <v>0</v>
      </c>
      <c r="AE29" s="60">
        <f>IF(CODE('Levantamento dutos'!$E29)=80,((('Levantamento dutos'!$E$12/1000)+0.02)*'Levantamento dutos'!$D29)*4*1.3,0)</f>
        <v>0</v>
      </c>
    </row>
    <row r="30" spans="2:31" x14ac:dyDescent="0.2">
      <c r="B30" s="58">
        <f>IF('Levantamento dutos'!$B30&lt;=Calculos!$Z$3,((('Levantamento dutos'!$B30)/100+('Levantamento dutos'!$C30)/100)*2)*'Levantamento dutos'!$D30,0)</f>
        <v>0</v>
      </c>
      <c r="C30">
        <f>IF('Levantamento dutos'!$B30&gt;Calculos!$Z$3,IF('Levantamento dutos'!$B30&lt;=Calculos!$Z$4,((('Levantamento dutos'!$B30)/100+('Levantamento dutos'!$C30)/100)*2)*'Levantamento dutos'!$D30,0),0)</f>
        <v>0</v>
      </c>
      <c r="D30">
        <f>IF('Levantamento dutos'!$B30&gt;Calculos!$Z$4,IF('Levantamento dutos'!$B30&lt;=Calculos!$Z$5,((('Levantamento dutos'!$B30)/100+('Levantamento dutos'!$C30)/100)*2)*'Levantamento dutos'!$D30,0),0)</f>
        <v>0</v>
      </c>
      <c r="E30">
        <f>IF('Levantamento dutos'!$B30&gt;Calculos!$Z$5,IF('Levantamento dutos'!$B30&lt;=Calculos!$Z$6,((('Levantamento dutos'!$B30)/100+('Levantamento dutos'!$C30)/100)*2)*'Levantamento dutos'!$D30,0),0)</f>
        <v>0</v>
      </c>
      <c r="F30" s="59">
        <f>IF('Levantamento dutos'!$B30&gt;Calculos!$Z$7,((('Levantamento dutos'!$B30)/100+('Levantamento dutos'!$C30)/100)*2)*'Levantamento dutos'!$D30,0)</f>
        <v>0</v>
      </c>
      <c r="G30">
        <f>(('Levantamento dutos'!B30+'Levantamento dutos'!C30)/100)*2</f>
        <v>0</v>
      </c>
      <c r="H30" s="58">
        <f>IF(CODE('Levantamento dutos'!$E30)=76,SUM($B30:$F30),0)</f>
        <v>0</v>
      </c>
      <c r="I30">
        <f>IF(CODE('Levantamento dutos'!$E30)=73,SUM($B30:$F30),0)</f>
        <v>0</v>
      </c>
      <c r="J30">
        <f>IF(CODE('Levantamento dutos'!$E30)=80,SUM($B30:$F30),0)</f>
        <v>0</v>
      </c>
      <c r="K30">
        <f>IF(CODE('Levantamento dutos'!$F30)=66,SUM($B30:$F30),0)</f>
        <v>0</v>
      </c>
      <c r="L30">
        <f>IF(CODE('Levantamento dutos'!$F30)=70,SUM($B30:$F30),0)</f>
        <v>0</v>
      </c>
      <c r="M30" s="59">
        <f>IF(CODE('Levantamento dutos'!$E30)=84,SUM($B30:$F30),0)</f>
        <v>0</v>
      </c>
      <c r="N30" s="60">
        <f>IF(CODE('Levantamento dutos'!$G30)=80,IF('Levantamento dutos'!$B30&lt;=200,('Levantamento dutos'!$D30/'Levantamento dutos'!$G$12*Calculos!$G30*2),0),0)</f>
        <v>0</v>
      </c>
      <c r="O30" s="60">
        <f>IF(CODE('Levantamento dutos'!$G30)=80,IF('Levantamento dutos'!$B30&gt;200,('Levantamento dutos'!$D30/'Levantamento dutos'!$G$12*Calculos!$G30*2),0),0)</f>
        <v>0</v>
      </c>
      <c r="P30" s="60">
        <f>IF(CODE('Levantamento dutos'!$G30)=67,('Levantamento dutos'!$D30/'Levantamento dutos'!$G$12*Calculos!$G30*2),0)</f>
        <v>0</v>
      </c>
      <c r="Q30" s="60">
        <f>IF(CODE('Levantamento dutos'!H30)=83,((('Levantamento dutos'!B30/100)+('Levantamento dutos'!$H$12/1000))+(('Levantamento dutos'!C30/100)+('Levantamento dutos'!$H$12)/1000))*2*'Levantamento dutos'!D30,0)</f>
        <v>0</v>
      </c>
      <c r="S30" s="60">
        <f>IF(CODE('Levantamento dutos'!$I30)=83,$Q30,0)</f>
        <v>0</v>
      </c>
      <c r="T30" s="60">
        <f>IF(CODE('Levantamento dutos'!$E30)=76,ROUND((('Levantamento dutos'!$D30/5)*(Calculos!$G30+0.2)*1.2),0),0)</f>
        <v>0</v>
      </c>
      <c r="U30" s="60">
        <f>IF(CODE('Levantamento dutos'!$E30)=73,ROUND((('Levantamento dutos'!$D30/0.5)*(Calculos!$G30+0.2)*1.2),0),0)</f>
        <v>0</v>
      </c>
      <c r="V30" s="60">
        <f>IF(CODE('Levantamento dutos'!$E30)=80,ROUND((('Levantamento dutos'!$D30/0.5)*(Calculos!$G30+0.2)*1.2),0),0)</f>
        <v>0</v>
      </c>
      <c r="W30" s="60">
        <f>IF(CODE('Levantamento dutos'!$E30)=76,'Levantamento dutos'!$D30/0.5*1.5,0)</f>
        <v>0</v>
      </c>
      <c r="X30" s="60">
        <f>IF(CODE('Levantamento dutos'!$E30)=73,'Levantamento dutos'!$D30/0.5*1.5,0)</f>
        <v>0</v>
      </c>
      <c r="Y30" s="60">
        <f>IF(CODE('Levantamento dutos'!$E30)=80,'Levantamento dutos'!$D30/0.5*1.5,0)</f>
        <v>0</v>
      </c>
      <c r="Z30" s="60">
        <f>IF(CODE('Levantamento dutos'!$E30)=76,ROUND(('Levantamento dutos'!$D30)+('Levantamento dutos'!$D30*Calculos!$G30*2)*1.1,0),0)</f>
        <v>0</v>
      </c>
      <c r="AA30" s="60">
        <f>IF(CODE('Levantamento dutos'!$G30)=80,('Levantamento dutos'!$D30/'Levantamento dutos'!$G$12)*8,0)</f>
        <v>0</v>
      </c>
      <c r="AB30" s="60">
        <f>IF(CODE('Levantamento dutos'!$G30)=80,IF('Levantamento dutos'!$B30&gt;30,('Levantamento dutos'!$D30/'Levantamento dutos'!$G$12)*4,0),0)</f>
        <v>0</v>
      </c>
      <c r="AC30" s="60">
        <f>IF('Levantamento dutos'!$B30&gt;220,('Levantamento dutos'!$D30/'Levantamento dutos'!$G$12*Calculos!$G30*2),0)</f>
        <v>0</v>
      </c>
      <c r="AD30" s="60">
        <f>IF(CODE('Levantamento dutos'!$E30)=73,((('Levantamento dutos'!$E$12/1000)+0.02)*'Levantamento dutos'!$D30)*4*1.3,0)</f>
        <v>0</v>
      </c>
      <c r="AE30" s="60">
        <f>IF(CODE('Levantamento dutos'!$E30)=80,((('Levantamento dutos'!$E$12/1000)+0.02)*'Levantamento dutos'!$D30)*4*1.3,0)</f>
        <v>0</v>
      </c>
    </row>
    <row r="31" spans="2:31" x14ac:dyDescent="0.2">
      <c r="B31" s="58">
        <f>IF('Levantamento dutos'!$B31&lt;=Calculos!$Z$3,((('Levantamento dutos'!$B31)/100+('Levantamento dutos'!$C31)/100)*2)*'Levantamento dutos'!$D31,0)</f>
        <v>0</v>
      </c>
      <c r="C31">
        <f>IF('Levantamento dutos'!$B31&gt;Calculos!$Z$3,IF('Levantamento dutos'!$B31&lt;=Calculos!$Z$4,((('Levantamento dutos'!$B31)/100+('Levantamento dutos'!$C31)/100)*2)*'Levantamento dutos'!$D31,0),0)</f>
        <v>0</v>
      </c>
      <c r="D31">
        <f>IF('Levantamento dutos'!$B31&gt;Calculos!$Z$4,IF('Levantamento dutos'!$B31&lt;=Calculos!$Z$5,((('Levantamento dutos'!$B31)/100+('Levantamento dutos'!$C31)/100)*2)*'Levantamento dutos'!$D31,0),0)</f>
        <v>0</v>
      </c>
      <c r="E31">
        <f>IF('Levantamento dutos'!$B31&gt;Calculos!$Z$5,IF('Levantamento dutos'!$B31&lt;=Calculos!$Z$6,((('Levantamento dutos'!$B31)/100+('Levantamento dutos'!$C31)/100)*2)*'Levantamento dutos'!$D31,0),0)</f>
        <v>0</v>
      </c>
      <c r="F31" s="59">
        <f>IF('Levantamento dutos'!$B31&gt;Calculos!$Z$7,((('Levantamento dutos'!$B31)/100+('Levantamento dutos'!$C31)/100)*2)*'Levantamento dutos'!$D31,0)</f>
        <v>0</v>
      </c>
      <c r="G31">
        <f>(('Levantamento dutos'!B31+'Levantamento dutos'!C31)/100)*2</f>
        <v>0</v>
      </c>
      <c r="H31" s="58">
        <f>IF(CODE('Levantamento dutos'!$E31)=76,SUM($B31:$F31),0)</f>
        <v>0</v>
      </c>
      <c r="I31">
        <f>IF(CODE('Levantamento dutos'!$E31)=73,SUM($B31:$F31),0)</f>
        <v>0</v>
      </c>
      <c r="J31">
        <f>IF(CODE('Levantamento dutos'!$E31)=80,SUM($B31:$F31),0)</f>
        <v>0</v>
      </c>
      <c r="K31">
        <f>IF(CODE('Levantamento dutos'!$F31)=66,SUM($B31:$F31),0)</f>
        <v>0</v>
      </c>
      <c r="L31">
        <f>IF(CODE('Levantamento dutos'!$F31)=70,SUM($B31:$F31),0)</f>
        <v>0</v>
      </c>
      <c r="M31" s="59">
        <f>IF(CODE('Levantamento dutos'!$E31)=84,SUM($B31:$F31),0)</f>
        <v>0</v>
      </c>
      <c r="N31" s="60">
        <f>IF(CODE('Levantamento dutos'!$G31)=80,IF('Levantamento dutos'!$B31&lt;=200,('Levantamento dutos'!$D31/'Levantamento dutos'!$G$12*Calculos!$G31*2),0),0)</f>
        <v>0</v>
      </c>
      <c r="O31" s="60">
        <f>IF(CODE('Levantamento dutos'!$G31)=80,IF('Levantamento dutos'!$B31&gt;200,('Levantamento dutos'!$D31/'Levantamento dutos'!$G$12*Calculos!$G31*2),0),0)</f>
        <v>0</v>
      </c>
      <c r="P31" s="60">
        <f>IF(CODE('Levantamento dutos'!$G31)=67,('Levantamento dutos'!$D31/'Levantamento dutos'!$G$12*Calculos!$G31*2),0)</f>
        <v>0</v>
      </c>
      <c r="Q31" s="60">
        <f>IF(CODE('Levantamento dutos'!H31)=83,((('Levantamento dutos'!B31/100)+('Levantamento dutos'!$H$12/1000))+(('Levantamento dutos'!C31/100)+('Levantamento dutos'!$H$12)/1000))*2*'Levantamento dutos'!D31,0)</f>
        <v>0</v>
      </c>
      <c r="S31" s="60">
        <f>IF(CODE('Levantamento dutos'!$I31)=83,$Q31,0)</f>
        <v>0</v>
      </c>
      <c r="T31" s="60">
        <f>IF(CODE('Levantamento dutos'!$E31)=76,ROUND((('Levantamento dutos'!$D31/5)*(Calculos!$G31+0.2)*1.2),0),0)</f>
        <v>0</v>
      </c>
      <c r="U31" s="60">
        <f>IF(CODE('Levantamento dutos'!$E31)=73,ROUND((('Levantamento dutos'!$D31/0.5)*(Calculos!$G31+0.2)*1.2),0),0)</f>
        <v>0</v>
      </c>
      <c r="V31" s="60">
        <f>IF(CODE('Levantamento dutos'!$E31)=80,ROUND((('Levantamento dutos'!$D31/0.5)*(Calculos!$G31+0.2)*1.2),0),0)</f>
        <v>0</v>
      </c>
      <c r="W31" s="60">
        <f>IF(CODE('Levantamento dutos'!$E31)=76,'Levantamento dutos'!$D31/0.5*1.5,0)</f>
        <v>0</v>
      </c>
      <c r="X31" s="60">
        <f>IF(CODE('Levantamento dutos'!$E31)=73,'Levantamento dutos'!$D31/0.5*1.5,0)</f>
        <v>0</v>
      </c>
      <c r="Y31" s="60">
        <f>IF(CODE('Levantamento dutos'!$E31)=80,'Levantamento dutos'!$D31/0.5*1.5,0)</f>
        <v>0</v>
      </c>
      <c r="Z31" s="60">
        <f>IF(CODE('Levantamento dutos'!$E31)=76,ROUND(('Levantamento dutos'!$D31)+('Levantamento dutos'!$D31*Calculos!$G31*2)*1.1,0),0)</f>
        <v>0</v>
      </c>
      <c r="AA31" s="60">
        <f>IF(CODE('Levantamento dutos'!$G31)=80,('Levantamento dutos'!$D31/'Levantamento dutos'!$G$12)*8,0)</f>
        <v>0</v>
      </c>
      <c r="AB31" s="60">
        <f>IF(CODE('Levantamento dutos'!$G31)=80,IF('Levantamento dutos'!$B31&gt;30,('Levantamento dutos'!$D31/'Levantamento dutos'!$G$12)*4,0),0)</f>
        <v>0</v>
      </c>
      <c r="AC31" s="60">
        <f>IF('Levantamento dutos'!$B31&gt;220,('Levantamento dutos'!$D31/'Levantamento dutos'!$G$12*Calculos!$G31*2),0)</f>
        <v>0</v>
      </c>
      <c r="AD31" s="60">
        <f>IF(CODE('Levantamento dutos'!$E31)=73,((('Levantamento dutos'!$E$12/1000)+0.02)*'Levantamento dutos'!$D31)*4*1.3,0)</f>
        <v>0</v>
      </c>
      <c r="AE31" s="60">
        <f>IF(CODE('Levantamento dutos'!$E31)=80,((('Levantamento dutos'!$E$12/1000)+0.02)*'Levantamento dutos'!$D31)*4*1.3,0)</f>
        <v>0</v>
      </c>
    </row>
    <row r="32" spans="2:31" x14ac:dyDescent="0.2">
      <c r="B32" s="58">
        <f>IF('Levantamento dutos'!$B32&lt;=Calculos!$Z$3,((('Levantamento dutos'!$B32)/100+('Levantamento dutos'!$C32)/100)*2)*'Levantamento dutos'!$D32,0)</f>
        <v>0</v>
      </c>
      <c r="C32">
        <f>IF('Levantamento dutos'!$B32&gt;Calculos!$Z$3,IF('Levantamento dutos'!$B32&lt;=Calculos!$Z$4,((('Levantamento dutos'!$B32)/100+('Levantamento dutos'!$C32)/100)*2)*'Levantamento dutos'!$D32,0),0)</f>
        <v>0</v>
      </c>
      <c r="D32">
        <f>IF('Levantamento dutos'!$B32&gt;Calculos!$Z$4,IF('Levantamento dutos'!$B32&lt;=Calculos!$Z$5,((('Levantamento dutos'!$B32)/100+('Levantamento dutos'!$C32)/100)*2)*'Levantamento dutos'!$D32,0),0)</f>
        <v>0</v>
      </c>
      <c r="E32">
        <f>IF('Levantamento dutos'!$B32&gt;Calculos!$Z$5,IF('Levantamento dutos'!$B32&lt;=Calculos!$Z$6,((('Levantamento dutos'!$B32)/100+('Levantamento dutos'!$C32)/100)*2)*'Levantamento dutos'!$D32,0),0)</f>
        <v>0</v>
      </c>
      <c r="F32" s="59">
        <f>IF('Levantamento dutos'!$B32&gt;Calculos!$Z$7,((('Levantamento dutos'!$B32)/100+('Levantamento dutos'!$C32)/100)*2)*'Levantamento dutos'!$D32,0)</f>
        <v>0</v>
      </c>
      <c r="G32">
        <f>(('Levantamento dutos'!B32+'Levantamento dutos'!C32)/100)*2</f>
        <v>0</v>
      </c>
      <c r="H32" s="58">
        <f>IF(CODE('Levantamento dutos'!$E32)=76,SUM($B32:$F32),0)</f>
        <v>0</v>
      </c>
      <c r="I32">
        <f>IF(CODE('Levantamento dutos'!$E32)=73,SUM($B32:$F32),0)</f>
        <v>0</v>
      </c>
      <c r="J32">
        <f>IF(CODE('Levantamento dutos'!$E32)=80,SUM($B32:$F32),0)</f>
        <v>0</v>
      </c>
      <c r="K32">
        <f>IF(CODE('Levantamento dutos'!$F32)=66,SUM($B32:$F32),0)</f>
        <v>0</v>
      </c>
      <c r="L32">
        <f>IF(CODE('Levantamento dutos'!$F32)=70,SUM($B32:$F32),0)</f>
        <v>0</v>
      </c>
      <c r="M32" s="59">
        <f>IF(CODE('Levantamento dutos'!$E32)=84,SUM($B32:$F32),0)</f>
        <v>0</v>
      </c>
      <c r="N32" s="60">
        <f>IF(CODE('Levantamento dutos'!$G32)=80,IF('Levantamento dutos'!$B32&lt;=200,('Levantamento dutos'!$D32/'Levantamento dutos'!$G$12*Calculos!$G32*2),0),0)</f>
        <v>0</v>
      </c>
      <c r="O32" s="60">
        <f>IF(CODE('Levantamento dutos'!$G32)=80,IF('Levantamento dutos'!$B32&gt;200,('Levantamento dutos'!$D32/'Levantamento dutos'!$G$12*Calculos!$G32*2),0),0)</f>
        <v>0</v>
      </c>
      <c r="P32" s="60">
        <f>IF(CODE('Levantamento dutos'!$G32)=67,('Levantamento dutos'!$D32/'Levantamento dutos'!$G$12*Calculos!$G32*2),0)</f>
        <v>0</v>
      </c>
      <c r="Q32" s="60">
        <f>IF(CODE('Levantamento dutos'!H32)=83,((('Levantamento dutos'!B32/100)+('Levantamento dutos'!$H$12/1000))+(('Levantamento dutos'!C32/100)+('Levantamento dutos'!$H$12)/1000))*2*'Levantamento dutos'!D32,0)</f>
        <v>0</v>
      </c>
      <c r="S32" s="60">
        <f>IF(CODE('Levantamento dutos'!$I32)=83,$Q32,0)</f>
        <v>0</v>
      </c>
      <c r="T32" s="60">
        <f>IF(CODE('Levantamento dutos'!$E32)=76,ROUND((('Levantamento dutos'!$D32/5)*(Calculos!$G32+0.2)*1.2),0),0)</f>
        <v>0</v>
      </c>
      <c r="U32" s="60">
        <f>IF(CODE('Levantamento dutos'!$E32)=73,ROUND((('Levantamento dutos'!$D32/0.5)*(Calculos!$G32+0.2)*1.2),0),0)</f>
        <v>0</v>
      </c>
      <c r="V32" s="60">
        <f>IF(CODE('Levantamento dutos'!$E32)=80,ROUND((('Levantamento dutos'!$D32/0.5)*(Calculos!$G32+0.2)*1.2),0),0)</f>
        <v>0</v>
      </c>
      <c r="W32" s="60">
        <f>IF(CODE('Levantamento dutos'!$E32)=76,'Levantamento dutos'!$D32/0.5*1.5,0)</f>
        <v>0</v>
      </c>
      <c r="X32" s="60">
        <f>IF(CODE('Levantamento dutos'!$E32)=73,'Levantamento dutos'!$D32/0.5*1.5,0)</f>
        <v>0</v>
      </c>
      <c r="Y32" s="60">
        <f>IF(CODE('Levantamento dutos'!$E32)=80,'Levantamento dutos'!$D32/0.5*1.5,0)</f>
        <v>0</v>
      </c>
      <c r="Z32" s="60">
        <f>IF(CODE('Levantamento dutos'!$E32)=76,ROUND(('Levantamento dutos'!$D32)+('Levantamento dutos'!$D32*Calculos!$G32*2)*1.1,0),0)</f>
        <v>0</v>
      </c>
      <c r="AA32" s="60">
        <f>IF(CODE('Levantamento dutos'!$G32)=80,('Levantamento dutos'!$D32/'Levantamento dutos'!$G$12)*8,0)</f>
        <v>0</v>
      </c>
      <c r="AB32" s="60">
        <f>IF(CODE('Levantamento dutos'!$G32)=80,IF('Levantamento dutos'!$B32&gt;30,('Levantamento dutos'!$D32/'Levantamento dutos'!$G$12)*4,0),0)</f>
        <v>0</v>
      </c>
      <c r="AC32" s="60">
        <f>IF('Levantamento dutos'!$B32&gt;220,('Levantamento dutos'!$D32/'Levantamento dutos'!$G$12*Calculos!$G32*2),0)</f>
        <v>0</v>
      </c>
      <c r="AD32" s="60">
        <f>IF(CODE('Levantamento dutos'!$E32)=73,((('Levantamento dutos'!$E$12/1000)+0.02)*'Levantamento dutos'!$D32)*4*1.3,0)</f>
        <v>0</v>
      </c>
      <c r="AE32" s="60">
        <f>IF(CODE('Levantamento dutos'!$E32)=80,((('Levantamento dutos'!$E$12/1000)+0.02)*'Levantamento dutos'!$D32)*4*1.3,0)</f>
        <v>0</v>
      </c>
    </row>
    <row r="33" spans="2:31" x14ac:dyDescent="0.2">
      <c r="B33" s="58">
        <f>IF('Levantamento dutos'!$B33&lt;=Calculos!$Z$3,((('Levantamento dutos'!$B33)/100+('Levantamento dutos'!$C33)/100)*2)*'Levantamento dutos'!$D33,0)</f>
        <v>0</v>
      </c>
      <c r="C33">
        <f>IF('Levantamento dutos'!$B33&gt;Calculos!$Z$3,IF('Levantamento dutos'!$B33&lt;=Calculos!$Z$4,((('Levantamento dutos'!$B33)/100+('Levantamento dutos'!$C33)/100)*2)*'Levantamento dutos'!$D33,0),0)</f>
        <v>0</v>
      </c>
      <c r="D33">
        <f>IF('Levantamento dutos'!$B33&gt;Calculos!$Z$4,IF('Levantamento dutos'!$B33&lt;=Calculos!$Z$5,((('Levantamento dutos'!$B33)/100+('Levantamento dutos'!$C33)/100)*2)*'Levantamento dutos'!$D33,0),0)</f>
        <v>0</v>
      </c>
      <c r="E33">
        <f>IF('Levantamento dutos'!$B33&gt;Calculos!$Z$5,IF('Levantamento dutos'!$B33&lt;=Calculos!$Z$6,((('Levantamento dutos'!$B33)/100+('Levantamento dutos'!$C33)/100)*2)*'Levantamento dutos'!$D33,0),0)</f>
        <v>0</v>
      </c>
      <c r="F33" s="59">
        <f>IF('Levantamento dutos'!$B33&gt;Calculos!$Z$7,((('Levantamento dutos'!$B33)/100+('Levantamento dutos'!$C33)/100)*2)*'Levantamento dutos'!$D33,0)</f>
        <v>0</v>
      </c>
      <c r="G33">
        <f>(('Levantamento dutos'!B33+'Levantamento dutos'!C33)/100)*2</f>
        <v>0</v>
      </c>
      <c r="H33" s="58">
        <f>IF(CODE('Levantamento dutos'!$E33)=76,SUM($B33:$F33),0)</f>
        <v>0</v>
      </c>
      <c r="I33">
        <f>IF(CODE('Levantamento dutos'!$E33)=73,SUM($B33:$F33),0)</f>
        <v>0</v>
      </c>
      <c r="J33">
        <f>IF(CODE('Levantamento dutos'!$E33)=80,SUM($B33:$F33),0)</f>
        <v>0</v>
      </c>
      <c r="K33">
        <f>IF(CODE('Levantamento dutos'!$F33)=66,SUM($B33:$F33),0)</f>
        <v>0</v>
      </c>
      <c r="L33">
        <f>IF(CODE('Levantamento dutos'!$F33)=70,SUM($B33:$F33),0)</f>
        <v>0</v>
      </c>
      <c r="M33" s="59">
        <f>IF(CODE('Levantamento dutos'!$E33)=84,SUM($B33:$F33),0)</f>
        <v>0</v>
      </c>
      <c r="N33" s="60">
        <f>IF(CODE('Levantamento dutos'!$G33)=80,IF('Levantamento dutos'!$B33&lt;=200,('Levantamento dutos'!$D33/'Levantamento dutos'!$G$12*Calculos!$G33*2),0),0)</f>
        <v>0</v>
      </c>
      <c r="O33" s="60">
        <f>IF(CODE('Levantamento dutos'!$G33)=80,IF('Levantamento dutos'!$B33&gt;200,('Levantamento dutos'!$D33/'Levantamento dutos'!$G$12*Calculos!$G33*2),0),0)</f>
        <v>0</v>
      </c>
      <c r="P33" s="60">
        <f>IF(CODE('Levantamento dutos'!$G33)=67,('Levantamento dutos'!$D33/'Levantamento dutos'!$G$12*Calculos!$G33*2),0)</f>
        <v>0</v>
      </c>
      <c r="Q33" s="60">
        <f>IF(CODE('Levantamento dutos'!H33)=83,((('Levantamento dutos'!B33/100)+('Levantamento dutos'!$H$12/1000))+(('Levantamento dutos'!C33/100)+('Levantamento dutos'!$H$12)/1000))*2*'Levantamento dutos'!D33,0)</f>
        <v>0</v>
      </c>
      <c r="S33" s="60">
        <f>IF(CODE('Levantamento dutos'!$I33)=83,$Q33,0)</f>
        <v>0</v>
      </c>
      <c r="T33" s="60">
        <f>IF(CODE('Levantamento dutos'!$E33)=76,ROUND((('Levantamento dutos'!$D33/5)*(Calculos!$G33+0.2)*1.2),0),0)</f>
        <v>0</v>
      </c>
      <c r="U33" s="60">
        <f>IF(CODE('Levantamento dutos'!$E33)=73,ROUND((('Levantamento dutos'!$D33/0.5)*(Calculos!$G33+0.2)*1.2),0),0)</f>
        <v>0</v>
      </c>
      <c r="V33" s="60">
        <f>IF(CODE('Levantamento dutos'!$E33)=80,ROUND((('Levantamento dutos'!$D33/0.5)*(Calculos!$G33+0.2)*1.2),0),0)</f>
        <v>0</v>
      </c>
      <c r="W33" s="60">
        <f>IF(CODE('Levantamento dutos'!$E33)=76,'Levantamento dutos'!$D33/0.5*1.5,0)</f>
        <v>0</v>
      </c>
      <c r="X33" s="60">
        <f>IF(CODE('Levantamento dutos'!$E33)=73,'Levantamento dutos'!$D33/0.5*1.5,0)</f>
        <v>0</v>
      </c>
      <c r="Y33" s="60">
        <f>IF(CODE('Levantamento dutos'!$E33)=80,'Levantamento dutos'!$D33/0.5*1.5,0)</f>
        <v>0</v>
      </c>
      <c r="Z33" s="60">
        <f>IF(CODE('Levantamento dutos'!$E33)=76,ROUND(('Levantamento dutos'!$D33)+('Levantamento dutos'!$D33*Calculos!$G33*2)*1.1,0),0)</f>
        <v>0</v>
      </c>
      <c r="AA33" s="60">
        <f>IF(CODE('Levantamento dutos'!$G33)=80,('Levantamento dutos'!$D33/'Levantamento dutos'!$G$12)*8,0)</f>
        <v>0</v>
      </c>
      <c r="AB33" s="60">
        <f>IF(CODE('Levantamento dutos'!$G33)=80,IF('Levantamento dutos'!$B33&gt;30,('Levantamento dutos'!$D33/'Levantamento dutos'!$G$12)*4,0),0)</f>
        <v>0</v>
      </c>
      <c r="AC33" s="60">
        <f>IF('Levantamento dutos'!$B33&gt;220,('Levantamento dutos'!$D33/'Levantamento dutos'!$G$12*Calculos!$G33*2),0)</f>
        <v>0</v>
      </c>
      <c r="AD33" s="60">
        <f>IF(CODE('Levantamento dutos'!$E33)=73,((('Levantamento dutos'!$E$12/1000)+0.02)*'Levantamento dutos'!$D33)*4*1.3,0)</f>
        <v>0</v>
      </c>
      <c r="AE33" s="60">
        <f>IF(CODE('Levantamento dutos'!$E33)=80,((('Levantamento dutos'!$E$12/1000)+0.02)*'Levantamento dutos'!$D33)*4*1.3,0)</f>
        <v>0</v>
      </c>
    </row>
    <row r="34" spans="2:31" x14ac:dyDescent="0.2">
      <c r="B34" s="58">
        <f>IF('Levantamento dutos'!$B34&lt;=Calculos!$Z$3,((('Levantamento dutos'!$B34)/100+('Levantamento dutos'!$C34)/100)*2)*'Levantamento dutos'!$D34,0)</f>
        <v>0</v>
      </c>
      <c r="C34">
        <f>IF('Levantamento dutos'!$B34&gt;Calculos!$Z$3,IF('Levantamento dutos'!$B34&lt;=Calculos!$Z$4,((('Levantamento dutos'!$B34)/100+('Levantamento dutos'!$C34)/100)*2)*'Levantamento dutos'!$D34,0),0)</f>
        <v>0</v>
      </c>
      <c r="D34">
        <f>IF('Levantamento dutos'!$B34&gt;Calculos!$Z$4,IF('Levantamento dutos'!$B34&lt;=Calculos!$Z$5,((('Levantamento dutos'!$B34)/100+('Levantamento dutos'!$C34)/100)*2)*'Levantamento dutos'!$D34,0),0)</f>
        <v>0</v>
      </c>
      <c r="E34">
        <f>IF('Levantamento dutos'!$B34&gt;Calculos!$Z$5,IF('Levantamento dutos'!$B34&lt;=Calculos!$Z$6,((('Levantamento dutos'!$B34)/100+('Levantamento dutos'!$C34)/100)*2)*'Levantamento dutos'!$D34,0),0)</f>
        <v>0</v>
      </c>
      <c r="F34" s="59">
        <f>IF('Levantamento dutos'!$B34&gt;Calculos!$Z$7,((('Levantamento dutos'!$B34)/100+('Levantamento dutos'!$C34)/100)*2)*'Levantamento dutos'!$D34,0)</f>
        <v>0</v>
      </c>
      <c r="G34">
        <f>(('Levantamento dutos'!B34+'Levantamento dutos'!C34)/100)*2</f>
        <v>0</v>
      </c>
      <c r="H34" s="58">
        <f>IF(CODE('Levantamento dutos'!$E34)=76,SUM($B34:$F34),0)</f>
        <v>0</v>
      </c>
      <c r="I34">
        <f>IF(CODE('Levantamento dutos'!$E34)=73,SUM($B34:$F34),0)</f>
        <v>0</v>
      </c>
      <c r="J34">
        <f>IF(CODE('Levantamento dutos'!$E34)=80,SUM($B34:$F34),0)</f>
        <v>0</v>
      </c>
      <c r="K34">
        <f>IF(CODE('Levantamento dutos'!$F34)=66,SUM($B34:$F34),0)</f>
        <v>0</v>
      </c>
      <c r="L34">
        <f>IF(CODE('Levantamento dutos'!$F34)=70,SUM($B34:$F34),0)</f>
        <v>0</v>
      </c>
      <c r="M34" s="59">
        <f>IF(CODE('Levantamento dutos'!$E34)=84,SUM($B34:$F34),0)</f>
        <v>0</v>
      </c>
      <c r="N34" s="60">
        <f>IF(CODE('Levantamento dutos'!$G34)=80,IF('Levantamento dutos'!$B34&lt;=200,('Levantamento dutos'!$D34/'Levantamento dutos'!$G$12*Calculos!$G34*2),0),0)</f>
        <v>0</v>
      </c>
      <c r="O34" s="60">
        <f>IF(CODE('Levantamento dutos'!$G34)=80,IF('Levantamento dutos'!$B34&gt;200,('Levantamento dutos'!$D34/'Levantamento dutos'!$G$12*Calculos!$G34*2),0),0)</f>
        <v>0</v>
      </c>
      <c r="P34" s="60">
        <f>IF(CODE('Levantamento dutos'!$G34)=67,('Levantamento dutos'!$D34/'Levantamento dutos'!$G$12*Calculos!$G34*2),0)</f>
        <v>0</v>
      </c>
      <c r="Q34" s="60">
        <f>IF(CODE('Levantamento dutos'!H34)=83,((('Levantamento dutos'!B34/100)+('Levantamento dutos'!$H$12/1000))+(('Levantamento dutos'!C34/100)+('Levantamento dutos'!$H$12)/1000))*2*'Levantamento dutos'!D34,0)</f>
        <v>0</v>
      </c>
      <c r="S34" s="60">
        <f>IF(CODE('Levantamento dutos'!$I34)=83,$Q34,0)</f>
        <v>0</v>
      </c>
      <c r="T34" s="60">
        <f>IF(CODE('Levantamento dutos'!$E34)=76,ROUND((('Levantamento dutos'!$D34/5)*(Calculos!$G34+0.2)*1.2),0),0)</f>
        <v>0</v>
      </c>
      <c r="U34" s="60">
        <f>IF(CODE('Levantamento dutos'!$E34)=73,ROUND((('Levantamento dutos'!$D34/0.5)*(Calculos!$G34+0.2)*1.2),0),0)</f>
        <v>0</v>
      </c>
      <c r="V34" s="60">
        <f>IF(CODE('Levantamento dutos'!$E34)=80,ROUND((('Levantamento dutos'!$D34/0.5)*(Calculos!$G34+0.2)*1.2),0),0)</f>
        <v>0</v>
      </c>
      <c r="W34" s="60">
        <f>IF(CODE('Levantamento dutos'!$E34)=76,'Levantamento dutos'!$D34/0.5*1.5,0)</f>
        <v>0</v>
      </c>
      <c r="X34" s="60">
        <f>IF(CODE('Levantamento dutos'!$E34)=73,'Levantamento dutos'!$D34/0.5*1.5,0)</f>
        <v>0</v>
      </c>
      <c r="Y34" s="60">
        <f>IF(CODE('Levantamento dutos'!$E34)=80,'Levantamento dutos'!$D34/0.5*1.5,0)</f>
        <v>0</v>
      </c>
      <c r="Z34" s="60">
        <f>IF(CODE('Levantamento dutos'!$E34)=76,ROUND(('Levantamento dutos'!$D34)+('Levantamento dutos'!$D34*Calculos!$G34*2)*1.1,0),0)</f>
        <v>0</v>
      </c>
      <c r="AA34" s="60">
        <f>IF(CODE('Levantamento dutos'!$G34)=80,('Levantamento dutos'!$D34/'Levantamento dutos'!$G$12)*8,0)</f>
        <v>0</v>
      </c>
      <c r="AB34" s="60">
        <f>IF(CODE('Levantamento dutos'!$G34)=80,IF('Levantamento dutos'!$B34&gt;30,('Levantamento dutos'!$D34/'Levantamento dutos'!$G$12)*4,0),0)</f>
        <v>0</v>
      </c>
      <c r="AC34" s="60">
        <f>IF('Levantamento dutos'!$B34&gt;220,('Levantamento dutos'!$D34/'Levantamento dutos'!$G$12*Calculos!$G34*2),0)</f>
        <v>0</v>
      </c>
      <c r="AD34" s="60">
        <f>IF(CODE('Levantamento dutos'!$E34)=73,((('Levantamento dutos'!$E$12/1000)+0.02)*'Levantamento dutos'!$D34)*4*1.3,0)</f>
        <v>0</v>
      </c>
      <c r="AE34" s="60">
        <f>IF(CODE('Levantamento dutos'!$E34)=80,((('Levantamento dutos'!$E$12/1000)+0.02)*'Levantamento dutos'!$D34)*4*1.3,0)</f>
        <v>0</v>
      </c>
    </row>
    <row r="35" spans="2:31" x14ac:dyDescent="0.2">
      <c r="B35" s="58">
        <f>IF('Levantamento dutos'!$B35&lt;=Calculos!$Z$3,((('Levantamento dutos'!$B35)/100+('Levantamento dutos'!$C35)/100)*2)*'Levantamento dutos'!$D35,0)</f>
        <v>0</v>
      </c>
      <c r="C35">
        <f>IF('Levantamento dutos'!$B35&gt;Calculos!$Z$3,IF('Levantamento dutos'!$B35&lt;=Calculos!$Z$4,((('Levantamento dutos'!$B35)/100+('Levantamento dutos'!$C35)/100)*2)*'Levantamento dutos'!$D35,0),0)</f>
        <v>0</v>
      </c>
      <c r="D35">
        <f>IF('Levantamento dutos'!$B35&gt;Calculos!$Z$4,IF('Levantamento dutos'!$B35&lt;=Calculos!$Z$5,((('Levantamento dutos'!$B35)/100+('Levantamento dutos'!$C35)/100)*2)*'Levantamento dutos'!$D35,0),0)</f>
        <v>0</v>
      </c>
      <c r="E35">
        <f>IF('Levantamento dutos'!$B35&gt;Calculos!$Z$5,IF('Levantamento dutos'!$B35&lt;=Calculos!$Z$6,((('Levantamento dutos'!$B35)/100+('Levantamento dutos'!$C35)/100)*2)*'Levantamento dutos'!$D35,0),0)</f>
        <v>0</v>
      </c>
      <c r="F35" s="59">
        <f>IF('Levantamento dutos'!$B35&gt;Calculos!$Z$7,((('Levantamento dutos'!$B35)/100+('Levantamento dutos'!$C35)/100)*2)*'Levantamento dutos'!$D35,0)</f>
        <v>0</v>
      </c>
      <c r="G35">
        <f>(('Levantamento dutos'!B35+'Levantamento dutos'!C35)/100)*2</f>
        <v>0</v>
      </c>
      <c r="H35" s="58">
        <f>IF(CODE('Levantamento dutos'!$E35)=76,SUM($B35:$F35),0)</f>
        <v>0</v>
      </c>
      <c r="I35">
        <f>IF(CODE('Levantamento dutos'!$E35)=73,SUM($B35:$F35),0)</f>
        <v>0</v>
      </c>
      <c r="J35">
        <f>IF(CODE('Levantamento dutos'!$E35)=80,SUM($B35:$F35),0)</f>
        <v>0</v>
      </c>
      <c r="K35">
        <f>IF(CODE('Levantamento dutos'!$F35)=66,SUM($B35:$F35),0)</f>
        <v>0</v>
      </c>
      <c r="L35">
        <f>IF(CODE('Levantamento dutos'!$F35)=70,SUM($B35:$F35),0)</f>
        <v>0</v>
      </c>
      <c r="M35" s="59">
        <f>IF(CODE('Levantamento dutos'!$E35)=84,SUM($B35:$F35),0)</f>
        <v>0</v>
      </c>
      <c r="N35" s="60">
        <f>IF(CODE('Levantamento dutos'!$G35)=80,IF('Levantamento dutos'!$B35&lt;=200,('Levantamento dutos'!$D35/'Levantamento dutos'!$G$12*Calculos!$G35*2),0),0)</f>
        <v>0</v>
      </c>
      <c r="O35" s="60">
        <f>IF(CODE('Levantamento dutos'!$G35)=80,IF('Levantamento dutos'!$B35&gt;200,('Levantamento dutos'!$D35/'Levantamento dutos'!$G$12*Calculos!$G35*2),0),0)</f>
        <v>0</v>
      </c>
      <c r="P35" s="60">
        <f>IF(CODE('Levantamento dutos'!$G35)=67,('Levantamento dutos'!$D35/'Levantamento dutos'!$G$12*Calculos!$G35*2),0)</f>
        <v>0</v>
      </c>
      <c r="Q35" s="60">
        <f>IF(CODE('Levantamento dutos'!H35)=83,((('Levantamento dutos'!B35/100)+('Levantamento dutos'!$H$12/1000))+(('Levantamento dutos'!C35/100)+('Levantamento dutos'!$H$12)/1000))*2*'Levantamento dutos'!D35,0)</f>
        <v>0</v>
      </c>
      <c r="S35" s="60">
        <f>IF(CODE('Levantamento dutos'!$I35)=83,$Q35,0)</f>
        <v>0</v>
      </c>
      <c r="T35" s="60">
        <f>IF(CODE('Levantamento dutos'!$E35)=76,ROUND((('Levantamento dutos'!$D35/5)*(Calculos!$G35+0.2)*1.2),0),0)</f>
        <v>0</v>
      </c>
      <c r="U35" s="60">
        <f>IF(CODE('Levantamento dutos'!$E35)=73,ROUND((('Levantamento dutos'!$D35/0.5)*(Calculos!$G35+0.2)*1.2),0),0)</f>
        <v>0</v>
      </c>
      <c r="V35" s="60">
        <f>IF(CODE('Levantamento dutos'!$E35)=80,ROUND((('Levantamento dutos'!$D35/0.5)*(Calculos!$G35+0.2)*1.2),0),0)</f>
        <v>0</v>
      </c>
      <c r="W35" s="60">
        <f>IF(CODE('Levantamento dutos'!$E35)=76,'Levantamento dutos'!$D35/0.5*1.5,0)</f>
        <v>0</v>
      </c>
      <c r="X35" s="60">
        <f>IF(CODE('Levantamento dutos'!$E35)=73,'Levantamento dutos'!$D35/0.5*1.5,0)</f>
        <v>0</v>
      </c>
      <c r="Y35" s="60">
        <f>IF(CODE('Levantamento dutos'!$E35)=80,'Levantamento dutos'!$D35/0.5*1.5,0)</f>
        <v>0</v>
      </c>
      <c r="Z35" s="60">
        <f>IF(CODE('Levantamento dutos'!$E35)=76,ROUND(('Levantamento dutos'!$D35)+('Levantamento dutos'!$D35*Calculos!$G35*2)*1.1,0),0)</f>
        <v>0</v>
      </c>
      <c r="AA35" s="60">
        <f>IF(CODE('Levantamento dutos'!$G35)=80,('Levantamento dutos'!$D35/'Levantamento dutos'!$G$12)*8,0)</f>
        <v>0</v>
      </c>
      <c r="AB35" s="60">
        <f>IF(CODE('Levantamento dutos'!$G35)=80,IF('Levantamento dutos'!$B35&gt;30,('Levantamento dutos'!$D35/'Levantamento dutos'!$G$12)*4,0),0)</f>
        <v>0</v>
      </c>
      <c r="AC35" s="60">
        <f>IF('Levantamento dutos'!$B35&gt;220,('Levantamento dutos'!$D35/'Levantamento dutos'!$G$12*Calculos!$G35*2),0)</f>
        <v>0</v>
      </c>
      <c r="AD35" s="60">
        <f>IF(CODE('Levantamento dutos'!$E35)=73,((('Levantamento dutos'!$E$12/1000)+0.02)*'Levantamento dutos'!$D35)*4*1.3,0)</f>
        <v>0</v>
      </c>
      <c r="AE35" s="60">
        <f>IF(CODE('Levantamento dutos'!$E35)=80,((('Levantamento dutos'!$E$12/1000)+0.02)*'Levantamento dutos'!$D35)*4*1.3,0)</f>
        <v>0</v>
      </c>
    </row>
    <row r="36" spans="2:31" x14ac:dyDescent="0.2">
      <c r="B36" s="58">
        <f>IF('Levantamento dutos'!$B36&lt;=Calculos!$Z$3,((('Levantamento dutos'!$B36)/100+('Levantamento dutos'!$C36)/100)*2)*'Levantamento dutos'!$D36,0)</f>
        <v>0</v>
      </c>
      <c r="C36">
        <f>IF('Levantamento dutos'!$B36&gt;Calculos!$Z$3,IF('Levantamento dutos'!$B36&lt;=Calculos!$Z$4,((('Levantamento dutos'!$B36)/100+('Levantamento dutos'!$C36)/100)*2)*'Levantamento dutos'!$D36,0),0)</f>
        <v>0</v>
      </c>
      <c r="D36">
        <f>IF('Levantamento dutos'!$B36&gt;Calculos!$Z$4,IF('Levantamento dutos'!$B36&lt;=Calculos!$Z$5,((('Levantamento dutos'!$B36)/100+('Levantamento dutos'!$C36)/100)*2)*'Levantamento dutos'!$D36,0),0)</f>
        <v>0</v>
      </c>
      <c r="E36">
        <f>IF('Levantamento dutos'!$B36&gt;Calculos!$Z$5,IF('Levantamento dutos'!$B36&lt;=Calculos!$Z$6,((('Levantamento dutos'!$B36)/100+('Levantamento dutos'!$C36)/100)*2)*'Levantamento dutos'!$D36,0),0)</f>
        <v>0</v>
      </c>
      <c r="F36" s="59">
        <f>IF('Levantamento dutos'!$B36&gt;Calculos!$Z$7,((('Levantamento dutos'!$B36)/100+('Levantamento dutos'!$C36)/100)*2)*'Levantamento dutos'!$D36,0)</f>
        <v>0</v>
      </c>
      <c r="G36">
        <f>(('Levantamento dutos'!B36+'Levantamento dutos'!C36)/100)*2</f>
        <v>0</v>
      </c>
      <c r="H36" s="58">
        <f>IF(CODE('Levantamento dutos'!$E36)=76,SUM($B36:$F36),0)</f>
        <v>0</v>
      </c>
      <c r="I36">
        <f>IF(CODE('Levantamento dutos'!$E36)=73,SUM($B36:$F36),0)</f>
        <v>0</v>
      </c>
      <c r="J36">
        <f>IF(CODE('Levantamento dutos'!$E36)=80,SUM($B36:$F36),0)</f>
        <v>0</v>
      </c>
      <c r="K36">
        <f>IF(CODE('Levantamento dutos'!$F36)=66,SUM($B36:$F36),0)</f>
        <v>0</v>
      </c>
      <c r="L36">
        <f>IF(CODE('Levantamento dutos'!$F36)=70,SUM($B36:$F36),0)</f>
        <v>0</v>
      </c>
      <c r="M36" s="59">
        <f>IF(CODE('Levantamento dutos'!$E36)=84,SUM($B36:$F36),0)</f>
        <v>0</v>
      </c>
      <c r="N36" s="60">
        <f>IF(CODE('Levantamento dutos'!$G36)=80,IF('Levantamento dutos'!$B36&lt;=200,('Levantamento dutos'!$D36/'Levantamento dutos'!$G$12*Calculos!$G36*2),0),0)</f>
        <v>0</v>
      </c>
      <c r="O36" s="60">
        <f>IF(CODE('Levantamento dutos'!$G36)=80,IF('Levantamento dutos'!$B36&gt;200,('Levantamento dutos'!$D36/'Levantamento dutos'!$G$12*Calculos!$G36*2),0),0)</f>
        <v>0</v>
      </c>
      <c r="P36" s="60">
        <f>IF(CODE('Levantamento dutos'!$G36)=67,('Levantamento dutos'!$D36/'Levantamento dutos'!$G$12*Calculos!$G36*2),0)</f>
        <v>0</v>
      </c>
      <c r="Q36" s="60">
        <f>IF(CODE('Levantamento dutos'!H36)=83,((('Levantamento dutos'!B36/100)+('Levantamento dutos'!$H$12/1000))+(('Levantamento dutos'!C36/100)+('Levantamento dutos'!$H$12)/1000))*2*'Levantamento dutos'!D36,0)</f>
        <v>0</v>
      </c>
      <c r="S36" s="60">
        <f>IF(CODE('Levantamento dutos'!$I36)=83,$Q36,0)</f>
        <v>0</v>
      </c>
      <c r="T36" s="60">
        <f>IF(CODE('Levantamento dutos'!$E36)=76,ROUND((('Levantamento dutos'!$D36/5)*(Calculos!$G36+0.2)*1.2),0),0)</f>
        <v>0</v>
      </c>
      <c r="U36" s="60">
        <f>IF(CODE('Levantamento dutos'!$E36)=73,ROUND((('Levantamento dutos'!$D36/0.5)*(Calculos!$G36+0.2)*1.2),0),0)</f>
        <v>0</v>
      </c>
      <c r="V36" s="60">
        <f>IF(CODE('Levantamento dutos'!$E36)=80,ROUND((('Levantamento dutos'!$D36/0.5)*(Calculos!$G36+0.2)*1.2),0),0)</f>
        <v>0</v>
      </c>
      <c r="W36" s="60">
        <f>IF(CODE('Levantamento dutos'!$E36)=76,'Levantamento dutos'!$D36/0.5*1.5,0)</f>
        <v>0</v>
      </c>
      <c r="X36" s="60">
        <f>IF(CODE('Levantamento dutos'!$E36)=73,'Levantamento dutos'!$D36/0.5*1.5,0)</f>
        <v>0</v>
      </c>
      <c r="Y36" s="60">
        <f>IF(CODE('Levantamento dutos'!$E36)=80,'Levantamento dutos'!$D36/0.5*1.5,0)</f>
        <v>0</v>
      </c>
      <c r="Z36" s="60">
        <f>IF(CODE('Levantamento dutos'!$E36)=76,ROUND(('Levantamento dutos'!$D36)+('Levantamento dutos'!$D36*Calculos!$G36*2)*1.1,0),0)</f>
        <v>0</v>
      </c>
      <c r="AA36" s="60">
        <f>IF(CODE('Levantamento dutos'!$G36)=80,('Levantamento dutos'!$D36/'Levantamento dutos'!$G$12)*8,0)</f>
        <v>0</v>
      </c>
      <c r="AB36" s="60">
        <f>IF(CODE('Levantamento dutos'!$G36)=80,IF('Levantamento dutos'!$B36&gt;30,('Levantamento dutos'!$D36/'Levantamento dutos'!$G$12)*4,0),0)</f>
        <v>0</v>
      </c>
      <c r="AC36" s="60">
        <f>IF('Levantamento dutos'!$B36&gt;220,('Levantamento dutos'!$D36/'Levantamento dutos'!$G$12*Calculos!$G36*2),0)</f>
        <v>0</v>
      </c>
      <c r="AD36" s="60">
        <f>IF(CODE('Levantamento dutos'!$E36)=73,((('Levantamento dutos'!$E$12/1000)+0.02)*'Levantamento dutos'!$D36)*4*1.3,0)</f>
        <v>0</v>
      </c>
      <c r="AE36" s="60">
        <f>IF(CODE('Levantamento dutos'!$E36)=80,((('Levantamento dutos'!$E$12/1000)+0.02)*'Levantamento dutos'!$D36)*4*1.3,0)</f>
        <v>0</v>
      </c>
    </row>
    <row r="37" spans="2:31" x14ac:dyDescent="0.2">
      <c r="B37" s="58">
        <f>IF('Levantamento dutos'!$B37&lt;=Calculos!$Z$3,((('Levantamento dutos'!$B37)/100+('Levantamento dutos'!$C37)/100)*2)*'Levantamento dutos'!$D37,0)</f>
        <v>0</v>
      </c>
      <c r="C37">
        <f>IF('Levantamento dutos'!$B37&gt;Calculos!$Z$3,IF('Levantamento dutos'!$B37&lt;=Calculos!$Z$4,((('Levantamento dutos'!$B37)/100+('Levantamento dutos'!$C37)/100)*2)*'Levantamento dutos'!$D37,0),0)</f>
        <v>0</v>
      </c>
      <c r="D37">
        <f>IF('Levantamento dutos'!$B37&gt;Calculos!$Z$4,IF('Levantamento dutos'!$B37&lt;=Calculos!$Z$5,((('Levantamento dutos'!$B37)/100+('Levantamento dutos'!$C37)/100)*2)*'Levantamento dutos'!$D37,0),0)</f>
        <v>0</v>
      </c>
      <c r="E37">
        <f>IF('Levantamento dutos'!$B37&gt;Calculos!$Z$5,IF('Levantamento dutos'!$B37&lt;=Calculos!$Z$6,((('Levantamento dutos'!$B37)/100+('Levantamento dutos'!$C37)/100)*2)*'Levantamento dutos'!$D37,0),0)</f>
        <v>0</v>
      </c>
      <c r="F37" s="59">
        <f>IF('Levantamento dutos'!$B37&gt;Calculos!$Z$7,((('Levantamento dutos'!$B37)/100+('Levantamento dutos'!$C37)/100)*2)*'Levantamento dutos'!$D37,0)</f>
        <v>0</v>
      </c>
      <c r="G37">
        <f>(('Levantamento dutos'!B37+'Levantamento dutos'!C37)/100)*2</f>
        <v>0</v>
      </c>
      <c r="H37" s="58">
        <f>IF(CODE('Levantamento dutos'!$E37)=76,SUM($B37:$F37),0)</f>
        <v>0</v>
      </c>
      <c r="I37">
        <f>IF(CODE('Levantamento dutos'!$E37)=73,SUM($B37:$F37),0)</f>
        <v>0</v>
      </c>
      <c r="J37">
        <f>IF(CODE('Levantamento dutos'!$E37)=80,SUM($B37:$F37),0)</f>
        <v>0</v>
      </c>
      <c r="K37">
        <f>IF(CODE('Levantamento dutos'!$F37)=66,SUM($B37:$F37),0)</f>
        <v>0</v>
      </c>
      <c r="L37">
        <f>IF(CODE('Levantamento dutos'!$F37)=70,SUM($B37:$F37),0)</f>
        <v>0</v>
      </c>
      <c r="M37" s="59">
        <f>IF(CODE('Levantamento dutos'!$E37)=84,SUM($B37:$F37),0)</f>
        <v>0</v>
      </c>
      <c r="N37" s="60">
        <f>IF(CODE('Levantamento dutos'!$G37)=80,IF('Levantamento dutos'!$B37&lt;=200,('Levantamento dutos'!$D37/'Levantamento dutos'!$G$12*Calculos!$G37*2),0),0)</f>
        <v>0</v>
      </c>
      <c r="O37" s="60">
        <f>IF(CODE('Levantamento dutos'!$G37)=80,IF('Levantamento dutos'!$B37&gt;200,('Levantamento dutos'!$D37/'Levantamento dutos'!$G$12*Calculos!$G37*2),0),0)</f>
        <v>0</v>
      </c>
      <c r="P37" s="60">
        <f>IF(CODE('Levantamento dutos'!$G37)=67,('Levantamento dutos'!$D37/'Levantamento dutos'!$G$12*Calculos!$G37*2),0)</f>
        <v>0</v>
      </c>
      <c r="Q37" s="60">
        <f>IF(CODE('Levantamento dutos'!H37)=83,((('Levantamento dutos'!B37/100)+('Levantamento dutos'!$H$12/1000))+(('Levantamento dutos'!C37/100)+('Levantamento dutos'!$H$12)/1000))*2*'Levantamento dutos'!D37,0)</f>
        <v>0</v>
      </c>
      <c r="S37" s="60">
        <f>IF(CODE('Levantamento dutos'!$I37)=83,$Q37,0)</f>
        <v>0</v>
      </c>
      <c r="T37" s="60">
        <f>IF(CODE('Levantamento dutos'!$E37)=76,ROUND((('Levantamento dutos'!$D37/5)*(Calculos!$G37+0.2)*1.2),0),0)</f>
        <v>0</v>
      </c>
      <c r="U37" s="60">
        <f>IF(CODE('Levantamento dutos'!$E37)=73,ROUND((('Levantamento dutos'!$D37/0.5)*(Calculos!$G37+0.2)*1.2),0),0)</f>
        <v>0</v>
      </c>
      <c r="V37" s="60">
        <f>IF(CODE('Levantamento dutos'!$E37)=80,ROUND((('Levantamento dutos'!$D37/0.5)*(Calculos!$G37+0.2)*1.2),0),0)</f>
        <v>0</v>
      </c>
      <c r="W37" s="60">
        <f>IF(CODE('Levantamento dutos'!$E37)=76,'Levantamento dutos'!$D37/0.5*1.5,0)</f>
        <v>0</v>
      </c>
      <c r="X37" s="60">
        <f>IF(CODE('Levantamento dutos'!$E37)=73,'Levantamento dutos'!$D37/0.5*1.5,0)</f>
        <v>0</v>
      </c>
      <c r="Y37" s="60">
        <f>IF(CODE('Levantamento dutos'!$E37)=80,'Levantamento dutos'!$D37/0.5*1.5,0)</f>
        <v>0</v>
      </c>
      <c r="Z37" s="60">
        <f>IF(CODE('Levantamento dutos'!$E37)=76,ROUND(('Levantamento dutos'!$D37)+('Levantamento dutos'!$D37*Calculos!$G37*2)*1.1,0),0)</f>
        <v>0</v>
      </c>
      <c r="AA37" s="60">
        <f>IF(CODE('Levantamento dutos'!$G37)=80,('Levantamento dutos'!$D37/'Levantamento dutos'!$G$12)*8,0)</f>
        <v>0</v>
      </c>
      <c r="AB37" s="60">
        <f>IF(CODE('Levantamento dutos'!$G37)=80,IF('Levantamento dutos'!$B37&gt;30,('Levantamento dutos'!$D37/'Levantamento dutos'!$G$12)*4,0),0)</f>
        <v>0</v>
      </c>
      <c r="AC37" s="60">
        <f>IF('Levantamento dutos'!$B37&gt;220,('Levantamento dutos'!$D37/'Levantamento dutos'!$G$12*Calculos!$G37*2),0)</f>
        <v>0</v>
      </c>
      <c r="AD37" s="60">
        <f>IF(CODE('Levantamento dutos'!$E37)=73,((('Levantamento dutos'!$E$12/1000)+0.02)*'Levantamento dutos'!$D37)*4*1.3,0)</f>
        <v>0</v>
      </c>
      <c r="AE37" s="60">
        <f>IF(CODE('Levantamento dutos'!$E37)=80,((('Levantamento dutos'!$E$12/1000)+0.02)*'Levantamento dutos'!$D37)*4*1.3,0)</f>
        <v>0</v>
      </c>
    </row>
    <row r="38" spans="2:31" x14ac:dyDescent="0.2">
      <c r="B38" s="58">
        <f>IF('Levantamento dutos'!$B38&lt;=Calculos!$Z$3,((('Levantamento dutos'!$B38)/100+('Levantamento dutos'!$C38)/100)*2)*'Levantamento dutos'!$D38,0)</f>
        <v>0</v>
      </c>
      <c r="C38">
        <f>IF('Levantamento dutos'!$B38&gt;Calculos!$Z$3,IF('Levantamento dutos'!$B38&lt;=Calculos!$Z$4,((('Levantamento dutos'!$B38)/100+('Levantamento dutos'!$C38)/100)*2)*'Levantamento dutos'!$D38,0),0)</f>
        <v>0</v>
      </c>
      <c r="D38">
        <f>IF('Levantamento dutos'!$B38&gt;Calculos!$Z$4,IF('Levantamento dutos'!$B38&lt;=Calculos!$Z$5,((('Levantamento dutos'!$B38)/100+('Levantamento dutos'!$C38)/100)*2)*'Levantamento dutos'!$D38,0),0)</f>
        <v>0</v>
      </c>
      <c r="E38">
        <f>IF('Levantamento dutos'!$B38&gt;Calculos!$Z$5,IF('Levantamento dutos'!$B38&lt;=Calculos!$Z$6,((('Levantamento dutos'!$B38)/100+('Levantamento dutos'!$C38)/100)*2)*'Levantamento dutos'!$D38,0),0)</f>
        <v>0</v>
      </c>
      <c r="F38" s="59">
        <f>IF('Levantamento dutos'!$B38&gt;Calculos!$Z$7,((('Levantamento dutos'!$B38)/100+('Levantamento dutos'!$C38)/100)*2)*'Levantamento dutos'!$D38,0)</f>
        <v>0</v>
      </c>
      <c r="G38">
        <f>(('Levantamento dutos'!B38+'Levantamento dutos'!C38)/100)*2</f>
        <v>0</v>
      </c>
      <c r="H38" s="58">
        <f>IF(CODE('Levantamento dutos'!$E38)=76,SUM($B38:$F38),0)</f>
        <v>0</v>
      </c>
      <c r="I38">
        <f>IF(CODE('Levantamento dutos'!$E38)=73,SUM($B38:$F38),0)</f>
        <v>0</v>
      </c>
      <c r="J38">
        <f>IF(CODE('Levantamento dutos'!$E38)=80,SUM($B38:$F38),0)</f>
        <v>0</v>
      </c>
      <c r="K38">
        <f>IF(CODE('Levantamento dutos'!$F38)=66,SUM($B38:$F38),0)</f>
        <v>0</v>
      </c>
      <c r="L38">
        <f>IF(CODE('Levantamento dutos'!$F38)=70,SUM($B38:$F38),0)</f>
        <v>0</v>
      </c>
      <c r="M38" s="59">
        <f>IF(CODE('Levantamento dutos'!$E38)=84,SUM($B38:$F38),0)</f>
        <v>0</v>
      </c>
      <c r="N38" s="60">
        <f>IF(CODE('Levantamento dutos'!$G38)=80,IF('Levantamento dutos'!$B38&lt;=200,('Levantamento dutos'!$D38/'Levantamento dutos'!$G$12*Calculos!$G38*2),0),0)</f>
        <v>0</v>
      </c>
      <c r="O38" s="60">
        <f>IF(CODE('Levantamento dutos'!$G38)=80,IF('Levantamento dutos'!$B38&gt;200,('Levantamento dutos'!$D38/'Levantamento dutos'!$G$12*Calculos!$G38*2),0),0)</f>
        <v>0</v>
      </c>
      <c r="P38" s="60">
        <f>IF(CODE('Levantamento dutos'!$G38)=67,('Levantamento dutos'!$D38/'Levantamento dutos'!$G$12*Calculos!$G38*2),0)</f>
        <v>0</v>
      </c>
      <c r="Q38" s="60">
        <f>IF(CODE('Levantamento dutos'!H38)=83,((('Levantamento dutos'!B38/100)+('Levantamento dutos'!$H$12/1000))+(('Levantamento dutos'!C38/100)+('Levantamento dutos'!$H$12)/1000))*2*'Levantamento dutos'!D38,0)</f>
        <v>0</v>
      </c>
      <c r="S38" s="60">
        <f>IF(CODE('Levantamento dutos'!$I38)=83,$Q38,0)</f>
        <v>0</v>
      </c>
      <c r="T38" s="60">
        <f>IF(CODE('Levantamento dutos'!$E38)=76,ROUND((('Levantamento dutos'!$D38/5)*(Calculos!$G38+0.2)*1.2),0),0)</f>
        <v>0</v>
      </c>
      <c r="U38" s="60">
        <f>IF(CODE('Levantamento dutos'!$E38)=73,ROUND((('Levantamento dutos'!$D38/0.5)*(Calculos!$G38+0.2)*1.2),0),0)</f>
        <v>0</v>
      </c>
      <c r="V38" s="60">
        <f>IF(CODE('Levantamento dutos'!$E38)=80,ROUND((('Levantamento dutos'!$D38/0.5)*(Calculos!$G38+0.2)*1.2),0),0)</f>
        <v>0</v>
      </c>
      <c r="W38" s="60">
        <f>IF(CODE('Levantamento dutos'!$E38)=76,'Levantamento dutos'!$D38/0.5*1.5,0)</f>
        <v>0</v>
      </c>
      <c r="X38" s="60">
        <f>IF(CODE('Levantamento dutos'!$E38)=73,'Levantamento dutos'!$D38/0.5*1.5,0)</f>
        <v>0</v>
      </c>
      <c r="Y38" s="60">
        <f>IF(CODE('Levantamento dutos'!$E38)=80,'Levantamento dutos'!$D38/0.5*1.5,0)</f>
        <v>0</v>
      </c>
      <c r="Z38" s="60">
        <f>IF(CODE('Levantamento dutos'!$E38)=76,ROUND(('Levantamento dutos'!$D38)+('Levantamento dutos'!$D38*Calculos!$G38*2)*1.1,0),0)</f>
        <v>0</v>
      </c>
      <c r="AA38" s="60">
        <f>IF(CODE('Levantamento dutos'!$G38)=80,('Levantamento dutos'!$D38/'Levantamento dutos'!$G$12)*8,0)</f>
        <v>0</v>
      </c>
      <c r="AB38" s="60">
        <f>IF(CODE('Levantamento dutos'!$G38)=80,IF('Levantamento dutos'!$B38&gt;30,('Levantamento dutos'!$D38/'Levantamento dutos'!$G$12)*4,0),0)</f>
        <v>0</v>
      </c>
      <c r="AC38" s="60">
        <f>IF('Levantamento dutos'!$B38&gt;220,('Levantamento dutos'!$D38/'Levantamento dutos'!$G$12*Calculos!$G38*2),0)</f>
        <v>0</v>
      </c>
      <c r="AD38" s="60">
        <f>IF(CODE('Levantamento dutos'!$E38)=73,((('Levantamento dutos'!$E$12/1000)+0.02)*'Levantamento dutos'!$D38)*4*1.3,0)</f>
        <v>0</v>
      </c>
      <c r="AE38" s="60">
        <f>IF(CODE('Levantamento dutos'!$E38)=80,((('Levantamento dutos'!$E$12/1000)+0.02)*'Levantamento dutos'!$D38)*4*1.3,0)</f>
        <v>0</v>
      </c>
    </row>
    <row r="39" spans="2:31" x14ac:dyDescent="0.2">
      <c r="B39" s="58">
        <f>IF('Levantamento dutos'!$B39&lt;=Calculos!$Z$3,((('Levantamento dutos'!$B39)/100+('Levantamento dutos'!$C39)/100)*2)*'Levantamento dutos'!$D39,0)</f>
        <v>0</v>
      </c>
      <c r="C39">
        <f>IF('Levantamento dutos'!$B39&gt;Calculos!$Z$3,IF('Levantamento dutos'!$B39&lt;=Calculos!$Z$4,((('Levantamento dutos'!$B39)/100+('Levantamento dutos'!$C39)/100)*2)*'Levantamento dutos'!$D39,0),0)</f>
        <v>0</v>
      </c>
      <c r="D39">
        <f>IF('Levantamento dutos'!$B39&gt;Calculos!$Z$4,IF('Levantamento dutos'!$B39&lt;=Calculos!$Z$5,((('Levantamento dutos'!$B39)/100+('Levantamento dutos'!$C39)/100)*2)*'Levantamento dutos'!$D39,0),0)</f>
        <v>0</v>
      </c>
      <c r="E39">
        <f>IF('Levantamento dutos'!$B39&gt;Calculos!$Z$5,IF('Levantamento dutos'!$B39&lt;=Calculos!$Z$6,((('Levantamento dutos'!$B39)/100+('Levantamento dutos'!$C39)/100)*2)*'Levantamento dutos'!$D39,0),0)</f>
        <v>0</v>
      </c>
      <c r="F39" s="59">
        <f>IF('Levantamento dutos'!$B39&gt;Calculos!$Z$7,((('Levantamento dutos'!$B39)/100+('Levantamento dutos'!$C39)/100)*2)*'Levantamento dutos'!$D39,0)</f>
        <v>0</v>
      </c>
      <c r="G39">
        <f>(('Levantamento dutos'!B39+'Levantamento dutos'!C39)/100)*2</f>
        <v>0</v>
      </c>
      <c r="H39" s="58">
        <f>IF(CODE('Levantamento dutos'!$E39)=76,SUM($B39:$F39),0)</f>
        <v>0</v>
      </c>
      <c r="I39">
        <f>IF(CODE('Levantamento dutos'!$E39)=73,SUM($B39:$F39),0)</f>
        <v>0</v>
      </c>
      <c r="J39">
        <f>IF(CODE('Levantamento dutos'!$E39)=80,SUM($B39:$F39),0)</f>
        <v>0</v>
      </c>
      <c r="K39">
        <f>IF(CODE('Levantamento dutos'!$F39)=66,SUM($B39:$F39),0)</f>
        <v>0</v>
      </c>
      <c r="L39">
        <f>IF(CODE('Levantamento dutos'!$F39)=70,SUM($B39:$F39),0)</f>
        <v>0</v>
      </c>
      <c r="M39" s="59">
        <f>IF(CODE('Levantamento dutos'!$E39)=84,SUM($B39:$F39),0)</f>
        <v>0</v>
      </c>
      <c r="N39" s="60">
        <f>IF(CODE('Levantamento dutos'!$G39)=80,IF('Levantamento dutos'!$B39&lt;=200,('Levantamento dutos'!$D39/'Levantamento dutos'!$G$12*Calculos!$G39*2),0),0)</f>
        <v>0</v>
      </c>
      <c r="O39" s="60">
        <f>IF(CODE('Levantamento dutos'!$G39)=80,IF('Levantamento dutos'!$B39&gt;200,('Levantamento dutos'!$D39/'Levantamento dutos'!$G$12*Calculos!$G39*2),0),0)</f>
        <v>0</v>
      </c>
      <c r="P39" s="60">
        <f>IF(CODE('Levantamento dutos'!$G39)=67,('Levantamento dutos'!$D39/'Levantamento dutos'!$G$12*Calculos!$G39*2),0)</f>
        <v>0</v>
      </c>
      <c r="Q39" s="60">
        <f>IF(CODE('Levantamento dutos'!H39)=83,((('Levantamento dutos'!B39/100)+('Levantamento dutos'!$H$12/1000))+(('Levantamento dutos'!C39/100)+('Levantamento dutos'!$H$12)/1000))*2*'Levantamento dutos'!D39,0)</f>
        <v>0</v>
      </c>
      <c r="S39" s="60">
        <f>IF(CODE('Levantamento dutos'!$I39)=83,$Q39,0)</f>
        <v>0</v>
      </c>
      <c r="T39" s="60">
        <f>IF(CODE('Levantamento dutos'!$E39)=76,ROUND((('Levantamento dutos'!$D39/5)*(Calculos!$G39+0.2)*1.2),0),0)</f>
        <v>0</v>
      </c>
      <c r="U39" s="60">
        <f>IF(CODE('Levantamento dutos'!$E39)=73,ROUND((('Levantamento dutos'!$D39/0.5)*(Calculos!$G39+0.2)*1.2),0),0)</f>
        <v>0</v>
      </c>
      <c r="V39" s="60">
        <f>IF(CODE('Levantamento dutos'!$E39)=80,ROUND((('Levantamento dutos'!$D39/0.5)*(Calculos!$G39+0.2)*1.2),0),0)</f>
        <v>0</v>
      </c>
      <c r="W39" s="60">
        <f>IF(CODE('Levantamento dutos'!$E39)=76,'Levantamento dutos'!$D39/0.5*1.5,0)</f>
        <v>0</v>
      </c>
      <c r="X39" s="60">
        <f>IF(CODE('Levantamento dutos'!$E39)=73,'Levantamento dutos'!$D39/0.5*1.5,0)</f>
        <v>0</v>
      </c>
      <c r="Y39" s="60">
        <f>IF(CODE('Levantamento dutos'!$E39)=80,'Levantamento dutos'!$D39/0.5*1.5,0)</f>
        <v>0</v>
      </c>
      <c r="Z39" s="60">
        <f>IF(CODE('Levantamento dutos'!$E39)=76,ROUND(('Levantamento dutos'!$D39)+('Levantamento dutos'!$D39*Calculos!$G39*2)*1.1,0),0)</f>
        <v>0</v>
      </c>
      <c r="AA39" s="60">
        <f>IF(CODE('Levantamento dutos'!$G39)=80,('Levantamento dutos'!$D39/'Levantamento dutos'!$G$12)*8,0)</f>
        <v>0</v>
      </c>
      <c r="AB39" s="60">
        <f>IF(CODE('Levantamento dutos'!$G39)=80,IF('Levantamento dutos'!$B39&gt;30,('Levantamento dutos'!$D39/'Levantamento dutos'!$G$12)*4,0),0)</f>
        <v>0</v>
      </c>
      <c r="AC39" s="60">
        <f>IF('Levantamento dutos'!$B39&gt;220,('Levantamento dutos'!$D39/'Levantamento dutos'!$G$12*Calculos!$G39*2),0)</f>
        <v>0</v>
      </c>
      <c r="AD39" s="60">
        <f>IF(CODE('Levantamento dutos'!$E39)=73,((('Levantamento dutos'!$E$12/1000)+0.02)*'Levantamento dutos'!$D39)*4*1.3,0)</f>
        <v>0</v>
      </c>
      <c r="AE39" s="60">
        <f>IF(CODE('Levantamento dutos'!$E39)=80,((('Levantamento dutos'!$E$12/1000)+0.02)*'Levantamento dutos'!$D39)*4*1.3,0)</f>
        <v>0</v>
      </c>
    </row>
    <row r="40" spans="2:31" x14ac:dyDescent="0.2">
      <c r="B40" s="58">
        <f>IF('Levantamento dutos'!$B40&lt;=Calculos!$Z$3,((('Levantamento dutos'!$B40)/100+('Levantamento dutos'!$C40)/100)*2)*'Levantamento dutos'!$D40,0)</f>
        <v>0</v>
      </c>
      <c r="C40">
        <f>IF('Levantamento dutos'!$B40&gt;Calculos!$Z$3,IF('Levantamento dutos'!$B40&lt;=Calculos!$Z$4,((('Levantamento dutos'!$B40)/100+('Levantamento dutos'!$C40)/100)*2)*'Levantamento dutos'!$D40,0),0)</f>
        <v>0</v>
      </c>
      <c r="D40">
        <f>IF('Levantamento dutos'!$B40&gt;Calculos!$Z$4,IF('Levantamento dutos'!$B40&lt;=Calculos!$Z$5,((('Levantamento dutos'!$B40)/100+('Levantamento dutos'!$C40)/100)*2)*'Levantamento dutos'!$D40,0),0)</f>
        <v>0</v>
      </c>
      <c r="E40">
        <f>IF('Levantamento dutos'!$B40&gt;Calculos!$Z$5,IF('Levantamento dutos'!$B40&lt;=Calculos!$Z$6,((('Levantamento dutos'!$B40)/100+('Levantamento dutos'!$C40)/100)*2)*'Levantamento dutos'!$D40,0),0)</f>
        <v>0</v>
      </c>
      <c r="F40" s="59">
        <f>IF('Levantamento dutos'!$B40&gt;Calculos!$Z$7,((('Levantamento dutos'!$B40)/100+('Levantamento dutos'!$C40)/100)*2)*'Levantamento dutos'!$D40,0)</f>
        <v>0</v>
      </c>
      <c r="G40">
        <f>(('Levantamento dutos'!B40+'Levantamento dutos'!C40)/100)*2</f>
        <v>0</v>
      </c>
      <c r="H40" s="58">
        <f>IF(CODE('Levantamento dutos'!$E40)=76,SUM($B40:$F40),0)</f>
        <v>0</v>
      </c>
      <c r="I40">
        <f>IF(CODE('Levantamento dutos'!$E40)=73,SUM($B40:$F40),0)</f>
        <v>0</v>
      </c>
      <c r="J40">
        <f>IF(CODE('Levantamento dutos'!$E40)=80,SUM($B40:$F40),0)</f>
        <v>0</v>
      </c>
      <c r="K40">
        <f>IF(CODE('Levantamento dutos'!$F40)=66,SUM($B40:$F40),0)</f>
        <v>0</v>
      </c>
      <c r="L40">
        <f>IF(CODE('Levantamento dutos'!$F40)=70,SUM($B40:$F40),0)</f>
        <v>0</v>
      </c>
      <c r="M40" s="59">
        <f>IF(CODE('Levantamento dutos'!$E40)=84,SUM($B40:$F40),0)</f>
        <v>0</v>
      </c>
      <c r="N40" s="60">
        <f>IF(CODE('Levantamento dutos'!$G40)=80,IF('Levantamento dutos'!$B40&lt;=200,('Levantamento dutos'!$D40/'Levantamento dutos'!$G$12*Calculos!$G40*2),0),0)</f>
        <v>0</v>
      </c>
      <c r="O40" s="60">
        <f>IF(CODE('Levantamento dutos'!$G40)=80,IF('Levantamento dutos'!$B40&gt;200,('Levantamento dutos'!$D40/'Levantamento dutos'!$G$12*Calculos!$G40*2),0),0)</f>
        <v>0</v>
      </c>
      <c r="P40" s="60">
        <f>IF(CODE('Levantamento dutos'!$G40)=67,('Levantamento dutos'!$D40/'Levantamento dutos'!$G$12*Calculos!$G40*2),0)</f>
        <v>0</v>
      </c>
      <c r="Q40" s="60">
        <f>IF(CODE('Levantamento dutos'!H40)=83,((('Levantamento dutos'!B40/100)+('Levantamento dutos'!$H$12/1000))+(('Levantamento dutos'!C40/100)+('Levantamento dutos'!$H$12)/1000))*2*'Levantamento dutos'!D40,0)</f>
        <v>0</v>
      </c>
      <c r="S40" s="60">
        <f>IF(CODE('Levantamento dutos'!$I40)=83,$Q40,0)</f>
        <v>0</v>
      </c>
      <c r="T40" s="60">
        <f>IF(CODE('Levantamento dutos'!$E40)=76,ROUND((('Levantamento dutos'!$D40/5)*(Calculos!$G40+0.2)*1.2),0),0)</f>
        <v>0</v>
      </c>
      <c r="U40" s="60">
        <f>IF(CODE('Levantamento dutos'!$E40)=73,ROUND((('Levantamento dutos'!$D40/0.5)*(Calculos!$G40+0.2)*1.2),0),0)</f>
        <v>0</v>
      </c>
      <c r="V40" s="60">
        <f>IF(CODE('Levantamento dutos'!$E40)=80,ROUND((('Levantamento dutos'!$D40/0.5)*(Calculos!$G40+0.2)*1.2),0),0)</f>
        <v>0</v>
      </c>
      <c r="W40" s="60">
        <f>IF(CODE('Levantamento dutos'!$E40)=76,'Levantamento dutos'!$D40/0.5*1.5,0)</f>
        <v>0</v>
      </c>
      <c r="X40" s="60">
        <f>IF(CODE('Levantamento dutos'!$E40)=73,'Levantamento dutos'!$D40/0.5*1.5,0)</f>
        <v>0</v>
      </c>
      <c r="Y40" s="60">
        <f>IF(CODE('Levantamento dutos'!$E40)=80,'Levantamento dutos'!$D40/0.5*1.5,0)</f>
        <v>0</v>
      </c>
      <c r="Z40" s="60">
        <f>IF(CODE('Levantamento dutos'!$E40)=76,ROUND(('Levantamento dutos'!$D40)+('Levantamento dutos'!$D40*Calculos!$G40*2)*1.1,0),0)</f>
        <v>0</v>
      </c>
      <c r="AA40" s="60">
        <f>IF(CODE('Levantamento dutos'!$G40)=80,('Levantamento dutos'!$D40/'Levantamento dutos'!$G$12)*8,0)</f>
        <v>0</v>
      </c>
      <c r="AB40" s="60">
        <f>IF(CODE('Levantamento dutos'!$G40)=80,IF('Levantamento dutos'!$B40&gt;30,('Levantamento dutos'!$D40/'Levantamento dutos'!$G$12)*4,0),0)</f>
        <v>0</v>
      </c>
      <c r="AC40" s="60">
        <f>IF('Levantamento dutos'!$B40&gt;220,('Levantamento dutos'!$D40/'Levantamento dutos'!$G$12*Calculos!$G40*2),0)</f>
        <v>0</v>
      </c>
      <c r="AD40" s="60">
        <f>IF(CODE('Levantamento dutos'!$E40)=73,((('Levantamento dutos'!$E$12/1000)+0.02)*'Levantamento dutos'!$D40)*4*1.3,0)</f>
        <v>0</v>
      </c>
      <c r="AE40" s="60">
        <f>IF(CODE('Levantamento dutos'!$E40)=80,((('Levantamento dutos'!$E$12/1000)+0.02)*'Levantamento dutos'!$D40)*4*1.3,0)</f>
        <v>0</v>
      </c>
    </row>
    <row r="41" spans="2:31" x14ac:dyDescent="0.2">
      <c r="B41" s="58">
        <f>IF('Levantamento dutos'!$B41&lt;=Calculos!$Z$3,((('Levantamento dutos'!$B41)/100+('Levantamento dutos'!$C41)/100)*2)*'Levantamento dutos'!$D41,0)</f>
        <v>0</v>
      </c>
      <c r="C41">
        <f>IF('Levantamento dutos'!$B41&gt;Calculos!$Z$3,IF('Levantamento dutos'!$B41&lt;=Calculos!$Z$4,((('Levantamento dutos'!$B41)/100+('Levantamento dutos'!$C41)/100)*2)*'Levantamento dutos'!$D41,0),0)</f>
        <v>0</v>
      </c>
      <c r="D41">
        <f>IF('Levantamento dutos'!$B41&gt;Calculos!$Z$4,IF('Levantamento dutos'!$B41&lt;=Calculos!$Z$5,((('Levantamento dutos'!$B41)/100+('Levantamento dutos'!$C41)/100)*2)*'Levantamento dutos'!$D41,0),0)</f>
        <v>0</v>
      </c>
      <c r="E41">
        <f>IF('Levantamento dutos'!$B41&gt;Calculos!$Z$5,IF('Levantamento dutos'!$B41&lt;=Calculos!$Z$6,((('Levantamento dutos'!$B41)/100+('Levantamento dutos'!$C41)/100)*2)*'Levantamento dutos'!$D41,0),0)</f>
        <v>0</v>
      </c>
      <c r="F41" s="59">
        <f>IF('Levantamento dutos'!$B41&gt;Calculos!$Z$7,((('Levantamento dutos'!$B41)/100+('Levantamento dutos'!$C41)/100)*2)*'Levantamento dutos'!$D41,0)</f>
        <v>0</v>
      </c>
      <c r="G41">
        <f>(('Levantamento dutos'!B41+'Levantamento dutos'!C41)/100)*2</f>
        <v>0</v>
      </c>
      <c r="H41" s="58">
        <f>IF(CODE('Levantamento dutos'!$E41)=76,SUM($B41:$F41),0)</f>
        <v>0</v>
      </c>
      <c r="I41">
        <f>IF(CODE('Levantamento dutos'!$E41)=73,SUM($B41:$F41),0)</f>
        <v>0</v>
      </c>
      <c r="J41">
        <f>IF(CODE('Levantamento dutos'!$E41)=80,SUM($B41:$F41),0)</f>
        <v>0</v>
      </c>
      <c r="K41">
        <f>IF(CODE('Levantamento dutos'!$F41)=66,SUM($B41:$F41),0)</f>
        <v>0</v>
      </c>
      <c r="L41">
        <f>IF(CODE('Levantamento dutos'!$F41)=70,SUM($B41:$F41),0)</f>
        <v>0</v>
      </c>
      <c r="M41" s="59">
        <f>IF(CODE('Levantamento dutos'!$E41)=84,SUM($B41:$F41),0)</f>
        <v>0</v>
      </c>
      <c r="N41" s="60">
        <f>IF(CODE('Levantamento dutos'!$G41)=80,IF('Levantamento dutos'!$B41&lt;=200,('Levantamento dutos'!$D41/'Levantamento dutos'!$G$12*Calculos!$G41*2),0),0)</f>
        <v>0</v>
      </c>
      <c r="O41" s="60">
        <f>IF(CODE('Levantamento dutos'!$G41)=80,IF('Levantamento dutos'!$B41&gt;200,('Levantamento dutos'!$D41/'Levantamento dutos'!$G$12*Calculos!$G41*2),0),0)</f>
        <v>0</v>
      </c>
      <c r="P41" s="60">
        <f>IF(CODE('Levantamento dutos'!$G41)=67,('Levantamento dutos'!$D41/'Levantamento dutos'!$G$12*Calculos!$G41*2),0)</f>
        <v>0</v>
      </c>
      <c r="Q41" s="60">
        <f>IF(CODE('Levantamento dutos'!H41)=83,((('Levantamento dutos'!B41/100)+('Levantamento dutos'!$H$12/1000))+(('Levantamento dutos'!C41/100)+('Levantamento dutos'!$H$12)/1000))*2*'Levantamento dutos'!D41,0)</f>
        <v>0</v>
      </c>
      <c r="S41" s="60">
        <f>IF(CODE('Levantamento dutos'!$I41)=83,$Q41,0)</f>
        <v>0</v>
      </c>
      <c r="T41" s="60">
        <f>IF(CODE('Levantamento dutos'!$E41)=76,ROUND((('Levantamento dutos'!$D41/5)*(Calculos!$G41+0.2)*1.2),0),0)</f>
        <v>0</v>
      </c>
      <c r="U41" s="60">
        <f>IF(CODE('Levantamento dutos'!$E41)=73,ROUND((('Levantamento dutos'!$D41/0.5)*(Calculos!$G41+0.2)*1.2),0),0)</f>
        <v>0</v>
      </c>
      <c r="V41" s="60">
        <f>IF(CODE('Levantamento dutos'!$E41)=80,ROUND((('Levantamento dutos'!$D41/0.5)*(Calculos!$G41+0.2)*1.2),0),0)</f>
        <v>0</v>
      </c>
      <c r="W41" s="60">
        <f>IF(CODE('Levantamento dutos'!$E41)=76,'Levantamento dutos'!$D41/0.5*1.5,0)</f>
        <v>0</v>
      </c>
      <c r="X41" s="60">
        <f>IF(CODE('Levantamento dutos'!$E41)=73,'Levantamento dutos'!$D41/0.5*1.5,0)</f>
        <v>0</v>
      </c>
      <c r="Y41" s="60">
        <f>IF(CODE('Levantamento dutos'!$E41)=80,'Levantamento dutos'!$D41/0.5*1.5,0)</f>
        <v>0</v>
      </c>
      <c r="Z41" s="60">
        <f>IF(CODE('Levantamento dutos'!$E41)=76,ROUND(('Levantamento dutos'!$D41)+('Levantamento dutos'!$D41*Calculos!$G41*2)*1.1,0),0)</f>
        <v>0</v>
      </c>
      <c r="AA41" s="60">
        <f>IF(CODE('Levantamento dutos'!$G41)=80,('Levantamento dutos'!$D41/'Levantamento dutos'!$G$12)*8,0)</f>
        <v>0</v>
      </c>
      <c r="AB41" s="60">
        <f>IF(CODE('Levantamento dutos'!$G41)=80,IF('Levantamento dutos'!$B41&gt;30,('Levantamento dutos'!$D41/'Levantamento dutos'!$G$12)*4,0),0)</f>
        <v>0</v>
      </c>
      <c r="AC41" s="60">
        <f>IF('Levantamento dutos'!$B41&gt;220,('Levantamento dutos'!$D41/'Levantamento dutos'!$G$12*Calculos!$G41*2),0)</f>
        <v>0</v>
      </c>
      <c r="AD41" s="60">
        <f>IF(CODE('Levantamento dutos'!$E41)=73,((('Levantamento dutos'!$E$12/1000)+0.02)*'Levantamento dutos'!$D41)*4*1.3,0)</f>
        <v>0</v>
      </c>
      <c r="AE41" s="60">
        <f>IF(CODE('Levantamento dutos'!$E41)=80,((('Levantamento dutos'!$E$12/1000)+0.02)*'Levantamento dutos'!$D41)*4*1.3,0)</f>
        <v>0</v>
      </c>
    </row>
    <row r="42" spans="2:31" x14ac:dyDescent="0.2">
      <c r="B42" s="58">
        <f>IF('Levantamento dutos'!$B42&lt;=Calculos!$Z$3,((('Levantamento dutos'!$B42)/100+('Levantamento dutos'!$C42)/100)*2)*'Levantamento dutos'!$D42,0)</f>
        <v>0</v>
      </c>
      <c r="C42">
        <f>IF('Levantamento dutos'!$B42&gt;Calculos!$Z$3,IF('Levantamento dutos'!$B42&lt;=Calculos!$Z$4,((('Levantamento dutos'!$B42)/100+('Levantamento dutos'!$C42)/100)*2)*'Levantamento dutos'!$D42,0),0)</f>
        <v>0</v>
      </c>
      <c r="D42">
        <f>IF('Levantamento dutos'!$B42&gt;Calculos!$Z$4,IF('Levantamento dutos'!$B42&lt;=Calculos!$Z$5,((('Levantamento dutos'!$B42)/100+('Levantamento dutos'!$C42)/100)*2)*'Levantamento dutos'!$D42,0),0)</f>
        <v>0</v>
      </c>
      <c r="E42">
        <f>IF('Levantamento dutos'!$B42&gt;Calculos!$Z$5,IF('Levantamento dutos'!$B42&lt;=Calculos!$Z$6,((('Levantamento dutos'!$B42)/100+('Levantamento dutos'!$C42)/100)*2)*'Levantamento dutos'!$D42,0),0)</f>
        <v>0</v>
      </c>
      <c r="F42" s="59">
        <f>IF('Levantamento dutos'!$B42&gt;Calculos!$Z$7,((('Levantamento dutos'!$B42)/100+('Levantamento dutos'!$C42)/100)*2)*'Levantamento dutos'!$D42,0)</f>
        <v>0</v>
      </c>
      <c r="G42">
        <f>(('Levantamento dutos'!B42+'Levantamento dutos'!C42)/100)*2</f>
        <v>0</v>
      </c>
      <c r="H42" s="58">
        <f>IF(CODE('Levantamento dutos'!$E42)=76,SUM($B42:$F42),0)</f>
        <v>0</v>
      </c>
      <c r="I42">
        <f>IF(CODE('Levantamento dutos'!$E42)=73,SUM($B42:$F42),0)</f>
        <v>0</v>
      </c>
      <c r="J42">
        <f>IF(CODE('Levantamento dutos'!$E42)=80,SUM($B42:$F42),0)</f>
        <v>0</v>
      </c>
      <c r="K42">
        <f>IF(CODE('Levantamento dutos'!$F42)=66,SUM($B42:$F42),0)</f>
        <v>0</v>
      </c>
      <c r="L42">
        <f>IF(CODE('Levantamento dutos'!$F42)=70,SUM($B42:$F42),0)</f>
        <v>0</v>
      </c>
      <c r="M42" s="59">
        <f>IF(CODE('Levantamento dutos'!$E42)=84,SUM($B42:$F42),0)</f>
        <v>0</v>
      </c>
      <c r="N42" s="60">
        <f>IF(CODE('Levantamento dutos'!$G42)=80,IF('Levantamento dutos'!$B42&lt;=200,('Levantamento dutos'!$D42/'Levantamento dutos'!$G$12*Calculos!$G42*2),0),0)</f>
        <v>0</v>
      </c>
      <c r="O42" s="60">
        <f>IF(CODE('Levantamento dutos'!$G42)=80,IF('Levantamento dutos'!$B42&gt;200,('Levantamento dutos'!$D42/'Levantamento dutos'!$G$12*Calculos!$G42*2),0),0)</f>
        <v>0</v>
      </c>
      <c r="P42" s="60">
        <f>IF(CODE('Levantamento dutos'!$G42)=67,('Levantamento dutos'!$D42/'Levantamento dutos'!$G$12*Calculos!$G42*2),0)</f>
        <v>0</v>
      </c>
      <c r="Q42" s="60">
        <f>IF(CODE('Levantamento dutos'!H42)=83,((('Levantamento dutos'!B42/100)+('Levantamento dutos'!$H$12/1000))+(('Levantamento dutos'!C42/100)+('Levantamento dutos'!$H$12)/1000))*2*'Levantamento dutos'!D42,0)</f>
        <v>0</v>
      </c>
      <c r="S42" s="60">
        <f>IF(CODE('Levantamento dutos'!$I42)=83,$Q42,0)</f>
        <v>0</v>
      </c>
      <c r="T42" s="60">
        <f>IF(CODE('Levantamento dutos'!$E42)=76,ROUND((('Levantamento dutos'!$D42/5)*(Calculos!$G42+0.2)*1.2),0),0)</f>
        <v>0</v>
      </c>
      <c r="U42" s="60">
        <f>IF(CODE('Levantamento dutos'!$E42)=73,ROUND((('Levantamento dutos'!$D42/0.5)*(Calculos!$G42+0.2)*1.2),0),0)</f>
        <v>0</v>
      </c>
      <c r="V42" s="60">
        <f>IF(CODE('Levantamento dutos'!$E42)=80,ROUND((('Levantamento dutos'!$D42/0.5)*(Calculos!$G42+0.2)*1.2),0),0)</f>
        <v>0</v>
      </c>
      <c r="W42" s="60">
        <f>IF(CODE('Levantamento dutos'!$E42)=76,'Levantamento dutos'!$D42/0.5*1.5,0)</f>
        <v>0</v>
      </c>
      <c r="X42" s="60">
        <f>IF(CODE('Levantamento dutos'!$E42)=73,'Levantamento dutos'!$D42/0.5*1.5,0)</f>
        <v>0</v>
      </c>
      <c r="Y42" s="60">
        <f>IF(CODE('Levantamento dutos'!$E42)=80,'Levantamento dutos'!$D42/0.5*1.5,0)</f>
        <v>0</v>
      </c>
      <c r="Z42" s="60">
        <f>IF(CODE('Levantamento dutos'!$E42)=76,ROUND(('Levantamento dutos'!$D42)+('Levantamento dutos'!$D42*Calculos!$G42*2)*1.1,0),0)</f>
        <v>0</v>
      </c>
      <c r="AA42" s="60">
        <f>IF(CODE('Levantamento dutos'!$G42)=80,('Levantamento dutos'!$D42/'Levantamento dutos'!$G$12)*8,0)</f>
        <v>0</v>
      </c>
      <c r="AB42" s="60">
        <f>IF(CODE('Levantamento dutos'!$G42)=80,IF('Levantamento dutos'!$B42&gt;30,('Levantamento dutos'!$D42/'Levantamento dutos'!$G$12)*4,0),0)</f>
        <v>0</v>
      </c>
      <c r="AC42" s="60">
        <f>IF('Levantamento dutos'!$B42&gt;220,('Levantamento dutos'!$D42/'Levantamento dutos'!$G$12*Calculos!$G42*2),0)</f>
        <v>0</v>
      </c>
      <c r="AD42" s="60">
        <f>IF(CODE('Levantamento dutos'!$E42)=73,((('Levantamento dutos'!$E$12/1000)+0.02)*'Levantamento dutos'!$D42)*4*1.3,0)</f>
        <v>0</v>
      </c>
      <c r="AE42" s="60">
        <f>IF(CODE('Levantamento dutos'!$E42)=80,((('Levantamento dutos'!$E$12/1000)+0.02)*'Levantamento dutos'!$D42)*4*1.3,0)</f>
        <v>0</v>
      </c>
    </row>
    <row r="43" spans="2:31" x14ac:dyDescent="0.2">
      <c r="B43" s="58">
        <f>IF('Levantamento dutos'!$B43&lt;=Calculos!$Z$3,((('Levantamento dutos'!$B43)/100+('Levantamento dutos'!$C43)/100)*2)*'Levantamento dutos'!$D43,0)</f>
        <v>0</v>
      </c>
      <c r="C43">
        <f>IF('Levantamento dutos'!$B43&gt;Calculos!$Z$3,IF('Levantamento dutos'!$B43&lt;=Calculos!$Z$4,((('Levantamento dutos'!$B43)/100+('Levantamento dutos'!$C43)/100)*2)*'Levantamento dutos'!$D43,0),0)</f>
        <v>0</v>
      </c>
      <c r="D43">
        <f>IF('Levantamento dutos'!$B43&gt;Calculos!$Z$4,IF('Levantamento dutos'!$B43&lt;=Calculos!$Z$5,((('Levantamento dutos'!$B43)/100+('Levantamento dutos'!$C43)/100)*2)*'Levantamento dutos'!$D43,0),0)</f>
        <v>0</v>
      </c>
      <c r="E43">
        <f>IF('Levantamento dutos'!$B43&gt;Calculos!$Z$5,IF('Levantamento dutos'!$B43&lt;=Calculos!$Z$6,((('Levantamento dutos'!$B43)/100+('Levantamento dutos'!$C43)/100)*2)*'Levantamento dutos'!$D43,0),0)</f>
        <v>0</v>
      </c>
      <c r="F43" s="59">
        <f>IF('Levantamento dutos'!$B43&gt;Calculos!$Z$7,((('Levantamento dutos'!$B43)/100+('Levantamento dutos'!$C43)/100)*2)*'Levantamento dutos'!$D43,0)</f>
        <v>0</v>
      </c>
      <c r="G43">
        <f>(('Levantamento dutos'!B43+'Levantamento dutos'!C43)/100)*2</f>
        <v>0</v>
      </c>
      <c r="H43" s="58">
        <f>IF(CODE('Levantamento dutos'!$E43)=76,SUM($B43:$F43),0)</f>
        <v>0</v>
      </c>
      <c r="I43">
        <f>IF(CODE('Levantamento dutos'!$E43)=73,SUM($B43:$F43),0)</f>
        <v>0</v>
      </c>
      <c r="J43">
        <f>IF(CODE('Levantamento dutos'!$E43)=80,SUM($B43:$F43),0)</f>
        <v>0</v>
      </c>
      <c r="K43">
        <f>IF(CODE('Levantamento dutos'!$F43)=66,SUM($B43:$F43),0)</f>
        <v>0</v>
      </c>
      <c r="L43">
        <f>IF(CODE('Levantamento dutos'!$F43)=70,SUM($B43:$F43),0)</f>
        <v>0</v>
      </c>
      <c r="M43" s="59">
        <f>IF(CODE('Levantamento dutos'!$E43)=84,SUM($B43:$F43),0)</f>
        <v>0</v>
      </c>
      <c r="N43" s="60">
        <f>IF(CODE('Levantamento dutos'!$G43)=80,IF('Levantamento dutos'!$B43&lt;=200,('Levantamento dutos'!$D43/'Levantamento dutos'!$G$12*Calculos!$G43*2),0),0)</f>
        <v>0</v>
      </c>
      <c r="O43" s="60">
        <f>IF(CODE('Levantamento dutos'!$G43)=80,IF('Levantamento dutos'!$B43&gt;200,('Levantamento dutos'!$D43/'Levantamento dutos'!$G$12*Calculos!$G43*2),0),0)</f>
        <v>0</v>
      </c>
      <c r="P43" s="60">
        <f>IF(CODE('Levantamento dutos'!$G43)=67,('Levantamento dutos'!$D43/'Levantamento dutos'!$G$12*Calculos!$G43*2),0)</f>
        <v>0</v>
      </c>
      <c r="Q43" s="60">
        <f>IF(CODE('Levantamento dutos'!H43)=83,((('Levantamento dutos'!B43/100)+('Levantamento dutos'!$H$12/1000))+(('Levantamento dutos'!C43/100)+('Levantamento dutos'!$H$12)/1000))*2*'Levantamento dutos'!D43,0)</f>
        <v>0</v>
      </c>
      <c r="S43" s="60">
        <f>IF(CODE('Levantamento dutos'!$I43)=83,$Q43,0)</f>
        <v>0</v>
      </c>
      <c r="T43" s="60">
        <f>IF(CODE('Levantamento dutos'!$E43)=76,ROUND((('Levantamento dutos'!$D43/5)*(Calculos!$G43+0.2)*1.2),0),0)</f>
        <v>0</v>
      </c>
      <c r="U43" s="60">
        <f>IF(CODE('Levantamento dutos'!$E43)=73,ROUND((('Levantamento dutos'!$D43/0.5)*(Calculos!$G43+0.2)*1.2),0),0)</f>
        <v>0</v>
      </c>
      <c r="V43" s="60">
        <f>IF(CODE('Levantamento dutos'!$E43)=80,ROUND((('Levantamento dutos'!$D43/0.5)*(Calculos!$G43+0.2)*1.2),0),0)</f>
        <v>0</v>
      </c>
      <c r="W43" s="60">
        <f>IF(CODE('Levantamento dutos'!$E43)=76,'Levantamento dutos'!$D43/0.5*1.5,0)</f>
        <v>0</v>
      </c>
      <c r="X43" s="60">
        <f>IF(CODE('Levantamento dutos'!$E43)=73,'Levantamento dutos'!$D43/0.5*1.5,0)</f>
        <v>0</v>
      </c>
      <c r="Y43" s="60">
        <f>IF(CODE('Levantamento dutos'!$E43)=80,'Levantamento dutos'!$D43/0.5*1.5,0)</f>
        <v>0</v>
      </c>
      <c r="Z43" s="60">
        <f>IF(CODE('Levantamento dutos'!$E43)=76,ROUND(('Levantamento dutos'!$D43)+('Levantamento dutos'!$D43*Calculos!$G43*2)*1.1,0),0)</f>
        <v>0</v>
      </c>
      <c r="AA43" s="60">
        <f>IF(CODE('Levantamento dutos'!$G43)=80,('Levantamento dutos'!$D43/'Levantamento dutos'!$G$12)*8,0)</f>
        <v>0</v>
      </c>
      <c r="AB43" s="60">
        <f>IF(CODE('Levantamento dutos'!$G43)=80,IF('Levantamento dutos'!$B43&gt;30,('Levantamento dutos'!$D43/'Levantamento dutos'!$G$12)*4,0),0)</f>
        <v>0</v>
      </c>
      <c r="AC43" s="60">
        <f>IF('Levantamento dutos'!$B43&gt;220,('Levantamento dutos'!$D43/'Levantamento dutos'!$G$12*Calculos!$G43*2),0)</f>
        <v>0</v>
      </c>
      <c r="AD43" s="60">
        <f>IF(CODE('Levantamento dutos'!$E43)=73,((('Levantamento dutos'!$E$12/1000)+0.02)*'Levantamento dutos'!$D43)*4*1.3,0)</f>
        <v>0</v>
      </c>
      <c r="AE43" s="60">
        <f>IF(CODE('Levantamento dutos'!$E43)=80,((('Levantamento dutos'!$E$12/1000)+0.02)*'Levantamento dutos'!$D43)*4*1.3,0)</f>
        <v>0</v>
      </c>
    </row>
    <row r="44" spans="2:31" x14ac:dyDescent="0.2">
      <c r="B44" s="58">
        <f>IF('Levantamento dutos'!$B44&lt;=Calculos!$Z$3,((('Levantamento dutos'!$B44)/100+('Levantamento dutos'!$C44)/100)*2)*'Levantamento dutos'!$D44,0)</f>
        <v>0</v>
      </c>
      <c r="C44">
        <f>IF('Levantamento dutos'!$B44&gt;Calculos!$Z$3,IF('Levantamento dutos'!$B44&lt;=Calculos!$Z$4,((('Levantamento dutos'!$B44)/100+('Levantamento dutos'!$C44)/100)*2)*'Levantamento dutos'!$D44,0),0)</f>
        <v>0</v>
      </c>
      <c r="D44">
        <f>IF('Levantamento dutos'!$B44&gt;Calculos!$Z$4,IF('Levantamento dutos'!$B44&lt;=Calculos!$Z$5,((('Levantamento dutos'!$B44)/100+('Levantamento dutos'!$C44)/100)*2)*'Levantamento dutos'!$D44,0),0)</f>
        <v>0</v>
      </c>
      <c r="E44">
        <f>IF('Levantamento dutos'!$B44&gt;Calculos!$Z$5,IF('Levantamento dutos'!$B44&lt;=Calculos!$Z$6,((('Levantamento dutos'!$B44)/100+('Levantamento dutos'!$C44)/100)*2)*'Levantamento dutos'!$D44,0),0)</f>
        <v>0</v>
      </c>
      <c r="F44" s="59">
        <f>IF('Levantamento dutos'!$B44&gt;Calculos!$Z$7,((('Levantamento dutos'!$B44)/100+('Levantamento dutos'!$C44)/100)*2)*'Levantamento dutos'!$D44,0)</f>
        <v>0</v>
      </c>
      <c r="G44">
        <f>(('Levantamento dutos'!B44+'Levantamento dutos'!C44)/100)*2</f>
        <v>0</v>
      </c>
      <c r="H44" s="58">
        <f>IF(CODE('Levantamento dutos'!$E44)=76,SUM($B44:$F44),0)</f>
        <v>0</v>
      </c>
      <c r="I44">
        <f>IF(CODE('Levantamento dutos'!$E44)=73,SUM($B44:$F44),0)</f>
        <v>0</v>
      </c>
      <c r="J44">
        <f>IF(CODE('Levantamento dutos'!$E44)=80,SUM($B44:$F44),0)</f>
        <v>0</v>
      </c>
      <c r="K44">
        <f>IF(CODE('Levantamento dutos'!$F44)=66,SUM($B44:$F44),0)</f>
        <v>0</v>
      </c>
      <c r="L44">
        <f>IF(CODE('Levantamento dutos'!$F44)=70,SUM($B44:$F44),0)</f>
        <v>0</v>
      </c>
      <c r="M44" s="59">
        <f>IF(CODE('Levantamento dutos'!$E44)=84,SUM($B44:$F44),0)</f>
        <v>0</v>
      </c>
      <c r="N44" s="60">
        <f>IF(CODE('Levantamento dutos'!$G44)=80,IF('Levantamento dutos'!$B44&lt;=200,('Levantamento dutos'!$D44/'Levantamento dutos'!$G$12*Calculos!$G44*2),0),0)</f>
        <v>0</v>
      </c>
      <c r="O44" s="60">
        <f>IF(CODE('Levantamento dutos'!$G44)=80,IF('Levantamento dutos'!$B44&gt;200,('Levantamento dutos'!$D44/'Levantamento dutos'!$G$12*Calculos!$G44*2),0),0)</f>
        <v>0</v>
      </c>
      <c r="P44" s="60">
        <f>IF(CODE('Levantamento dutos'!$G44)=67,('Levantamento dutos'!$D44/'Levantamento dutos'!$G$12*Calculos!$G44*2),0)</f>
        <v>0</v>
      </c>
      <c r="Q44" s="60">
        <f>IF(CODE('Levantamento dutos'!H44)=83,((('Levantamento dutos'!B44/100)+('Levantamento dutos'!$H$12/1000))+(('Levantamento dutos'!C44/100)+('Levantamento dutos'!$H$12)/1000))*2*'Levantamento dutos'!D44,0)</f>
        <v>0</v>
      </c>
      <c r="S44" s="60">
        <f>IF(CODE('Levantamento dutos'!$I44)=83,$Q44,0)</f>
        <v>0</v>
      </c>
      <c r="T44" s="60">
        <f>IF(CODE('Levantamento dutos'!$E44)=76,ROUND((('Levantamento dutos'!$D44/5)*(Calculos!$G44+0.2)*1.2),0),0)</f>
        <v>0</v>
      </c>
      <c r="U44" s="60">
        <f>IF(CODE('Levantamento dutos'!$E44)=73,ROUND((('Levantamento dutos'!$D44/0.5)*(Calculos!$G44+0.2)*1.2),0),0)</f>
        <v>0</v>
      </c>
      <c r="V44" s="60">
        <f>IF(CODE('Levantamento dutos'!$E44)=80,ROUND((('Levantamento dutos'!$D44/0.5)*(Calculos!$G44+0.2)*1.2),0),0)</f>
        <v>0</v>
      </c>
      <c r="W44" s="60">
        <f>IF(CODE('Levantamento dutos'!$E44)=76,'Levantamento dutos'!$D44/0.5*1.5,0)</f>
        <v>0</v>
      </c>
      <c r="X44" s="60">
        <f>IF(CODE('Levantamento dutos'!$E44)=73,'Levantamento dutos'!$D44/0.5*1.5,0)</f>
        <v>0</v>
      </c>
      <c r="Y44" s="60">
        <f>IF(CODE('Levantamento dutos'!$E44)=80,'Levantamento dutos'!$D44/0.5*1.5,0)</f>
        <v>0</v>
      </c>
      <c r="Z44" s="60">
        <f>IF(CODE('Levantamento dutos'!$E44)=76,ROUND(('Levantamento dutos'!$D44)+('Levantamento dutos'!$D44*Calculos!$G44*2)*1.1,0),0)</f>
        <v>0</v>
      </c>
      <c r="AA44" s="60">
        <f>IF(CODE('Levantamento dutos'!$G44)=80,('Levantamento dutos'!$D44/'Levantamento dutos'!$G$12)*8,0)</f>
        <v>0</v>
      </c>
      <c r="AB44" s="60">
        <f>IF(CODE('Levantamento dutos'!$G44)=80,IF('Levantamento dutos'!$B44&gt;30,('Levantamento dutos'!$D44/'Levantamento dutos'!$G$12)*4,0),0)</f>
        <v>0</v>
      </c>
      <c r="AC44" s="60">
        <f>IF('Levantamento dutos'!$B44&gt;220,('Levantamento dutos'!$D44/'Levantamento dutos'!$G$12*Calculos!$G44*2),0)</f>
        <v>0</v>
      </c>
      <c r="AD44" s="60">
        <f>IF(CODE('Levantamento dutos'!$E44)=73,((('Levantamento dutos'!$E$12/1000)+0.02)*'Levantamento dutos'!$D44)*4*1.3,0)</f>
        <v>0</v>
      </c>
      <c r="AE44" s="60">
        <f>IF(CODE('Levantamento dutos'!$E44)=80,((('Levantamento dutos'!$E$12/1000)+0.02)*'Levantamento dutos'!$D44)*4*1.3,0)</f>
        <v>0</v>
      </c>
    </row>
    <row r="45" spans="2:31" x14ac:dyDescent="0.2">
      <c r="B45" s="58">
        <f>IF('Levantamento dutos'!$B45&lt;=Calculos!$Z$3,((('Levantamento dutos'!$B45)/100+('Levantamento dutos'!$C45)/100)*2)*'Levantamento dutos'!$D45,0)</f>
        <v>0</v>
      </c>
      <c r="C45">
        <f>IF('Levantamento dutos'!$B45&gt;Calculos!$Z$3,IF('Levantamento dutos'!$B45&lt;=Calculos!$Z$4,((('Levantamento dutos'!$B45)/100+('Levantamento dutos'!$C45)/100)*2)*'Levantamento dutos'!$D45,0),0)</f>
        <v>0</v>
      </c>
      <c r="D45">
        <f>IF('Levantamento dutos'!$B45&gt;Calculos!$Z$4,IF('Levantamento dutos'!$B45&lt;=Calculos!$Z$5,((('Levantamento dutos'!$B45)/100+('Levantamento dutos'!$C45)/100)*2)*'Levantamento dutos'!$D45,0),0)</f>
        <v>0</v>
      </c>
      <c r="E45">
        <f>IF('Levantamento dutos'!$B45&gt;Calculos!$Z$5,IF('Levantamento dutos'!$B45&lt;=Calculos!$Z$6,((('Levantamento dutos'!$B45)/100+('Levantamento dutos'!$C45)/100)*2)*'Levantamento dutos'!$D45,0),0)</f>
        <v>0</v>
      </c>
      <c r="F45" s="59">
        <f>IF('Levantamento dutos'!$B45&gt;Calculos!$Z$7,((('Levantamento dutos'!$B45)/100+('Levantamento dutos'!$C45)/100)*2)*'Levantamento dutos'!$D45,0)</f>
        <v>0</v>
      </c>
      <c r="G45">
        <f>(('Levantamento dutos'!B45+'Levantamento dutos'!C45)/100)*2</f>
        <v>0</v>
      </c>
      <c r="H45" s="58">
        <f>IF(CODE('Levantamento dutos'!$E45)=76,SUM($B45:$F45),0)</f>
        <v>0</v>
      </c>
      <c r="I45">
        <f>IF(CODE('Levantamento dutos'!$E45)=73,SUM($B45:$F45),0)</f>
        <v>0</v>
      </c>
      <c r="J45">
        <f>IF(CODE('Levantamento dutos'!$E45)=80,SUM($B45:$F45),0)</f>
        <v>0</v>
      </c>
      <c r="K45">
        <f>IF(CODE('Levantamento dutos'!$F45)=66,SUM($B45:$F45),0)</f>
        <v>0</v>
      </c>
      <c r="L45">
        <f>IF(CODE('Levantamento dutos'!$F45)=70,SUM($B45:$F45),0)</f>
        <v>0</v>
      </c>
      <c r="M45" s="59">
        <f>IF(CODE('Levantamento dutos'!$E45)=84,SUM($B45:$F45),0)</f>
        <v>0</v>
      </c>
      <c r="N45" s="60">
        <f>IF(CODE('Levantamento dutos'!$G45)=80,IF('Levantamento dutos'!$B45&lt;=200,('Levantamento dutos'!$D45/'Levantamento dutos'!$G$12*Calculos!$G45*2),0),0)</f>
        <v>0</v>
      </c>
      <c r="O45" s="60">
        <f>IF(CODE('Levantamento dutos'!$G45)=80,IF('Levantamento dutos'!$B45&gt;200,('Levantamento dutos'!$D45/'Levantamento dutos'!$G$12*Calculos!$G45*2),0),0)</f>
        <v>0</v>
      </c>
      <c r="P45" s="60">
        <f>IF(CODE('Levantamento dutos'!$G45)=67,('Levantamento dutos'!$D45/'Levantamento dutos'!$G$12*Calculos!$G45*2),0)</f>
        <v>0</v>
      </c>
      <c r="Q45" s="60">
        <f>IF(CODE('Levantamento dutos'!H45)=83,((('Levantamento dutos'!B45/100)+('Levantamento dutos'!$H$12/1000))+(('Levantamento dutos'!C45/100)+('Levantamento dutos'!$H$12)/1000))*2*'Levantamento dutos'!D45,0)</f>
        <v>0</v>
      </c>
      <c r="S45" s="60">
        <f>IF(CODE('Levantamento dutos'!$I45)=83,$Q45,0)</f>
        <v>0</v>
      </c>
      <c r="T45" s="60">
        <f>IF(CODE('Levantamento dutos'!$E45)=76,ROUND((('Levantamento dutos'!$D45/5)*(Calculos!$G45+0.2)*1.2),0),0)</f>
        <v>0</v>
      </c>
      <c r="U45" s="60">
        <f>IF(CODE('Levantamento dutos'!$E45)=73,ROUND((('Levantamento dutos'!$D45/0.5)*(Calculos!$G45+0.2)*1.2),0),0)</f>
        <v>0</v>
      </c>
      <c r="V45" s="60">
        <f>IF(CODE('Levantamento dutos'!$E45)=80,ROUND((('Levantamento dutos'!$D45/0.5)*(Calculos!$G45+0.2)*1.2),0),0)</f>
        <v>0</v>
      </c>
      <c r="W45" s="60">
        <f>IF(CODE('Levantamento dutos'!$E45)=76,'Levantamento dutos'!$D45/0.5*1.5,0)</f>
        <v>0</v>
      </c>
      <c r="X45" s="60">
        <f>IF(CODE('Levantamento dutos'!$E45)=73,'Levantamento dutos'!$D45/0.5*1.5,0)</f>
        <v>0</v>
      </c>
      <c r="Y45" s="60">
        <f>IF(CODE('Levantamento dutos'!$E45)=80,'Levantamento dutos'!$D45/0.5*1.5,0)</f>
        <v>0</v>
      </c>
      <c r="Z45" s="60">
        <f>IF(CODE('Levantamento dutos'!$E45)=76,ROUND(('Levantamento dutos'!$D45)+('Levantamento dutos'!$D45*Calculos!$G45*2)*1.1,0),0)</f>
        <v>0</v>
      </c>
      <c r="AA45" s="60">
        <f>IF(CODE('Levantamento dutos'!$G45)=80,('Levantamento dutos'!$D45/'Levantamento dutos'!$G$12)*8,0)</f>
        <v>0</v>
      </c>
      <c r="AB45" s="60">
        <f>IF(CODE('Levantamento dutos'!$G45)=80,IF('Levantamento dutos'!$B45&gt;30,('Levantamento dutos'!$D45/'Levantamento dutos'!$G$12)*4,0),0)</f>
        <v>0</v>
      </c>
      <c r="AC45" s="60">
        <f>IF('Levantamento dutos'!$B45&gt;220,('Levantamento dutos'!$D45/'Levantamento dutos'!$G$12*Calculos!$G45*2),0)</f>
        <v>0</v>
      </c>
      <c r="AD45" s="60">
        <f>IF(CODE('Levantamento dutos'!$E45)=73,((('Levantamento dutos'!$E$12/1000)+0.02)*'Levantamento dutos'!$D45)*4*1.3,0)</f>
        <v>0</v>
      </c>
      <c r="AE45" s="60">
        <f>IF(CODE('Levantamento dutos'!$E45)=80,((('Levantamento dutos'!$E$12/1000)+0.02)*'Levantamento dutos'!$D45)*4*1.3,0)</f>
        <v>0</v>
      </c>
    </row>
    <row r="46" spans="2:31" x14ac:dyDescent="0.2">
      <c r="B46" s="58">
        <f>IF('Levantamento dutos'!$B46&lt;=Calculos!$Z$3,((('Levantamento dutos'!$B46)/100+('Levantamento dutos'!$C46)/100)*2)*'Levantamento dutos'!$D46,0)</f>
        <v>0</v>
      </c>
      <c r="C46">
        <f>IF('Levantamento dutos'!$B46&gt;Calculos!$Z$3,IF('Levantamento dutos'!$B46&lt;=Calculos!$Z$4,((('Levantamento dutos'!$B46)/100+('Levantamento dutos'!$C46)/100)*2)*'Levantamento dutos'!$D46,0),0)</f>
        <v>0</v>
      </c>
      <c r="D46">
        <f>IF('Levantamento dutos'!$B46&gt;Calculos!$Z$4,IF('Levantamento dutos'!$B46&lt;=Calculos!$Z$5,((('Levantamento dutos'!$B46)/100+('Levantamento dutos'!$C46)/100)*2)*'Levantamento dutos'!$D46,0),0)</f>
        <v>0</v>
      </c>
      <c r="E46">
        <f>IF('Levantamento dutos'!$B46&gt;Calculos!$Z$5,IF('Levantamento dutos'!$B46&lt;=Calculos!$Z$6,((('Levantamento dutos'!$B46)/100+('Levantamento dutos'!$C46)/100)*2)*'Levantamento dutos'!$D46,0),0)</f>
        <v>0</v>
      </c>
      <c r="F46" s="59">
        <f>IF('Levantamento dutos'!$B46&gt;Calculos!$Z$7,((('Levantamento dutos'!$B46)/100+('Levantamento dutos'!$C46)/100)*2)*'Levantamento dutos'!$D46,0)</f>
        <v>0</v>
      </c>
      <c r="G46">
        <f>(('Levantamento dutos'!B46+'Levantamento dutos'!C46)/100)*2</f>
        <v>0</v>
      </c>
      <c r="H46" s="58">
        <f>IF(CODE('Levantamento dutos'!$E46)=76,SUM($B46:$F46),0)</f>
        <v>0</v>
      </c>
      <c r="I46">
        <f>IF(CODE('Levantamento dutos'!$E46)=73,SUM($B46:$F46),0)</f>
        <v>0</v>
      </c>
      <c r="J46">
        <f>IF(CODE('Levantamento dutos'!$E46)=80,SUM($B46:$F46),0)</f>
        <v>0</v>
      </c>
      <c r="K46">
        <f>IF(CODE('Levantamento dutos'!$F46)=66,SUM($B46:$F46),0)</f>
        <v>0</v>
      </c>
      <c r="L46">
        <f>IF(CODE('Levantamento dutos'!$F46)=70,SUM($B46:$F46),0)</f>
        <v>0</v>
      </c>
      <c r="M46" s="59">
        <f>IF(CODE('Levantamento dutos'!$E46)=84,SUM($B46:$F46),0)</f>
        <v>0</v>
      </c>
      <c r="N46" s="60">
        <f>IF(CODE('Levantamento dutos'!$G46)=80,IF('Levantamento dutos'!$B46&lt;=200,('Levantamento dutos'!$D46/'Levantamento dutos'!$G$12*Calculos!$G46*2),0),0)</f>
        <v>0</v>
      </c>
      <c r="O46" s="60">
        <f>IF(CODE('Levantamento dutos'!$G46)=80,IF('Levantamento dutos'!$B46&gt;200,('Levantamento dutos'!$D46/'Levantamento dutos'!$G$12*Calculos!$G46*2),0),0)</f>
        <v>0</v>
      </c>
      <c r="P46" s="60">
        <f>IF(CODE('Levantamento dutos'!$G46)=67,('Levantamento dutos'!$D46/'Levantamento dutos'!$G$12*Calculos!$G46*2),0)</f>
        <v>0</v>
      </c>
      <c r="Q46" s="60">
        <f>IF(CODE('Levantamento dutos'!H46)=83,((('Levantamento dutos'!B46/100)+('Levantamento dutos'!$H$12/1000))+(('Levantamento dutos'!C46/100)+('Levantamento dutos'!$H$12)/1000))*2*'Levantamento dutos'!D46,0)</f>
        <v>0</v>
      </c>
      <c r="S46" s="60">
        <f>IF(CODE('Levantamento dutos'!$I46)=83,$Q46,0)</f>
        <v>0</v>
      </c>
      <c r="T46" s="60">
        <f>IF(CODE('Levantamento dutos'!$E46)=76,ROUND((('Levantamento dutos'!$D46/5)*(Calculos!$G46+0.2)*1.2),0),0)</f>
        <v>0</v>
      </c>
      <c r="U46" s="60">
        <f>IF(CODE('Levantamento dutos'!$E46)=73,ROUND((('Levantamento dutos'!$D46/0.5)*(Calculos!$G46+0.2)*1.2),0),0)</f>
        <v>0</v>
      </c>
      <c r="V46" s="60">
        <f>IF(CODE('Levantamento dutos'!$E46)=80,ROUND((('Levantamento dutos'!$D46/0.5)*(Calculos!$G46+0.2)*1.2),0),0)</f>
        <v>0</v>
      </c>
      <c r="W46" s="60">
        <f>IF(CODE('Levantamento dutos'!$E46)=76,'Levantamento dutos'!$D46/0.5*1.5,0)</f>
        <v>0</v>
      </c>
      <c r="X46" s="60">
        <f>IF(CODE('Levantamento dutos'!$E46)=73,'Levantamento dutos'!$D46/0.5*1.5,0)</f>
        <v>0</v>
      </c>
      <c r="Y46" s="60">
        <f>IF(CODE('Levantamento dutos'!$E46)=80,'Levantamento dutos'!$D46/0.5*1.5,0)</f>
        <v>0</v>
      </c>
      <c r="Z46" s="60">
        <f>IF(CODE('Levantamento dutos'!$E46)=76,ROUND(('Levantamento dutos'!$D46)+('Levantamento dutos'!$D46*Calculos!$G46*2)*1.1,0),0)</f>
        <v>0</v>
      </c>
      <c r="AA46" s="60">
        <f>IF(CODE('Levantamento dutos'!$G46)=80,('Levantamento dutos'!$D46/'Levantamento dutos'!$G$12)*8,0)</f>
        <v>0</v>
      </c>
      <c r="AB46" s="60">
        <f>IF(CODE('Levantamento dutos'!$G46)=80,IF('Levantamento dutos'!$B46&gt;30,('Levantamento dutos'!$D46/'Levantamento dutos'!$G$12)*4,0),0)</f>
        <v>0</v>
      </c>
      <c r="AC46" s="60">
        <f>IF('Levantamento dutos'!$B46&gt;220,('Levantamento dutos'!$D46/'Levantamento dutos'!$G$12*Calculos!$G46*2),0)</f>
        <v>0</v>
      </c>
      <c r="AD46" s="60">
        <f>IF(CODE('Levantamento dutos'!$E46)=73,((('Levantamento dutos'!$E$12/1000)+0.02)*'Levantamento dutos'!$D46)*4*1.3,0)</f>
        <v>0</v>
      </c>
      <c r="AE46" s="60">
        <f>IF(CODE('Levantamento dutos'!$E46)=80,((('Levantamento dutos'!$E$12/1000)+0.02)*'Levantamento dutos'!$D46)*4*1.3,0)</f>
        <v>0</v>
      </c>
    </row>
    <row r="47" spans="2:31" x14ac:dyDescent="0.2">
      <c r="B47" s="58">
        <f>IF('Levantamento dutos'!$B47&lt;=Calculos!$Z$3,((('Levantamento dutos'!$B47)/100+('Levantamento dutos'!$C47)/100)*2)*'Levantamento dutos'!$D47,0)</f>
        <v>0</v>
      </c>
      <c r="C47">
        <f>IF('Levantamento dutos'!$B47&gt;Calculos!$Z$3,IF('Levantamento dutos'!$B47&lt;=Calculos!$Z$4,((('Levantamento dutos'!$B47)/100+('Levantamento dutos'!$C47)/100)*2)*'Levantamento dutos'!$D47,0),0)</f>
        <v>0</v>
      </c>
      <c r="D47">
        <f>IF('Levantamento dutos'!$B47&gt;Calculos!$Z$4,IF('Levantamento dutos'!$B47&lt;=Calculos!$Z$5,((('Levantamento dutos'!$B47)/100+('Levantamento dutos'!$C47)/100)*2)*'Levantamento dutos'!$D47,0),0)</f>
        <v>0</v>
      </c>
      <c r="E47">
        <f>IF('Levantamento dutos'!$B47&gt;Calculos!$Z$5,IF('Levantamento dutos'!$B47&lt;=Calculos!$Z$6,((('Levantamento dutos'!$B47)/100+('Levantamento dutos'!$C47)/100)*2)*'Levantamento dutos'!$D47,0),0)</f>
        <v>0</v>
      </c>
      <c r="F47" s="59">
        <f>IF('Levantamento dutos'!$B47&gt;Calculos!$Z$7,((('Levantamento dutos'!$B47)/100+('Levantamento dutos'!$C47)/100)*2)*'Levantamento dutos'!$D47,0)</f>
        <v>0</v>
      </c>
      <c r="G47">
        <f>(('Levantamento dutos'!B47+'Levantamento dutos'!C47)/100)*2</f>
        <v>0</v>
      </c>
      <c r="H47" s="58">
        <f>IF(CODE('Levantamento dutos'!$E47)=76,SUM($B47:$F47),0)</f>
        <v>0</v>
      </c>
      <c r="I47">
        <f>IF(CODE('Levantamento dutos'!$E47)=73,SUM($B47:$F47),0)</f>
        <v>0</v>
      </c>
      <c r="J47">
        <f>IF(CODE('Levantamento dutos'!$E47)=80,SUM($B47:$F47),0)</f>
        <v>0</v>
      </c>
      <c r="K47">
        <f>IF(CODE('Levantamento dutos'!$F47)=66,SUM($B47:$F47),0)</f>
        <v>0</v>
      </c>
      <c r="L47">
        <f>IF(CODE('Levantamento dutos'!$F47)=70,SUM($B47:$F47),0)</f>
        <v>0</v>
      </c>
      <c r="M47" s="59">
        <f>IF(CODE('Levantamento dutos'!$E47)=84,SUM($B47:$F47),0)</f>
        <v>0</v>
      </c>
      <c r="N47" s="60">
        <f>IF(CODE('Levantamento dutos'!$G47)=80,IF('Levantamento dutos'!$B47&lt;=200,('Levantamento dutos'!$D47/'Levantamento dutos'!$G$12*Calculos!$G47*2),0),0)</f>
        <v>0</v>
      </c>
      <c r="O47" s="60">
        <f>IF(CODE('Levantamento dutos'!$G47)=80,IF('Levantamento dutos'!$B47&gt;200,('Levantamento dutos'!$D47/'Levantamento dutos'!$G$12*Calculos!$G47*2),0),0)</f>
        <v>0</v>
      </c>
      <c r="P47" s="60">
        <f>IF(CODE('Levantamento dutos'!$G47)=67,('Levantamento dutos'!$D47/'Levantamento dutos'!$G$12*Calculos!$G47*2),0)</f>
        <v>0</v>
      </c>
      <c r="Q47" s="60">
        <f>IF(CODE('Levantamento dutos'!H47)=83,((('Levantamento dutos'!B47/100)+('Levantamento dutos'!$H$12/1000))+(('Levantamento dutos'!C47/100)+('Levantamento dutos'!$H$12)/1000))*2*'Levantamento dutos'!D47,0)</f>
        <v>0</v>
      </c>
      <c r="S47" s="60">
        <f>IF(CODE('Levantamento dutos'!$I47)=83,$Q47,0)</f>
        <v>0</v>
      </c>
      <c r="T47" s="60">
        <f>IF(CODE('Levantamento dutos'!$E47)=76,ROUND((('Levantamento dutos'!$D47/5)*(Calculos!$G47+0.2)*1.2),0),0)</f>
        <v>0</v>
      </c>
      <c r="U47" s="60">
        <f>IF(CODE('Levantamento dutos'!$E47)=73,ROUND((('Levantamento dutos'!$D47/0.5)*(Calculos!$G47+0.2)*1.2),0),0)</f>
        <v>0</v>
      </c>
      <c r="V47" s="60">
        <f>IF(CODE('Levantamento dutos'!$E47)=80,ROUND((('Levantamento dutos'!$D47/0.5)*(Calculos!$G47+0.2)*1.2),0),0)</f>
        <v>0</v>
      </c>
      <c r="W47" s="60">
        <f>IF(CODE('Levantamento dutos'!$E47)=76,'Levantamento dutos'!$D47/0.5*1.5,0)</f>
        <v>0</v>
      </c>
      <c r="X47" s="60">
        <f>IF(CODE('Levantamento dutos'!$E47)=73,'Levantamento dutos'!$D47/0.5*1.5,0)</f>
        <v>0</v>
      </c>
      <c r="Y47" s="60">
        <f>IF(CODE('Levantamento dutos'!$E47)=80,'Levantamento dutos'!$D47/0.5*1.5,0)</f>
        <v>0</v>
      </c>
      <c r="Z47" s="60">
        <f>IF(CODE('Levantamento dutos'!$E47)=76,ROUND(('Levantamento dutos'!$D47)+('Levantamento dutos'!$D47*Calculos!$G47*2)*1.1,0),0)</f>
        <v>0</v>
      </c>
      <c r="AA47" s="60">
        <f>IF(CODE('Levantamento dutos'!$G47)=80,('Levantamento dutos'!$D47/'Levantamento dutos'!$G$12)*8,0)</f>
        <v>0</v>
      </c>
      <c r="AB47" s="60">
        <f>IF(CODE('Levantamento dutos'!$G47)=80,IF('Levantamento dutos'!$B47&gt;30,('Levantamento dutos'!$D47/'Levantamento dutos'!$G$12)*4,0),0)</f>
        <v>0</v>
      </c>
      <c r="AC47" s="60">
        <f>IF('Levantamento dutos'!$B47&gt;220,('Levantamento dutos'!$D47/'Levantamento dutos'!$G$12*Calculos!$G47*2),0)</f>
        <v>0</v>
      </c>
      <c r="AD47" s="60">
        <f>IF(CODE('Levantamento dutos'!$E47)=73,((('Levantamento dutos'!$E$12/1000)+0.02)*'Levantamento dutos'!$D47)*4*1.3,0)</f>
        <v>0</v>
      </c>
      <c r="AE47" s="60">
        <f>IF(CODE('Levantamento dutos'!$E47)=80,((('Levantamento dutos'!$E$12/1000)+0.02)*'Levantamento dutos'!$D47)*4*1.3,0)</f>
        <v>0</v>
      </c>
    </row>
    <row r="48" spans="2:31" x14ac:dyDescent="0.2">
      <c r="B48" s="58">
        <f>IF('Levantamento dutos'!$B48&lt;=Calculos!$Z$3,((('Levantamento dutos'!$B48)/100+('Levantamento dutos'!$C48)/100)*2)*'Levantamento dutos'!$D48,0)</f>
        <v>0</v>
      </c>
      <c r="C48">
        <f>IF('Levantamento dutos'!$B48&gt;Calculos!$Z$3,IF('Levantamento dutos'!$B48&lt;=Calculos!$Z$4,((('Levantamento dutos'!$B48)/100+('Levantamento dutos'!$C48)/100)*2)*'Levantamento dutos'!$D48,0),0)</f>
        <v>0</v>
      </c>
      <c r="D48">
        <f>IF('Levantamento dutos'!$B48&gt;Calculos!$Z$4,IF('Levantamento dutos'!$B48&lt;=Calculos!$Z$5,((('Levantamento dutos'!$B48)/100+('Levantamento dutos'!$C48)/100)*2)*'Levantamento dutos'!$D48,0),0)</f>
        <v>0</v>
      </c>
      <c r="E48">
        <f>IF('Levantamento dutos'!$B48&gt;Calculos!$Z$5,IF('Levantamento dutos'!$B48&lt;=Calculos!$Z$6,((('Levantamento dutos'!$B48)/100+('Levantamento dutos'!$C48)/100)*2)*'Levantamento dutos'!$D48,0),0)</f>
        <v>0</v>
      </c>
      <c r="F48" s="59">
        <f>IF('Levantamento dutos'!$B48&gt;Calculos!$Z$7,((('Levantamento dutos'!$B48)/100+('Levantamento dutos'!$C48)/100)*2)*'Levantamento dutos'!$D48,0)</f>
        <v>0</v>
      </c>
      <c r="G48">
        <f>(('Levantamento dutos'!B48+'Levantamento dutos'!C48)/100)*2</f>
        <v>0</v>
      </c>
      <c r="H48" s="58">
        <f>IF(CODE('Levantamento dutos'!$E48)=76,SUM($B48:$F48),0)</f>
        <v>0</v>
      </c>
      <c r="I48">
        <f>IF(CODE('Levantamento dutos'!$E48)=73,SUM($B48:$F48),0)</f>
        <v>0</v>
      </c>
      <c r="J48">
        <f>IF(CODE('Levantamento dutos'!$E48)=80,SUM($B48:$F48),0)</f>
        <v>0</v>
      </c>
      <c r="K48">
        <f>IF(CODE('Levantamento dutos'!$F48)=66,SUM($B48:$F48),0)</f>
        <v>0</v>
      </c>
      <c r="L48">
        <f>IF(CODE('Levantamento dutos'!$F48)=70,SUM($B48:$F48),0)</f>
        <v>0</v>
      </c>
      <c r="M48" s="59">
        <f>IF(CODE('Levantamento dutos'!$E48)=84,SUM($B48:$F48),0)</f>
        <v>0</v>
      </c>
      <c r="N48" s="60">
        <f>IF(CODE('Levantamento dutos'!$G48)=80,IF('Levantamento dutos'!$B48&lt;=200,('Levantamento dutos'!$D48/'Levantamento dutos'!$G$12*Calculos!$G48*2),0),0)</f>
        <v>0</v>
      </c>
      <c r="O48" s="60">
        <f>IF(CODE('Levantamento dutos'!$G48)=80,IF('Levantamento dutos'!$B48&gt;200,('Levantamento dutos'!$D48/'Levantamento dutos'!$G$12*Calculos!$G48*2),0),0)</f>
        <v>0</v>
      </c>
      <c r="P48" s="60">
        <f>IF(CODE('Levantamento dutos'!$G48)=67,('Levantamento dutos'!$D48/'Levantamento dutos'!$G$12*Calculos!$G48*2),0)</f>
        <v>0</v>
      </c>
      <c r="Q48" s="60">
        <f>IF(CODE('Levantamento dutos'!H48)=83,((('Levantamento dutos'!B48/100)+('Levantamento dutos'!$H$12/1000))+(('Levantamento dutos'!C48/100)+('Levantamento dutos'!$H$12)/1000))*2*'Levantamento dutos'!D48,0)</f>
        <v>0</v>
      </c>
      <c r="S48" s="60">
        <f>IF(CODE('Levantamento dutos'!$I48)=83,$Q48,0)</f>
        <v>0</v>
      </c>
      <c r="T48" s="60">
        <f>IF(CODE('Levantamento dutos'!$E48)=76,ROUND((('Levantamento dutos'!$D48/5)*(Calculos!$G48+0.2)*1.2),0),0)</f>
        <v>0</v>
      </c>
      <c r="U48" s="60">
        <f>IF(CODE('Levantamento dutos'!$E48)=73,ROUND((('Levantamento dutos'!$D48/0.5)*(Calculos!$G48+0.2)*1.2),0),0)</f>
        <v>0</v>
      </c>
      <c r="V48" s="60">
        <f>IF(CODE('Levantamento dutos'!$E48)=80,ROUND((('Levantamento dutos'!$D48/0.5)*(Calculos!$G48+0.2)*1.2),0),0)</f>
        <v>0</v>
      </c>
      <c r="W48" s="60">
        <f>IF(CODE('Levantamento dutos'!$E48)=76,'Levantamento dutos'!$D48/0.5*1.5,0)</f>
        <v>0</v>
      </c>
      <c r="X48" s="60">
        <f>IF(CODE('Levantamento dutos'!$E48)=73,'Levantamento dutos'!$D48/0.5*1.5,0)</f>
        <v>0</v>
      </c>
      <c r="Y48" s="60">
        <f>IF(CODE('Levantamento dutos'!$E48)=80,'Levantamento dutos'!$D48/0.5*1.5,0)</f>
        <v>0</v>
      </c>
      <c r="Z48" s="60">
        <f>IF(CODE('Levantamento dutos'!$E48)=76,ROUND(('Levantamento dutos'!$D48)+('Levantamento dutos'!$D48*Calculos!$G48*2)*1.1,0),0)</f>
        <v>0</v>
      </c>
      <c r="AA48" s="60">
        <f>IF(CODE('Levantamento dutos'!$G48)=80,('Levantamento dutos'!$D48/'Levantamento dutos'!$G$12)*8,0)</f>
        <v>0</v>
      </c>
      <c r="AB48" s="60">
        <f>IF(CODE('Levantamento dutos'!$G48)=80,IF('Levantamento dutos'!$B48&gt;30,('Levantamento dutos'!$D48/'Levantamento dutos'!$G$12)*4,0),0)</f>
        <v>0</v>
      </c>
      <c r="AC48" s="60">
        <f>IF('Levantamento dutos'!$B48&gt;220,('Levantamento dutos'!$D48/'Levantamento dutos'!$G$12*Calculos!$G48*2),0)</f>
        <v>0</v>
      </c>
      <c r="AD48" s="60">
        <f>IF(CODE('Levantamento dutos'!$E48)=73,((('Levantamento dutos'!$E$12/1000)+0.02)*'Levantamento dutos'!$D48)*4*1.3,0)</f>
        <v>0</v>
      </c>
      <c r="AE48" s="60">
        <f>IF(CODE('Levantamento dutos'!$E48)=80,((('Levantamento dutos'!$E$12/1000)+0.02)*'Levantamento dutos'!$D48)*4*1.3,0)</f>
        <v>0</v>
      </c>
    </row>
    <row r="49" spans="2:31" x14ac:dyDescent="0.2">
      <c r="B49" s="58">
        <f>IF('Levantamento dutos'!$B49&lt;=Calculos!$Z$3,((('Levantamento dutos'!$B49)/100+('Levantamento dutos'!$C49)/100)*2)*'Levantamento dutos'!$D49,0)</f>
        <v>0</v>
      </c>
      <c r="C49">
        <f>IF('Levantamento dutos'!$B49&gt;Calculos!$Z$3,IF('Levantamento dutos'!$B49&lt;=Calculos!$Z$4,((('Levantamento dutos'!$B49)/100+('Levantamento dutos'!$C49)/100)*2)*'Levantamento dutos'!$D49,0),0)</f>
        <v>0</v>
      </c>
      <c r="D49">
        <f>IF('Levantamento dutos'!$B49&gt;Calculos!$Z$4,IF('Levantamento dutos'!$B49&lt;=Calculos!$Z$5,((('Levantamento dutos'!$B49)/100+('Levantamento dutos'!$C49)/100)*2)*'Levantamento dutos'!$D49,0),0)</f>
        <v>0</v>
      </c>
      <c r="E49">
        <f>IF('Levantamento dutos'!$B49&gt;Calculos!$Z$5,IF('Levantamento dutos'!$B49&lt;=Calculos!$Z$6,((('Levantamento dutos'!$B49)/100+('Levantamento dutos'!$C49)/100)*2)*'Levantamento dutos'!$D49,0),0)</f>
        <v>0</v>
      </c>
      <c r="F49" s="59">
        <f>IF('Levantamento dutos'!$B49&gt;Calculos!$Z$7,((('Levantamento dutos'!$B49)/100+('Levantamento dutos'!$C49)/100)*2)*'Levantamento dutos'!$D49,0)</f>
        <v>0</v>
      </c>
      <c r="G49">
        <f>(('Levantamento dutos'!B49+'Levantamento dutos'!C49)/100)*2</f>
        <v>0</v>
      </c>
      <c r="H49" s="58">
        <f>IF(CODE('Levantamento dutos'!$E49)=76,SUM($B49:$F49),0)</f>
        <v>0</v>
      </c>
      <c r="I49">
        <f>IF(CODE('Levantamento dutos'!$E49)=73,SUM($B49:$F49),0)</f>
        <v>0</v>
      </c>
      <c r="J49">
        <f>IF(CODE('Levantamento dutos'!$E49)=80,SUM($B49:$F49),0)</f>
        <v>0</v>
      </c>
      <c r="K49">
        <f>IF(CODE('Levantamento dutos'!$F49)=66,SUM($B49:$F49),0)</f>
        <v>0</v>
      </c>
      <c r="L49">
        <f>IF(CODE('Levantamento dutos'!$F49)=70,SUM($B49:$F49),0)</f>
        <v>0</v>
      </c>
      <c r="M49" s="59">
        <f>IF(CODE('Levantamento dutos'!$E49)=84,SUM($B49:$F49),0)</f>
        <v>0</v>
      </c>
      <c r="N49" s="60">
        <f>IF(CODE('Levantamento dutos'!$G49)=80,IF('Levantamento dutos'!$B49&lt;=200,('Levantamento dutos'!$D49/'Levantamento dutos'!$G$12*Calculos!$G49*2),0),0)</f>
        <v>0</v>
      </c>
      <c r="O49" s="60">
        <f>IF(CODE('Levantamento dutos'!$G49)=80,IF('Levantamento dutos'!$B49&gt;200,('Levantamento dutos'!$D49/'Levantamento dutos'!$G$12*Calculos!$G49*2),0),0)</f>
        <v>0</v>
      </c>
      <c r="P49" s="60">
        <f>IF(CODE('Levantamento dutos'!$G49)=67,('Levantamento dutos'!$D49/'Levantamento dutos'!$G$12*Calculos!$G49*2),0)</f>
        <v>0</v>
      </c>
      <c r="Q49" s="60">
        <f>IF(CODE('Levantamento dutos'!H49)=83,((('Levantamento dutos'!B49/100)+('Levantamento dutos'!$H$12/1000))+(('Levantamento dutos'!C49/100)+('Levantamento dutos'!$H$12)/1000))*2*'Levantamento dutos'!D49,0)</f>
        <v>0</v>
      </c>
      <c r="S49" s="60">
        <f>IF(CODE('Levantamento dutos'!$I49)=83,$Q49,0)</f>
        <v>0</v>
      </c>
      <c r="T49" s="60">
        <f>IF(CODE('Levantamento dutos'!$E49)=76,ROUND((('Levantamento dutos'!$D49/5)*(Calculos!$G49+0.2)*1.2),0),0)</f>
        <v>0</v>
      </c>
      <c r="U49" s="60">
        <f>IF(CODE('Levantamento dutos'!$E49)=73,ROUND((('Levantamento dutos'!$D49/0.5)*(Calculos!$G49+0.2)*1.2),0),0)</f>
        <v>0</v>
      </c>
      <c r="V49" s="60">
        <f>IF(CODE('Levantamento dutos'!$E49)=80,ROUND((('Levantamento dutos'!$D49/0.5)*(Calculos!$G49+0.2)*1.2),0),0)</f>
        <v>0</v>
      </c>
      <c r="W49" s="60">
        <f>IF(CODE('Levantamento dutos'!$E49)=76,'Levantamento dutos'!$D49/0.5*1.5,0)</f>
        <v>0</v>
      </c>
      <c r="X49" s="60">
        <f>IF(CODE('Levantamento dutos'!$E49)=73,'Levantamento dutos'!$D49/0.5*1.5,0)</f>
        <v>0</v>
      </c>
      <c r="Y49" s="60">
        <f>IF(CODE('Levantamento dutos'!$E49)=80,'Levantamento dutos'!$D49/0.5*1.5,0)</f>
        <v>0</v>
      </c>
      <c r="Z49" s="60">
        <f>IF(CODE('Levantamento dutos'!$E49)=76,ROUND(('Levantamento dutos'!$D49)+('Levantamento dutos'!$D49*Calculos!$G49*2)*1.1,0),0)</f>
        <v>0</v>
      </c>
      <c r="AA49" s="60">
        <f>IF(CODE('Levantamento dutos'!$G49)=80,('Levantamento dutos'!$D49/'Levantamento dutos'!$G$12)*8,0)</f>
        <v>0</v>
      </c>
      <c r="AB49" s="60">
        <f>IF(CODE('Levantamento dutos'!$G49)=80,IF('Levantamento dutos'!$B49&gt;30,('Levantamento dutos'!$D49/'Levantamento dutos'!$G$12)*4,0),0)</f>
        <v>0</v>
      </c>
      <c r="AC49" s="60">
        <f>IF('Levantamento dutos'!$B49&gt;220,('Levantamento dutos'!$D49/'Levantamento dutos'!$G$12*Calculos!$G49*2),0)</f>
        <v>0</v>
      </c>
      <c r="AD49" s="60">
        <f>IF(CODE('Levantamento dutos'!$E49)=73,((('Levantamento dutos'!$E$12/1000)+0.02)*'Levantamento dutos'!$D49)*4*1.3,0)</f>
        <v>0</v>
      </c>
      <c r="AE49" s="60">
        <f>IF(CODE('Levantamento dutos'!$E49)=80,((('Levantamento dutos'!$E$12/1000)+0.02)*'Levantamento dutos'!$D49)*4*1.3,0)</f>
        <v>0</v>
      </c>
    </row>
    <row r="50" spans="2:31" x14ac:dyDescent="0.2">
      <c r="B50" s="58">
        <f>IF('Levantamento dutos'!$B50&lt;=Calculos!$Z$3,((('Levantamento dutos'!$B50)/100+('Levantamento dutos'!$C50)/100)*2)*'Levantamento dutos'!$D50,0)</f>
        <v>0</v>
      </c>
      <c r="C50">
        <f>IF('Levantamento dutos'!$B50&gt;Calculos!$Z$3,IF('Levantamento dutos'!$B50&lt;=Calculos!$Z$4,((('Levantamento dutos'!$B50)/100+('Levantamento dutos'!$C50)/100)*2)*'Levantamento dutos'!$D50,0),0)</f>
        <v>0</v>
      </c>
      <c r="D50">
        <f>IF('Levantamento dutos'!$B50&gt;Calculos!$Z$4,IF('Levantamento dutos'!$B50&lt;=Calculos!$Z$5,((('Levantamento dutos'!$B50)/100+('Levantamento dutos'!$C50)/100)*2)*'Levantamento dutos'!$D50,0),0)</f>
        <v>0</v>
      </c>
      <c r="E50">
        <f>IF('Levantamento dutos'!$B50&gt;Calculos!$Z$5,IF('Levantamento dutos'!$B50&lt;=Calculos!$Z$6,((('Levantamento dutos'!$B50)/100+('Levantamento dutos'!$C50)/100)*2)*'Levantamento dutos'!$D50,0),0)</f>
        <v>0</v>
      </c>
      <c r="F50" s="59">
        <f>IF('Levantamento dutos'!$B50&gt;Calculos!$Z$7,((('Levantamento dutos'!$B50)/100+('Levantamento dutos'!$C50)/100)*2)*'Levantamento dutos'!$D50,0)</f>
        <v>0</v>
      </c>
      <c r="G50">
        <f>(('Levantamento dutos'!B50+'Levantamento dutos'!C50)/100)*2</f>
        <v>0</v>
      </c>
      <c r="H50" s="58"/>
      <c r="M50" s="59"/>
      <c r="N50" s="60"/>
      <c r="O50" s="60"/>
      <c r="P50" s="60"/>
      <c r="Q50" s="60"/>
      <c r="S50" s="60"/>
      <c r="T50" s="60"/>
      <c r="U50" s="60"/>
      <c r="V50" s="60"/>
      <c r="W50" s="60"/>
      <c r="X50" s="60"/>
      <c r="Y50" s="60"/>
      <c r="Z50" s="60"/>
      <c r="AA50" s="60"/>
      <c r="AB50" s="60">
        <f>IF(CODE('Levantamento dutos'!$G50)=80,IF('Levantamento dutos'!$B50&gt;30,('Levantamento dutos'!$D50/'Levantamento dutos'!$G$12)*4,0),0)</f>
        <v>0</v>
      </c>
      <c r="AC50" s="60">
        <f>IF('Levantamento dutos'!$B50&gt;220,('Levantamento dutos'!$D50/'Levantamento dutos'!$G$12*Calculos!$G50*2),0)</f>
        <v>0</v>
      </c>
      <c r="AD50" s="60"/>
      <c r="AE50" s="60"/>
    </row>
    <row r="51" spans="2:31" x14ac:dyDescent="0.2">
      <c r="B51" s="58">
        <f>IF('Levantamento dutos'!$B51&lt;=Calculos!$Z$3,((('Levantamento dutos'!$B51)/100+('Levantamento dutos'!$C51)/100)*2)*'Levantamento dutos'!$D51,0)</f>
        <v>0</v>
      </c>
      <c r="C51">
        <f>IF('Levantamento dutos'!$B51&gt;Calculos!$Z$3,IF('Levantamento dutos'!$B51&lt;=Calculos!$Z$4,((('Levantamento dutos'!$B51)/100+('Levantamento dutos'!$C51)/100)*2)*'Levantamento dutos'!$D51,0),0)</f>
        <v>0</v>
      </c>
      <c r="D51">
        <f>IF('Levantamento dutos'!$B51&gt;Calculos!$Z$4,IF('Levantamento dutos'!$B51&lt;=Calculos!$Z$5,((('Levantamento dutos'!$B51)/100+('Levantamento dutos'!$C51)/100)*2)*'Levantamento dutos'!$D51,0),0)</f>
        <v>0</v>
      </c>
      <c r="E51">
        <f>IF('Levantamento dutos'!$B51&gt;Calculos!$Z$5,IF('Levantamento dutos'!$B51&lt;=Calculos!$Z$6,((('Levantamento dutos'!$B51)/100+('Levantamento dutos'!$C51)/100)*2)*'Levantamento dutos'!$D51,0),0)</f>
        <v>0</v>
      </c>
      <c r="F51" s="59">
        <f>IF('Levantamento dutos'!$B51&gt;Calculos!$Z$7,((('Levantamento dutos'!$B51)/100+('Levantamento dutos'!$C51)/100)*2)*'Levantamento dutos'!$D51,0)</f>
        <v>0</v>
      </c>
      <c r="G51">
        <f>(('Levantamento dutos'!B51+'Levantamento dutos'!C51)/100)*2</f>
        <v>0</v>
      </c>
      <c r="H51" s="58"/>
      <c r="M51" s="59"/>
      <c r="N51" s="60"/>
      <c r="O51" s="60"/>
      <c r="P51" s="60"/>
      <c r="Q51" s="60"/>
      <c r="S51" s="60"/>
      <c r="T51" s="60"/>
      <c r="U51" s="60"/>
      <c r="V51" s="60"/>
      <c r="W51" s="60"/>
      <c r="X51" s="60"/>
      <c r="Y51" s="60"/>
      <c r="Z51" s="60"/>
      <c r="AA51" s="60"/>
      <c r="AB51" s="60">
        <f>IF(CODE('Levantamento dutos'!$G51)=80,IF('Levantamento dutos'!$B51&gt;30,('Levantamento dutos'!$D51/'Levantamento dutos'!$G$12)*4,0),0)</f>
        <v>0</v>
      </c>
      <c r="AC51" s="60">
        <f>IF('Levantamento dutos'!$B51&gt;220,('Levantamento dutos'!$D51/'Levantamento dutos'!$G$12*Calculos!$G51*2),0)</f>
        <v>0</v>
      </c>
      <c r="AD51" s="60"/>
      <c r="AE51" s="60"/>
    </row>
    <row r="52" spans="2:31" x14ac:dyDescent="0.2">
      <c r="B52" s="58">
        <f>IF('Levantamento dutos'!$B52&lt;=Calculos!$Z$3,((('Levantamento dutos'!$B52)/100+('Levantamento dutos'!$C52)/100)*2)*'Levantamento dutos'!$D52,0)</f>
        <v>0</v>
      </c>
      <c r="C52">
        <f>IF('Levantamento dutos'!$B52&gt;Calculos!$Z$3,IF('Levantamento dutos'!$B52&lt;=Calculos!$Z$4,((('Levantamento dutos'!$B52)/100+('Levantamento dutos'!$C52)/100)*2)*'Levantamento dutos'!$D52,0),0)</f>
        <v>0</v>
      </c>
      <c r="D52">
        <f>IF('Levantamento dutos'!$B52&gt;Calculos!$Z$4,IF('Levantamento dutos'!$B52&lt;=Calculos!$Z$5,((('Levantamento dutos'!$B52)/100+('Levantamento dutos'!$C52)/100)*2)*'Levantamento dutos'!$D52,0),0)</f>
        <v>0</v>
      </c>
      <c r="E52">
        <f>IF('Levantamento dutos'!$B52&gt;Calculos!$Z$5,IF('Levantamento dutos'!$B52&lt;=Calculos!$Z$6,((('Levantamento dutos'!$B52)/100+('Levantamento dutos'!$C52)/100)*2)*'Levantamento dutos'!$D52,0),0)</f>
        <v>0</v>
      </c>
      <c r="F52" s="59">
        <f>IF('Levantamento dutos'!$B52&gt;Calculos!$Z$7,((('Levantamento dutos'!$B52)/100+('Levantamento dutos'!$C52)/100)*2)*'Levantamento dutos'!$D52,0)</f>
        <v>0</v>
      </c>
      <c r="G52">
        <f>(('Levantamento dutos'!B52+'Levantamento dutos'!C52)/100)*2</f>
        <v>0</v>
      </c>
      <c r="H52" s="58"/>
      <c r="M52" s="59"/>
      <c r="N52" s="60"/>
      <c r="O52" s="60"/>
      <c r="P52" s="60"/>
      <c r="Q52" s="60"/>
      <c r="S52" s="60"/>
      <c r="T52" s="60"/>
      <c r="U52" s="60"/>
      <c r="V52" s="60"/>
      <c r="W52" s="60"/>
      <c r="X52" s="60"/>
      <c r="Y52" s="60"/>
      <c r="Z52" s="60"/>
      <c r="AA52" s="60"/>
      <c r="AB52" s="60">
        <f>IF(CODE('Levantamento dutos'!$G52)=80,IF('Levantamento dutos'!$B52&gt;30,('Levantamento dutos'!$D52/'Levantamento dutos'!$G$12)*4,0),0)</f>
        <v>0</v>
      </c>
      <c r="AC52" s="60">
        <f>IF('Levantamento dutos'!$B52&gt;220,('Levantamento dutos'!$D52/'Levantamento dutos'!$G$12*Calculos!$G52*2),0)</f>
        <v>0</v>
      </c>
      <c r="AD52" s="60"/>
      <c r="AE52" s="60"/>
    </row>
    <row r="53" spans="2:31" x14ac:dyDescent="0.2">
      <c r="B53" s="58">
        <f>IF('Levantamento dutos'!$B53&lt;=Calculos!$Z$3,((('Levantamento dutos'!$B53)/100+('Levantamento dutos'!$C53)/100)*2)*'Levantamento dutos'!$D53,0)</f>
        <v>0</v>
      </c>
      <c r="C53">
        <f>IF('Levantamento dutos'!$B53&gt;Calculos!$Z$3,IF('Levantamento dutos'!$B53&lt;=Calculos!$Z$4,((('Levantamento dutos'!$B53)/100+('Levantamento dutos'!$C53)/100)*2)*'Levantamento dutos'!$D53,0),0)</f>
        <v>0</v>
      </c>
      <c r="D53">
        <f>IF('Levantamento dutos'!$B53&gt;Calculos!$Z$4,IF('Levantamento dutos'!$B53&lt;=Calculos!$Z$5,((('Levantamento dutos'!$B53)/100+('Levantamento dutos'!$C53)/100)*2)*'Levantamento dutos'!$D53,0),0)</f>
        <v>0</v>
      </c>
      <c r="E53">
        <f>IF('Levantamento dutos'!$B53&gt;Calculos!$Z$5,IF('Levantamento dutos'!$B53&lt;=Calculos!$Z$6,((('Levantamento dutos'!$B53)/100+('Levantamento dutos'!$C53)/100)*2)*'Levantamento dutos'!$D53,0),0)</f>
        <v>0</v>
      </c>
      <c r="F53" s="59">
        <f>IF('Levantamento dutos'!$B53&gt;Calculos!$Z$7,((('Levantamento dutos'!$B53)/100+('Levantamento dutos'!$C53)/100)*2)*'Levantamento dutos'!$D53,0)</f>
        <v>0</v>
      </c>
      <c r="G53">
        <f>(('Levantamento dutos'!B53+'Levantamento dutos'!C53)/100)*2</f>
        <v>0</v>
      </c>
      <c r="H53" s="58"/>
      <c r="I53">
        <f>IF(CODE('Levantamento dutos'!$E53)=73,SUM($B53:$F53),0)</f>
        <v>0</v>
      </c>
      <c r="J53">
        <f>IF(CODE('Levantamento dutos'!$E53)=80,SUM($B53:$F53),0)</f>
        <v>0</v>
      </c>
      <c r="K53">
        <f>IF(CODE('Levantamento dutos'!$F53)=66,SUM($B53:$F53),0)</f>
        <v>0</v>
      </c>
      <c r="L53">
        <f>IF(CODE('Levantamento dutos'!$F53)=70,SUM($B53:$F53),0)</f>
        <v>0</v>
      </c>
      <c r="M53" s="59">
        <f>IF(CODE('Levantamento dutos'!$E53)=84,SUM($B53:$F53),0)</f>
        <v>0</v>
      </c>
      <c r="N53" s="60">
        <f>IF(CODE('Levantamento dutos'!$G53)=80,IF('Levantamento dutos'!$B53&lt;=200,('Levantamento dutos'!$D53/'Levantamento dutos'!$G$12*Calculos!$G53*2),0),0)</f>
        <v>0</v>
      </c>
      <c r="O53" s="60">
        <f>IF(CODE('Levantamento dutos'!$G53)=80,IF('Levantamento dutos'!$B53&gt;200,('Levantamento dutos'!$D53/'Levantamento dutos'!$G$12*Calculos!$G53*2),0),0)</f>
        <v>0</v>
      </c>
      <c r="P53" s="60">
        <f>IF(CODE('Levantamento dutos'!$G53)=67,('Levantamento dutos'!$D53/'Levantamento dutos'!$G$12*Calculos!$G53*2),0)</f>
        <v>0</v>
      </c>
      <c r="Q53" s="60">
        <f>SUM(I53:P53)</f>
        <v>0</v>
      </c>
      <c r="S53" s="60">
        <f>IF(CODE('Levantamento dutos'!$I53)=83,$Q53,0)</f>
        <v>0</v>
      </c>
      <c r="T53" s="60">
        <f>IF(CODE('Levantamento dutos'!$E53)=76,ROUND((('Levantamento dutos'!$D53/5)*(Calculos!$G53+0.2)*1.2),0),0)</f>
        <v>0</v>
      </c>
      <c r="U53" s="60">
        <f>IF(CODE('Levantamento dutos'!$E53)=73,ROUND((('Levantamento dutos'!$D53/0.5)*(Calculos!$G53+0.2)*1.2),0),0)</f>
        <v>0</v>
      </c>
      <c r="V53" s="60">
        <f>IF(CODE('Levantamento dutos'!$E53)=80,ROUND((('Levantamento dutos'!$D53/0.5)*(Calculos!$G53+0.2)*1.2),0),0)</f>
        <v>0</v>
      </c>
      <c r="W53" s="60">
        <f>IF(CODE('Levantamento dutos'!$E53)=76,'Levantamento dutos'!$D53/0.5*1.5,0)</f>
        <v>0</v>
      </c>
      <c r="X53" s="60">
        <f>IF(CODE('Levantamento dutos'!$E53)=73,'Levantamento dutos'!$D53/0.5*1.5,0)</f>
        <v>0</v>
      </c>
      <c r="Y53" s="60">
        <f>IF(CODE('Levantamento dutos'!$E53)=80,'Levantamento dutos'!$D53/0.5*1.5,0)</f>
        <v>0</v>
      </c>
      <c r="Z53" s="60">
        <f>IF(CODE('Levantamento dutos'!$E53)=76,ROUND(('Levantamento dutos'!$D53)+('Levantamento dutos'!$D53*Calculos!$G53*2)*1.1,0),0)</f>
        <v>0</v>
      </c>
      <c r="AA53" s="60">
        <f>IF(CODE('Levantamento dutos'!$G53)=80,('Levantamento dutos'!$D53/'Levantamento dutos'!$G$12)*8,0)</f>
        <v>0</v>
      </c>
      <c r="AB53" s="60">
        <f>IF(CODE('Levantamento dutos'!$G53)=80,IF('Levantamento dutos'!$B53&gt;30,('Levantamento dutos'!$D53/'Levantamento dutos'!$G$12)*4,0),0)</f>
        <v>0</v>
      </c>
      <c r="AC53" s="60">
        <f>IF('Levantamento dutos'!$B53&gt;220,('Levantamento dutos'!$D53/'Levantamento dutos'!$G$12*Calculos!$G53*2),0)</f>
        <v>0</v>
      </c>
      <c r="AD53" s="60">
        <f>IF(CODE('Levantamento dutos'!$E53)=73,((('Levantamento dutos'!$E$12/1000)+0.02)*'Levantamento dutos'!$D53)*4*1.3,0)</f>
        <v>0</v>
      </c>
      <c r="AE53" s="60">
        <f>IF(CODE('Levantamento dutos'!$E53)=80,((('Levantamento dutos'!$E$12/1000)+0.02)*'Levantamento dutos'!$D53)*4*1.3,0)</f>
        <v>0</v>
      </c>
    </row>
    <row r="54" spans="2:31" x14ac:dyDescent="0.2">
      <c r="B54" s="58">
        <f>IF('Levantamento dutos'!$B54&lt;=Calculos!$Z$3,((('Levantamento dutos'!$B54)/100+('Levantamento dutos'!$C54)/100)*2)*'Levantamento dutos'!$D54,0)</f>
        <v>0</v>
      </c>
      <c r="C54">
        <f>IF('Levantamento dutos'!$B54&gt;Calculos!$Z$3,IF('Levantamento dutos'!$B54&lt;=Calculos!$Z$4,((('Levantamento dutos'!$B54)/100+('Levantamento dutos'!$C54)/100)*2)*'Levantamento dutos'!$D54,0),0)</f>
        <v>0</v>
      </c>
      <c r="D54">
        <f>IF('Levantamento dutos'!$B54&gt;Calculos!$Z$4,IF('Levantamento dutos'!$B54&lt;=Calculos!$Z$5,((('Levantamento dutos'!$B54)/100+('Levantamento dutos'!$C54)/100)*2)*'Levantamento dutos'!$D54,0),0)</f>
        <v>0</v>
      </c>
      <c r="E54">
        <f>IF('Levantamento dutos'!$B54&gt;Calculos!$Z$5,IF('Levantamento dutos'!$B54&lt;=Calculos!$Z$6,((('Levantamento dutos'!$B54)/100+('Levantamento dutos'!$C54)/100)*2)*'Levantamento dutos'!$D54,0),0)</f>
        <v>0</v>
      </c>
      <c r="F54" s="59">
        <f>IF('Levantamento dutos'!$B54&gt;Calculos!$Z$7,((('Levantamento dutos'!$B54)/100+('Levantamento dutos'!$C54)/100)*2)*'Levantamento dutos'!$D54,0)</f>
        <v>0</v>
      </c>
      <c r="G54">
        <f>(('Levantamento dutos'!B54+'Levantamento dutos'!C54)/100)*2</f>
        <v>0</v>
      </c>
      <c r="H54" s="58">
        <f>IF(CODE('Levantamento dutos'!$E54)=76,SUM($B54:$F54),0)</f>
        <v>0</v>
      </c>
      <c r="I54">
        <f>IF(CODE('Levantamento dutos'!$E54)=73,SUM($B54:$F54),0)</f>
        <v>0</v>
      </c>
      <c r="J54">
        <f>IF(CODE('Levantamento dutos'!$E54)=80,SUM($B54:$F54),0)</f>
        <v>0</v>
      </c>
      <c r="K54">
        <f>IF(CODE('Levantamento dutos'!$F54)=66,SUM($B54:$F54),0)</f>
        <v>0</v>
      </c>
      <c r="L54">
        <f>IF(CODE('Levantamento dutos'!$F54)=70,SUM($B54:$F54),0)</f>
        <v>0</v>
      </c>
      <c r="M54" s="59">
        <f>IF(CODE('Levantamento dutos'!$E54)=84,SUM($B54:$F54),0)</f>
        <v>0</v>
      </c>
      <c r="N54" s="60">
        <f>IF(CODE('Levantamento dutos'!$G54)=80,IF('Levantamento dutos'!$B54&lt;=200,('Levantamento dutos'!$D54/'Levantamento dutos'!$G$12*Calculos!$G54*2),0),0)</f>
        <v>0</v>
      </c>
      <c r="O54" s="60">
        <f>IF(CODE('Levantamento dutos'!$G54)=80,IF('Levantamento dutos'!$B54&gt;200,('Levantamento dutos'!$D54/'Levantamento dutos'!$G$12*Calculos!$G54*2),0),0)</f>
        <v>0</v>
      </c>
      <c r="P54" s="60">
        <f>IF(CODE('Levantamento dutos'!$G54)=67,('Levantamento dutos'!$D54/'Levantamento dutos'!$G$12*Calculos!$G54*2),0)</f>
        <v>0</v>
      </c>
      <c r="Q54" s="60">
        <f>IF(CODE('Levantamento dutos'!H54)=83,((('Levantamento dutos'!B54/100)+('Levantamento dutos'!$H$12/1000))+(('Levantamento dutos'!C54/100)+('Levantamento dutos'!$H$12)/1000))*2*'Levantamento dutos'!D54,0)</f>
        <v>0</v>
      </c>
      <c r="S54" s="60">
        <f>IF(CODE('Levantamento dutos'!$I54)=83,$Q54,0)</f>
        <v>0</v>
      </c>
      <c r="T54" s="60">
        <f>IF(CODE('Levantamento dutos'!$E54)=76,ROUND((('Levantamento dutos'!$D54/5)*(Calculos!$G54+0.2)*1.2),0),0)</f>
        <v>0</v>
      </c>
      <c r="U54" s="60">
        <f>IF(CODE('Levantamento dutos'!$E54)=73,ROUND((('Levantamento dutos'!$D54/0.5)*(Calculos!$G54+0.2)*1.2),0),0)</f>
        <v>0</v>
      </c>
      <c r="V54" s="60">
        <f>IF(CODE('Levantamento dutos'!$E54)=80,ROUND((('Levantamento dutos'!$D54/0.5)*(Calculos!$G54+0.2)*1.2),0),0)</f>
        <v>0</v>
      </c>
      <c r="W54" s="60">
        <f>IF(CODE('Levantamento dutos'!$E54)=76,'Levantamento dutos'!$D54/0.5*1.5,0)</f>
        <v>0</v>
      </c>
      <c r="X54" s="60">
        <f>IF(CODE('Levantamento dutos'!$E54)=73,'Levantamento dutos'!$D54/0.5*1.5,0)</f>
        <v>0</v>
      </c>
      <c r="Y54" s="60">
        <f>IF(CODE('Levantamento dutos'!$E54)=80,'Levantamento dutos'!$D54/0.5*1.5,0)</f>
        <v>0</v>
      </c>
      <c r="Z54" s="60">
        <f>IF(CODE('Levantamento dutos'!$E54)=76,ROUND(('Levantamento dutos'!$D54)+('Levantamento dutos'!$D54*Calculos!$G54*2)*1.1,0),0)</f>
        <v>0</v>
      </c>
      <c r="AA54" s="60">
        <f>IF(CODE('Levantamento dutos'!$G54)=80,('Levantamento dutos'!$D54/'Levantamento dutos'!$G$12)*8,0)</f>
        <v>0</v>
      </c>
      <c r="AB54" s="60">
        <f>IF(CODE('Levantamento dutos'!$G54)=80,IF('Levantamento dutos'!$B54&gt;30,('Levantamento dutos'!$D54/'Levantamento dutos'!$G$12)*4,0),0)</f>
        <v>0</v>
      </c>
      <c r="AC54" s="60">
        <f>IF('Levantamento dutos'!$B54&gt;220,('Levantamento dutos'!$D54/'Levantamento dutos'!$G$12*Calculos!$G54*2),0)</f>
        <v>0</v>
      </c>
      <c r="AD54" s="60">
        <f>IF(CODE('Levantamento dutos'!$E54)=73,((('Levantamento dutos'!$E$12/1000)+0.02)*'Levantamento dutos'!$D54)*4*1.3,0)</f>
        <v>0</v>
      </c>
      <c r="AE54" s="60">
        <f>IF(CODE('Levantamento dutos'!$E54)=80,((('Levantamento dutos'!$E$12/1000)+0.02)*'Levantamento dutos'!$D54)*4*1.3,0)</f>
        <v>0</v>
      </c>
    </row>
    <row r="55" spans="2:31" x14ac:dyDescent="0.2">
      <c r="B55" s="58">
        <f>IF('Levantamento dutos'!$B55&lt;=Calculos!$Z$3,((('Levantamento dutos'!$B55)/100+('Levantamento dutos'!$C55)/100)*2)*'Levantamento dutos'!$D55,0)</f>
        <v>0</v>
      </c>
      <c r="C55">
        <f>IF('Levantamento dutos'!$B55&gt;Calculos!$Z$3,IF('Levantamento dutos'!$B55&lt;=Calculos!$Z$4,((('Levantamento dutos'!$B55)/100+('Levantamento dutos'!$C55)/100)*2)*'Levantamento dutos'!$D55,0),0)</f>
        <v>0</v>
      </c>
      <c r="D55">
        <f>IF('Levantamento dutos'!$B55&gt;Calculos!$Z$4,IF('Levantamento dutos'!$B55&lt;=Calculos!$Z$5,((('Levantamento dutos'!$B55)/100+('Levantamento dutos'!$C55)/100)*2)*'Levantamento dutos'!$D55,0),0)</f>
        <v>0</v>
      </c>
      <c r="E55">
        <f>IF('Levantamento dutos'!$B55&gt;Calculos!$Z$5,IF('Levantamento dutos'!$B55&lt;=Calculos!$Z$6,((('Levantamento dutos'!$B55)/100+('Levantamento dutos'!$C55)/100)*2)*'Levantamento dutos'!$D55,0),0)</f>
        <v>0</v>
      </c>
      <c r="F55" s="59">
        <f>IF('Levantamento dutos'!$B55&gt;Calculos!$Z$7,((('Levantamento dutos'!$B55)/100+('Levantamento dutos'!$C55)/100)*2)*'Levantamento dutos'!$D55,0)</f>
        <v>0</v>
      </c>
      <c r="G55">
        <f>(('Levantamento dutos'!B55+'Levantamento dutos'!C55)/100)*2</f>
        <v>0</v>
      </c>
      <c r="H55" s="58">
        <f>IF(CODE('Levantamento dutos'!$E55)=76,SUM($B55:$F55),0)</f>
        <v>0</v>
      </c>
      <c r="I55">
        <f>IF(CODE('Levantamento dutos'!$E55)=73,SUM($B55:$F55),0)</f>
        <v>0</v>
      </c>
      <c r="J55">
        <f>IF(CODE('Levantamento dutos'!$E55)=80,SUM($B55:$F55),0)</f>
        <v>0</v>
      </c>
      <c r="K55">
        <f>IF(CODE('Levantamento dutos'!$F55)=66,SUM($B55:$F55),0)</f>
        <v>0</v>
      </c>
      <c r="L55">
        <f>IF(CODE('Levantamento dutos'!$F55)=70,SUM($B55:$F55),0)</f>
        <v>0</v>
      </c>
      <c r="M55" s="59">
        <f>IF(CODE('Levantamento dutos'!$E55)=84,SUM($B55:$F55),0)</f>
        <v>0</v>
      </c>
      <c r="N55" s="60">
        <f>IF(CODE('Levantamento dutos'!$G55)=80,IF('Levantamento dutos'!$B55&lt;=200,('Levantamento dutos'!$D55/'Levantamento dutos'!$G$12*Calculos!$G55*2),0),0)</f>
        <v>0</v>
      </c>
      <c r="O55" s="60">
        <f>IF(CODE('Levantamento dutos'!$G55)=80,IF('Levantamento dutos'!$B55&gt;200,('Levantamento dutos'!$D55/'Levantamento dutos'!$G$12*Calculos!$G55*2),0),0)</f>
        <v>0</v>
      </c>
      <c r="P55" s="60">
        <f>IF(CODE('Levantamento dutos'!$G55)=67,('Levantamento dutos'!$D55/'Levantamento dutos'!$G$12*Calculos!$G55*2),0)</f>
        <v>0</v>
      </c>
      <c r="Q55" s="60">
        <f>IF(CODE('Levantamento dutos'!H55)=83,((('Levantamento dutos'!B55/100)+('Levantamento dutos'!$H$12/1000))+(('Levantamento dutos'!C55/100)+('Levantamento dutos'!$H$12)/1000))*2*'Levantamento dutos'!D55,0)</f>
        <v>0</v>
      </c>
      <c r="S55" s="60">
        <f>IF(CODE('Levantamento dutos'!$I55)=83,$Q55,0)</f>
        <v>0</v>
      </c>
      <c r="T55" s="60">
        <f>IF(CODE('Levantamento dutos'!$E55)=76,ROUND((('Levantamento dutos'!$D55/5)*(Calculos!$G55+0.2)*1.2),0),0)</f>
        <v>0</v>
      </c>
      <c r="U55" s="60">
        <f>IF(CODE('Levantamento dutos'!$E55)=73,ROUND((('Levantamento dutos'!$D55/0.5)*(Calculos!$G55+0.2)*1.2),0),0)</f>
        <v>0</v>
      </c>
      <c r="V55" s="60">
        <f>IF(CODE('Levantamento dutos'!$E55)=80,ROUND((('Levantamento dutos'!$D55/0.5)*(Calculos!$G55+0.2)*1.2),0),0)</f>
        <v>0</v>
      </c>
      <c r="W55" s="60">
        <f>IF(CODE('Levantamento dutos'!$E55)=76,'Levantamento dutos'!$D55/0.5*1.5,0)</f>
        <v>0</v>
      </c>
      <c r="X55" s="60">
        <f>IF(CODE('Levantamento dutos'!$E55)=73,'Levantamento dutos'!$D55/0.5*1.5,0)</f>
        <v>0</v>
      </c>
      <c r="Y55" s="60">
        <f>IF(CODE('Levantamento dutos'!$E55)=80,'Levantamento dutos'!$D55/0.5*1.5,0)</f>
        <v>0</v>
      </c>
      <c r="Z55" s="60">
        <f>IF(CODE('Levantamento dutos'!$E55)=76,ROUND(('Levantamento dutos'!$D55)+('Levantamento dutos'!$D55*Calculos!$G55*2)*1.1,0),0)</f>
        <v>0</v>
      </c>
      <c r="AA55" s="60">
        <f>IF(CODE('Levantamento dutos'!$G55)=80,('Levantamento dutos'!$D55/'Levantamento dutos'!$G$12)*8,0)</f>
        <v>0</v>
      </c>
      <c r="AB55" s="60">
        <f>IF(CODE('Levantamento dutos'!$G55)=80,IF('Levantamento dutos'!$B55&gt;30,('Levantamento dutos'!$D55/'Levantamento dutos'!$G$12)*4,0),0)</f>
        <v>0</v>
      </c>
      <c r="AC55" s="60">
        <f>IF('Levantamento dutos'!$B55&gt;220,('Levantamento dutos'!$D55/'Levantamento dutos'!$G$12*Calculos!$G55*2),0)</f>
        <v>0</v>
      </c>
      <c r="AD55" s="60">
        <f>IF(CODE('Levantamento dutos'!$E55)=73,((('Levantamento dutos'!$E$12/1000)+0.02)*'Levantamento dutos'!$D55)*4*1.3,0)</f>
        <v>0</v>
      </c>
      <c r="AE55" s="60">
        <f>IF(CODE('Levantamento dutos'!$E55)=80,((('Levantamento dutos'!$E$12/1000)+0.02)*'Levantamento dutos'!$D55)*4*1.3,0)</f>
        <v>0</v>
      </c>
    </row>
    <row r="56" spans="2:31" x14ac:dyDescent="0.2">
      <c r="B56" s="58">
        <f>IF('Levantamento dutos'!$B56&lt;=Calculos!$Z$3,((('Levantamento dutos'!$B56)/100+('Levantamento dutos'!$C56)/100)*2)*'Levantamento dutos'!$D56,0)</f>
        <v>0</v>
      </c>
      <c r="C56">
        <f>IF('Levantamento dutos'!$B56&gt;Calculos!$Z$3,IF('Levantamento dutos'!$B56&lt;=Calculos!$Z$4,((('Levantamento dutos'!$B56)/100+('Levantamento dutos'!$C56)/100)*2)*'Levantamento dutos'!$D56,0),0)</f>
        <v>0</v>
      </c>
      <c r="D56">
        <f>IF('Levantamento dutos'!$B56&gt;Calculos!$Z$4,IF('Levantamento dutos'!$B56&lt;=Calculos!$Z$5,((('Levantamento dutos'!$B56)/100+('Levantamento dutos'!$C56)/100)*2)*'Levantamento dutos'!$D56,0),0)</f>
        <v>0</v>
      </c>
      <c r="E56">
        <f>IF('Levantamento dutos'!$B56&gt;Calculos!$Z$5,IF('Levantamento dutos'!$B56&lt;=Calculos!$Z$6,((('Levantamento dutos'!$B56)/100+('Levantamento dutos'!$C56)/100)*2)*'Levantamento dutos'!$D56,0),0)</f>
        <v>0</v>
      </c>
      <c r="F56" s="59">
        <f>IF('Levantamento dutos'!$B56&gt;Calculos!$Z$7,((('Levantamento dutos'!$B56)/100+('Levantamento dutos'!$C56)/100)*2)*'Levantamento dutos'!$D56,0)</f>
        <v>0</v>
      </c>
      <c r="G56">
        <f>(('Levantamento dutos'!B56+'Levantamento dutos'!C56)/100)*2</f>
        <v>0</v>
      </c>
      <c r="H56" s="58">
        <f>IF(CODE('Levantamento dutos'!$E56)=76,SUM($B56:$F56),0)</f>
        <v>0</v>
      </c>
      <c r="I56">
        <f>IF(CODE('Levantamento dutos'!$E56)=73,SUM($B56:$F56),0)</f>
        <v>0</v>
      </c>
      <c r="J56">
        <f>IF(CODE('Levantamento dutos'!$E56)=80,SUM($B56:$F56),0)</f>
        <v>0</v>
      </c>
      <c r="K56">
        <f>IF(CODE('Levantamento dutos'!$F56)=66,SUM($B56:$F56),0)</f>
        <v>0</v>
      </c>
      <c r="L56">
        <f>IF(CODE('Levantamento dutos'!$F56)=70,SUM($B56:$F56),0)</f>
        <v>0</v>
      </c>
      <c r="M56" s="59">
        <f>IF(CODE('Levantamento dutos'!$E56)=84,SUM($B56:$F56),0)</f>
        <v>0</v>
      </c>
      <c r="N56" s="60">
        <f>IF(CODE('Levantamento dutos'!$G56)=80,IF('Levantamento dutos'!$B56&lt;=200,('Levantamento dutos'!$D56/'Levantamento dutos'!$G$12*Calculos!$G56*2),0),0)</f>
        <v>0</v>
      </c>
      <c r="O56" s="60">
        <f>IF(CODE('Levantamento dutos'!$G56)=80,IF('Levantamento dutos'!$B56&gt;200,('Levantamento dutos'!$D56/'Levantamento dutos'!$G$12*Calculos!$G56*2),0),0)</f>
        <v>0</v>
      </c>
      <c r="P56" s="60">
        <f>IF(CODE('Levantamento dutos'!$G56)=67,('Levantamento dutos'!$D56/'Levantamento dutos'!$G$12*Calculos!$G56*2),0)</f>
        <v>0</v>
      </c>
      <c r="Q56" s="60">
        <f>IF(CODE('Levantamento dutos'!H56)=83,((('Levantamento dutos'!B56/100)+('Levantamento dutos'!$H$12/1000))+(('Levantamento dutos'!C56/100)+('Levantamento dutos'!$H$12)/1000))*2*'Levantamento dutos'!D56,0)</f>
        <v>0</v>
      </c>
      <c r="S56" s="60">
        <f>IF(CODE('Levantamento dutos'!$I56)=83,$Q56,0)</f>
        <v>0</v>
      </c>
      <c r="T56" s="60">
        <f>IF(CODE('Levantamento dutos'!$E56)=76,ROUND((('Levantamento dutos'!$D56/5)*(Calculos!$G56+0.2)*1.2),0),0)</f>
        <v>0</v>
      </c>
      <c r="U56" s="60">
        <f>IF(CODE('Levantamento dutos'!$E56)=73,ROUND((('Levantamento dutos'!$D56/0.5)*(Calculos!$G56+0.2)*1.2),0),0)</f>
        <v>0</v>
      </c>
      <c r="V56" s="60">
        <f>IF(CODE('Levantamento dutos'!$E56)=80,ROUND((('Levantamento dutos'!$D56/0.5)*(Calculos!$G56+0.2)*1.2),0),0)</f>
        <v>0</v>
      </c>
      <c r="W56" s="60">
        <f>IF(CODE('Levantamento dutos'!$E56)=76,'Levantamento dutos'!$D56/0.5*1.5,0)</f>
        <v>0</v>
      </c>
      <c r="X56" s="60">
        <f>IF(CODE('Levantamento dutos'!$E56)=73,'Levantamento dutos'!$D56/0.5*1.5,0)</f>
        <v>0</v>
      </c>
      <c r="Y56" s="60">
        <f>IF(CODE('Levantamento dutos'!$E56)=80,'Levantamento dutos'!$D56/0.5*1.5,0)</f>
        <v>0</v>
      </c>
      <c r="Z56" s="60">
        <f>IF(CODE('Levantamento dutos'!$E56)=76,ROUND(('Levantamento dutos'!$D56)+('Levantamento dutos'!$D56*Calculos!$G56*2)*1.1,0),0)</f>
        <v>0</v>
      </c>
      <c r="AA56" s="60">
        <f>IF(CODE('Levantamento dutos'!$G56)=80,('Levantamento dutos'!$D56/'Levantamento dutos'!$G$12)*8,0)</f>
        <v>0</v>
      </c>
      <c r="AB56" s="60">
        <f>IF(CODE('Levantamento dutos'!$G56)=80,IF('Levantamento dutos'!$B56&gt;30,('Levantamento dutos'!$D56/'Levantamento dutos'!$G$12)*4,0),0)</f>
        <v>0</v>
      </c>
      <c r="AC56" s="60">
        <f>IF('Levantamento dutos'!$B56&gt;220,('Levantamento dutos'!$D56/'Levantamento dutos'!$G$12*Calculos!$G56*2),0)</f>
        <v>0</v>
      </c>
      <c r="AD56" s="60">
        <f>IF(CODE('Levantamento dutos'!$E56)=73,((('Levantamento dutos'!$E$12/1000)+0.02)*'Levantamento dutos'!$D56)*4*1.3,0)</f>
        <v>0</v>
      </c>
      <c r="AE56" s="60">
        <f>IF(CODE('Levantamento dutos'!$E56)=80,((('Levantamento dutos'!$E$12/1000)+0.02)*'Levantamento dutos'!$D56)*4*1.3,0)</f>
        <v>0</v>
      </c>
    </row>
    <row r="57" spans="2:31" x14ac:dyDescent="0.2">
      <c r="B57" s="58">
        <f>IF('Levantamento dutos'!$B57&lt;=Calculos!$Z$3,((('Levantamento dutos'!$B57)/100+('Levantamento dutos'!$C57)/100)*2)*'Levantamento dutos'!$D57,0)</f>
        <v>0</v>
      </c>
      <c r="C57">
        <f>IF('Levantamento dutos'!$B57&gt;Calculos!$Z$3,IF('Levantamento dutos'!$B57&lt;=Calculos!$Z$4,((('Levantamento dutos'!$B57)/100+('Levantamento dutos'!$C57)/100)*2)*'Levantamento dutos'!$D57,0),0)</f>
        <v>0</v>
      </c>
      <c r="D57">
        <f>IF('Levantamento dutos'!$B57&gt;Calculos!$Z$4,IF('Levantamento dutos'!$B57&lt;=Calculos!$Z$5,((('Levantamento dutos'!$B57)/100+('Levantamento dutos'!$C57)/100)*2)*'Levantamento dutos'!$D57,0),0)</f>
        <v>0</v>
      </c>
      <c r="E57">
        <f>IF('Levantamento dutos'!$B57&gt;Calculos!$Z$5,IF('Levantamento dutos'!$B57&lt;=Calculos!$Z$6,((('Levantamento dutos'!$B57)/100+('Levantamento dutos'!$C57)/100)*2)*'Levantamento dutos'!$D57,0),0)</f>
        <v>0</v>
      </c>
      <c r="F57" s="59">
        <f>IF('Levantamento dutos'!$B57&gt;Calculos!$Z$7,((('Levantamento dutos'!$B57)/100+('Levantamento dutos'!$C57)/100)*2)*'Levantamento dutos'!$D57,0)</f>
        <v>0</v>
      </c>
      <c r="G57">
        <f>(('Levantamento dutos'!B57+'Levantamento dutos'!C57)/100)*2</f>
        <v>0</v>
      </c>
      <c r="H57" s="58">
        <f>IF(CODE('Levantamento dutos'!$E57)=76,SUM($B57:$F57),0)</f>
        <v>0</v>
      </c>
      <c r="I57">
        <f>IF(CODE('Levantamento dutos'!$E57)=73,SUM($B57:$F57),0)</f>
        <v>0</v>
      </c>
      <c r="J57">
        <f>IF(CODE('Levantamento dutos'!$E57)=80,SUM($B57:$F57),0)</f>
        <v>0</v>
      </c>
      <c r="K57">
        <f>IF(CODE('Levantamento dutos'!$F57)=66,SUM($B57:$F57),0)</f>
        <v>0</v>
      </c>
      <c r="L57">
        <f>IF(CODE('Levantamento dutos'!$F57)=70,SUM($B57:$F57),0)</f>
        <v>0</v>
      </c>
      <c r="M57" s="59">
        <f>IF(CODE('Levantamento dutos'!$E57)=84,SUM($B57:$F57),0)</f>
        <v>0</v>
      </c>
      <c r="N57" s="60">
        <f>IF(CODE('Levantamento dutos'!$G57)=80,IF('Levantamento dutos'!$B57&lt;=200,('Levantamento dutos'!$D57/'Levantamento dutos'!$G$12*Calculos!$G57*2),0),0)</f>
        <v>0</v>
      </c>
      <c r="O57" s="60">
        <f>IF(CODE('Levantamento dutos'!$G57)=80,IF('Levantamento dutos'!$B57&gt;200,('Levantamento dutos'!$D57/'Levantamento dutos'!$G$12*Calculos!$G57*2),0),0)</f>
        <v>0</v>
      </c>
      <c r="P57" s="60">
        <f>IF(CODE('Levantamento dutos'!$G57)=67,('Levantamento dutos'!$D57/'Levantamento dutos'!$G$12*Calculos!$G57*2),0)</f>
        <v>0</v>
      </c>
      <c r="Q57" s="60">
        <f>IF(CODE('Levantamento dutos'!H57)=83,((('Levantamento dutos'!B57/100)+('Levantamento dutos'!$H$12/1000))+(('Levantamento dutos'!C57/100)+('Levantamento dutos'!$H$12)/1000))*2*'Levantamento dutos'!D57,0)</f>
        <v>0</v>
      </c>
      <c r="S57" s="60">
        <f>IF(CODE('Levantamento dutos'!$I57)=83,$Q57,0)</f>
        <v>0</v>
      </c>
      <c r="T57" s="60">
        <f>IF(CODE('Levantamento dutos'!$E57)=76,ROUND((('Levantamento dutos'!$D57/5)*(Calculos!$G57+0.2)*1.2),0),0)</f>
        <v>0</v>
      </c>
      <c r="U57" s="60">
        <f>IF(CODE('Levantamento dutos'!$E57)=73,ROUND((('Levantamento dutos'!$D57/0.5)*(Calculos!$G57+0.2)*1.2),0),0)</f>
        <v>0</v>
      </c>
      <c r="V57" s="60">
        <f>IF(CODE('Levantamento dutos'!$E57)=80,ROUND((('Levantamento dutos'!$D57/0.5)*(Calculos!$G57+0.2)*1.2),0),0)</f>
        <v>0</v>
      </c>
      <c r="W57" s="60">
        <f>IF(CODE('Levantamento dutos'!$E57)=76,'Levantamento dutos'!$D57/0.5*1.5,0)</f>
        <v>0</v>
      </c>
      <c r="X57" s="60">
        <f>IF(CODE('Levantamento dutos'!$E57)=73,'Levantamento dutos'!$D57/0.5*1.5,0)</f>
        <v>0</v>
      </c>
      <c r="Y57" s="60">
        <f>IF(CODE('Levantamento dutos'!$E57)=80,'Levantamento dutos'!$D57/0.5*1.5,0)</f>
        <v>0</v>
      </c>
      <c r="Z57" s="60">
        <f>IF(CODE('Levantamento dutos'!$E57)=76,ROUND(('Levantamento dutos'!$D57)+('Levantamento dutos'!$D57*Calculos!$G57*2)*1.1,0),0)</f>
        <v>0</v>
      </c>
      <c r="AA57" s="60">
        <f>IF(CODE('Levantamento dutos'!$G57)=80,('Levantamento dutos'!$D57/'Levantamento dutos'!$G$12)*8,0)</f>
        <v>0</v>
      </c>
      <c r="AB57" s="60">
        <f>IF(CODE('Levantamento dutos'!$G57)=80,IF('Levantamento dutos'!$B57&gt;30,('Levantamento dutos'!$D57/'Levantamento dutos'!$G$12)*4,0),0)</f>
        <v>0</v>
      </c>
      <c r="AC57" s="60">
        <f>IF('Levantamento dutos'!$B57&gt;220,('Levantamento dutos'!$D57/'Levantamento dutos'!$G$12*Calculos!$G57*2),0)</f>
        <v>0</v>
      </c>
      <c r="AD57" s="60">
        <f>IF(CODE('Levantamento dutos'!$E57)=73,((('Levantamento dutos'!$E$12/1000)+0.02)*'Levantamento dutos'!$D57)*4*1.3,0)</f>
        <v>0</v>
      </c>
      <c r="AE57" s="60">
        <f>IF(CODE('Levantamento dutos'!$E57)=80,((('Levantamento dutos'!$E$12/1000)+0.02)*'Levantamento dutos'!$D57)*4*1.3,0)</f>
        <v>0</v>
      </c>
    </row>
    <row r="58" spans="2:31" x14ac:dyDescent="0.2">
      <c r="B58" s="58">
        <f>IF('Levantamento dutos'!$B58&lt;=Calculos!$Z$3,((('Levantamento dutos'!$B58)/100+('Levantamento dutos'!$C58)/100)*2)*'Levantamento dutos'!$D58,0)</f>
        <v>0</v>
      </c>
      <c r="C58">
        <f>IF('Levantamento dutos'!$B58&gt;Calculos!$Z$3,IF('Levantamento dutos'!$B58&lt;=Calculos!$Z$4,((('Levantamento dutos'!$B58)/100+('Levantamento dutos'!$C58)/100)*2)*'Levantamento dutos'!$D58,0),0)</f>
        <v>0</v>
      </c>
      <c r="D58">
        <f>IF('Levantamento dutos'!$B58&gt;Calculos!$Z$4,IF('Levantamento dutos'!$B58&lt;=Calculos!$Z$5,((('Levantamento dutos'!$B58)/100+('Levantamento dutos'!$C58)/100)*2)*'Levantamento dutos'!$D58,0),0)</f>
        <v>0</v>
      </c>
      <c r="E58">
        <f>IF('Levantamento dutos'!$B58&gt;Calculos!$Z$5,IF('Levantamento dutos'!$B58&lt;=Calculos!$Z$6,((('Levantamento dutos'!$B58)/100+('Levantamento dutos'!$C58)/100)*2)*'Levantamento dutos'!$D58,0),0)</f>
        <v>0</v>
      </c>
      <c r="F58" s="59">
        <f>IF('Levantamento dutos'!$B58&gt;Calculos!$Z$7,((('Levantamento dutos'!$B58)/100+('Levantamento dutos'!$C58)/100)*2)*'Levantamento dutos'!$D58,0)</f>
        <v>0</v>
      </c>
      <c r="G58">
        <f>(('Levantamento dutos'!B58+'Levantamento dutos'!C58)/100)*2</f>
        <v>0</v>
      </c>
      <c r="H58" s="58">
        <f>IF(CODE('Levantamento dutos'!$E58)=76,SUM($B58:$F58),0)</f>
        <v>0</v>
      </c>
      <c r="I58">
        <f>IF(CODE('Levantamento dutos'!$E58)=73,SUM($B58:$F58),0)</f>
        <v>0</v>
      </c>
      <c r="J58">
        <f>IF(CODE('Levantamento dutos'!$E58)=80,SUM($B58:$F58),0)</f>
        <v>0</v>
      </c>
      <c r="K58">
        <f>IF(CODE('Levantamento dutos'!$F58)=66,SUM($B58:$F58),0)</f>
        <v>0</v>
      </c>
      <c r="L58">
        <f>IF(CODE('Levantamento dutos'!$F58)=70,SUM($B58:$F58),0)</f>
        <v>0</v>
      </c>
      <c r="M58" s="59">
        <f>IF(CODE('Levantamento dutos'!$E58)=84,SUM($B58:$F58),0)</f>
        <v>0</v>
      </c>
      <c r="N58" s="60">
        <f>IF(CODE('Levantamento dutos'!$G58)=80,IF('Levantamento dutos'!$B58&lt;=200,('Levantamento dutos'!$D58/'Levantamento dutos'!$G$12*Calculos!$G58*2),0),0)</f>
        <v>0</v>
      </c>
      <c r="O58" s="60">
        <f>IF(CODE('Levantamento dutos'!$G58)=80,IF('Levantamento dutos'!$B58&gt;200,('Levantamento dutos'!$D58/'Levantamento dutos'!$G$12*Calculos!$G58*2),0),0)</f>
        <v>0</v>
      </c>
      <c r="P58" s="60">
        <f>IF(CODE('Levantamento dutos'!$G58)=67,('Levantamento dutos'!$D58/'Levantamento dutos'!$G$12*Calculos!$G58*2),0)</f>
        <v>0</v>
      </c>
      <c r="Q58" s="60">
        <f>IF(CODE('Levantamento dutos'!H58)=83,((('Levantamento dutos'!B58/100)+('Levantamento dutos'!$H$12/1000))+(('Levantamento dutos'!C58/100)+('Levantamento dutos'!$H$12)/1000))*2*'Levantamento dutos'!D58,0)</f>
        <v>0</v>
      </c>
      <c r="S58" s="60">
        <f>IF(CODE('Levantamento dutos'!$I58)=83,$Q58,0)</f>
        <v>0</v>
      </c>
      <c r="T58" s="60">
        <f>IF(CODE('Levantamento dutos'!$E58)=76,ROUND((('Levantamento dutos'!$D58/5)*(Calculos!$G58+0.2)*1.2),0),0)</f>
        <v>0</v>
      </c>
      <c r="U58" s="60">
        <f>IF(CODE('Levantamento dutos'!$E58)=73,ROUND((('Levantamento dutos'!$D58/0.5)*(Calculos!$G58+0.2)*1.2),0),0)</f>
        <v>0</v>
      </c>
      <c r="V58" s="60">
        <f>IF(CODE('Levantamento dutos'!$E58)=80,ROUND((('Levantamento dutos'!$D58/0.5)*(Calculos!$G58+0.2)*1.2),0),0)</f>
        <v>0</v>
      </c>
      <c r="W58" s="60">
        <f>IF(CODE('Levantamento dutos'!$E58)=76,'Levantamento dutos'!$D58/0.5*1.5,0)</f>
        <v>0</v>
      </c>
      <c r="X58" s="60">
        <f>IF(CODE('Levantamento dutos'!$E58)=73,'Levantamento dutos'!$D58/0.5*1.5,0)</f>
        <v>0</v>
      </c>
      <c r="Y58" s="60">
        <f>IF(CODE('Levantamento dutos'!$E58)=80,'Levantamento dutos'!$D58/0.5*1.5,0)</f>
        <v>0</v>
      </c>
      <c r="Z58" s="60">
        <f>IF(CODE('Levantamento dutos'!$E58)=76,ROUND(('Levantamento dutos'!$D58)+('Levantamento dutos'!$D58*Calculos!$G58*2)*1.1,0),0)</f>
        <v>0</v>
      </c>
      <c r="AA58" s="60">
        <f>IF(CODE('Levantamento dutos'!$G58)=80,('Levantamento dutos'!$D58/'Levantamento dutos'!$G$12)*8,0)</f>
        <v>0</v>
      </c>
      <c r="AB58" s="60">
        <f>IF(CODE('Levantamento dutos'!$G58)=80,IF('Levantamento dutos'!$B58&gt;30,('Levantamento dutos'!$D58/'Levantamento dutos'!$G$12)*4,0),0)</f>
        <v>0</v>
      </c>
      <c r="AC58" s="60">
        <f>IF('Levantamento dutos'!$B58&gt;220,('Levantamento dutos'!$D58/'Levantamento dutos'!$G$12*Calculos!$G58*2),0)</f>
        <v>0</v>
      </c>
      <c r="AD58" s="60">
        <f>IF(CODE('Levantamento dutos'!$E58)=73,((('Levantamento dutos'!$E$12/1000)+0.02)*'Levantamento dutos'!$D58)*4*1.3,0)</f>
        <v>0</v>
      </c>
      <c r="AE58" s="60">
        <f>IF(CODE('Levantamento dutos'!$E58)=80,((('Levantamento dutos'!$E$12/1000)+0.02)*'Levantamento dutos'!$D58)*4*1.3,0)</f>
        <v>0</v>
      </c>
    </row>
    <row r="59" spans="2:31" x14ac:dyDescent="0.2">
      <c r="B59" s="58">
        <f>IF('Levantamento dutos'!$B59&lt;=Calculos!$Z$3,((('Levantamento dutos'!$B59)/100+('Levantamento dutos'!$C59)/100)*2)*'Levantamento dutos'!$D59,0)</f>
        <v>0</v>
      </c>
      <c r="C59">
        <f>IF('Levantamento dutos'!$B59&gt;Calculos!$Z$3,IF('Levantamento dutos'!$B59&lt;=Calculos!$Z$4,((('Levantamento dutos'!$B59)/100+('Levantamento dutos'!$C59)/100)*2)*'Levantamento dutos'!$D59,0),0)</f>
        <v>0</v>
      </c>
      <c r="D59">
        <f>IF('Levantamento dutos'!$B59&gt;Calculos!$Z$4,IF('Levantamento dutos'!$B59&lt;=Calculos!$Z$5,((('Levantamento dutos'!$B59)/100+('Levantamento dutos'!$C59)/100)*2)*'Levantamento dutos'!$D59,0),0)</f>
        <v>0</v>
      </c>
      <c r="E59">
        <f>IF('Levantamento dutos'!$B59&gt;Calculos!$Z$5,IF('Levantamento dutos'!$B59&lt;=Calculos!$Z$6,((('Levantamento dutos'!$B59)/100+('Levantamento dutos'!$C59)/100)*2)*'Levantamento dutos'!$D59,0),0)</f>
        <v>0</v>
      </c>
      <c r="F59" s="59">
        <f>IF('Levantamento dutos'!$B59&gt;Calculos!$Z$7,((('Levantamento dutos'!$B59)/100+('Levantamento dutos'!$C59)/100)*2)*'Levantamento dutos'!$D59,0)</f>
        <v>0</v>
      </c>
      <c r="G59">
        <f>(('Levantamento dutos'!B59+'Levantamento dutos'!C59)/100)*2</f>
        <v>0</v>
      </c>
      <c r="H59" s="58">
        <f>IF(CODE('Levantamento dutos'!$E59)=76,SUM($B59:$F59),0)</f>
        <v>0</v>
      </c>
      <c r="I59">
        <f>IF(CODE('Levantamento dutos'!$E59)=73,SUM($B59:$F59),0)</f>
        <v>0</v>
      </c>
      <c r="J59">
        <f>IF(CODE('Levantamento dutos'!$E59)=80,SUM($B59:$F59),0)</f>
        <v>0</v>
      </c>
      <c r="K59">
        <f>IF(CODE('Levantamento dutos'!$F59)=66,SUM($B59:$F59),0)</f>
        <v>0</v>
      </c>
      <c r="L59">
        <f>IF(CODE('Levantamento dutos'!$F59)=70,SUM($B59:$F59),0)</f>
        <v>0</v>
      </c>
      <c r="M59" s="59">
        <f>IF(CODE('Levantamento dutos'!$E59)=84,SUM($B59:$F59),0)</f>
        <v>0</v>
      </c>
      <c r="N59" s="60">
        <f>IF(CODE('Levantamento dutos'!$G59)=80,IF('Levantamento dutos'!$B59&lt;=200,('Levantamento dutos'!$D59/'Levantamento dutos'!$G$12*Calculos!$G59*2),0),0)</f>
        <v>0</v>
      </c>
      <c r="O59" s="60">
        <f>IF(CODE('Levantamento dutos'!$G59)=80,IF('Levantamento dutos'!$B59&gt;200,('Levantamento dutos'!$D59/'Levantamento dutos'!$G$12*Calculos!$G59*2),0),0)</f>
        <v>0</v>
      </c>
      <c r="P59" s="60">
        <f>IF(CODE('Levantamento dutos'!$G59)=67,('Levantamento dutos'!$D59/'Levantamento dutos'!$G$12*Calculos!$G59*2),0)</f>
        <v>0</v>
      </c>
      <c r="Q59" s="60">
        <f>IF(CODE('Levantamento dutos'!H59)=83,((('Levantamento dutos'!B59/100)+('Levantamento dutos'!$H$12/1000))+(('Levantamento dutos'!C59/100)+('Levantamento dutos'!$H$12)/1000))*2*'Levantamento dutos'!D59,0)</f>
        <v>0</v>
      </c>
      <c r="S59" s="60">
        <f>IF(CODE('Levantamento dutos'!$I59)=83,$Q59,0)</f>
        <v>0</v>
      </c>
      <c r="T59" s="60">
        <f>IF(CODE('Levantamento dutos'!$E59)=76,ROUND((('Levantamento dutos'!$D59/5)*(Calculos!$G59+0.2)*1.2),0),0)</f>
        <v>0</v>
      </c>
      <c r="U59" s="60">
        <f>IF(CODE('Levantamento dutos'!$E59)=73,ROUND((('Levantamento dutos'!$D59/0.5)*(Calculos!$G59+0.2)*1.2),0),0)</f>
        <v>0</v>
      </c>
      <c r="V59" s="60">
        <f>IF(CODE('Levantamento dutos'!$E59)=80,ROUND((('Levantamento dutos'!$D59/0.5)*(Calculos!$G59+0.2)*1.2),0),0)</f>
        <v>0</v>
      </c>
      <c r="W59" s="60">
        <f>IF(CODE('Levantamento dutos'!$E59)=76,'Levantamento dutos'!$D59/0.5*1.5,0)</f>
        <v>0</v>
      </c>
      <c r="X59" s="60">
        <f>IF(CODE('Levantamento dutos'!$E59)=73,'Levantamento dutos'!$D59/0.5*1.5,0)</f>
        <v>0</v>
      </c>
      <c r="Y59" s="60">
        <f>IF(CODE('Levantamento dutos'!$E59)=80,'Levantamento dutos'!$D59/0.5*1.5,0)</f>
        <v>0</v>
      </c>
      <c r="Z59" s="60">
        <f>IF(CODE('Levantamento dutos'!$E59)=76,ROUND(('Levantamento dutos'!$D59)+('Levantamento dutos'!$D59*Calculos!$G59*2)*1.1,0),0)</f>
        <v>0</v>
      </c>
      <c r="AA59" s="60">
        <f>IF(CODE('Levantamento dutos'!$G59)=80,('Levantamento dutos'!$D59/'Levantamento dutos'!$G$12)*8,0)</f>
        <v>0</v>
      </c>
      <c r="AB59" s="60">
        <f>IF(CODE('Levantamento dutos'!$G59)=80,IF('Levantamento dutos'!$B59&gt;30,('Levantamento dutos'!$D59/'Levantamento dutos'!$G$12)*4,0),0)</f>
        <v>0</v>
      </c>
      <c r="AC59" s="60">
        <f>IF('Levantamento dutos'!$B59&gt;220,('Levantamento dutos'!$D59/'Levantamento dutos'!$G$12*Calculos!$G59*2),0)</f>
        <v>0</v>
      </c>
      <c r="AD59" s="60">
        <f>IF(CODE('Levantamento dutos'!$E59)=73,((('Levantamento dutos'!$E$12/1000)+0.02)*'Levantamento dutos'!$D59)*4*1.3,0)</f>
        <v>0</v>
      </c>
      <c r="AE59" s="60">
        <f>IF(CODE('Levantamento dutos'!$E59)=80,((('Levantamento dutos'!$E$12/1000)+0.02)*'Levantamento dutos'!$D59)*4*1.3,0)</f>
        <v>0</v>
      </c>
    </row>
    <row r="60" spans="2:31" x14ac:dyDescent="0.2">
      <c r="B60" s="58">
        <f>IF('Levantamento dutos'!$B60&lt;=Calculos!$Z$3,((('Levantamento dutos'!$B60)/100+('Levantamento dutos'!$C60)/100)*2)*'Levantamento dutos'!$D60,0)</f>
        <v>0</v>
      </c>
      <c r="C60">
        <f>IF('Levantamento dutos'!$B60&gt;Calculos!$Z$3,IF('Levantamento dutos'!$B60&lt;=Calculos!$Z$4,((('Levantamento dutos'!$B60)/100+('Levantamento dutos'!$C60)/100)*2)*'Levantamento dutos'!$D60,0),0)</f>
        <v>0</v>
      </c>
      <c r="D60">
        <f>IF('Levantamento dutos'!$B60&gt;Calculos!$Z$4,IF('Levantamento dutos'!$B60&lt;=Calculos!$Z$5,((('Levantamento dutos'!$B60)/100+('Levantamento dutos'!$C60)/100)*2)*'Levantamento dutos'!$D60,0),0)</f>
        <v>0</v>
      </c>
      <c r="E60">
        <f>IF('Levantamento dutos'!$B60&gt;Calculos!$Z$5,IF('Levantamento dutos'!$B60&lt;=Calculos!$Z$6,((('Levantamento dutos'!$B60)/100+('Levantamento dutos'!$C60)/100)*2)*'Levantamento dutos'!$D60,0),0)</f>
        <v>0</v>
      </c>
      <c r="F60" s="59">
        <f>IF('Levantamento dutos'!$B60&gt;Calculos!$Z$7,((('Levantamento dutos'!$B60)/100+('Levantamento dutos'!$C60)/100)*2)*'Levantamento dutos'!$D60,0)</f>
        <v>0</v>
      </c>
      <c r="G60">
        <f>(('Levantamento dutos'!B60+'Levantamento dutos'!C60)/100)*2</f>
        <v>0</v>
      </c>
      <c r="H60" s="58">
        <f>IF(CODE('Levantamento dutos'!$E60)=76,SUM($B60:$F60),0)</f>
        <v>0</v>
      </c>
      <c r="I60">
        <f>IF(CODE('Levantamento dutos'!$E60)=73,SUM($B60:$F60),0)</f>
        <v>0</v>
      </c>
      <c r="J60">
        <f>IF(CODE('Levantamento dutos'!$E60)=80,SUM($B60:$F60),0)</f>
        <v>0</v>
      </c>
      <c r="K60">
        <f>IF(CODE('Levantamento dutos'!$F60)=66,SUM($B60:$F60),0)</f>
        <v>0</v>
      </c>
      <c r="L60">
        <f>IF(CODE('Levantamento dutos'!$F60)=70,SUM($B60:$F60),0)</f>
        <v>0</v>
      </c>
      <c r="M60" s="59">
        <f>IF(CODE('Levantamento dutos'!$E60)=84,SUM($B60:$F60),0)</f>
        <v>0</v>
      </c>
      <c r="N60" s="60">
        <f>IF(CODE('Levantamento dutos'!$G60)=80,IF('Levantamento dutos'!$B60&lt;=200,('Levantamento dutos'!$D60/'Levantamento dutos'!$G$12*Calculos!$G60*2),0),0)</f>
        <v>0</v>
      </c>
      <c r="O60" s="60">
        <f>IF(CODE('Levantamento dutos'!$G60)=80,IF('Levantamento dutos'!$B60&gt;200,('Levantamento dutos'!$D60/'Levantamento dutos'!$G$12*Calculos!$G60*2),0),0)</f>
        <v>0</v>
      </c>
      <c r="P60" s="60">
        <f>IF(CODE('Levantamento dutos'!$G60)=67,('Levantamento dutos'!$D60/'Levantamento dutos'!$G$12*Calculos!$G60*2),0)</f>
        <v>0</v>
      </c>
      <c r="Q60" s="60">
        <f>IF(CODE('Levantamento dutos'!H60)=83,((('Levantamento dutos'!B60/100)+('Levantamento dutos'!$H$12/1000))+(('Levantamento dutos'!C60/100)+('Levantamento dutos'!$H$12)/1000))*2*'Levantamento dutos'!D60,0)</f>
        <v>0</v>
      </c>
      <c r="S60" s="60">
        <f>IF(CODE('Levantamento dutos'!$I60)=83,$Q60,0)</f>
        <v>0</v>
      </c>
      <c r="T60" s="60">
        <f>IF(CODE('Levantamento dutos'!$E60)=76,ROUND((('Levantamento dutos'!$D60/5)*(Calculos!$G60+0.2)*1.2),0),0)</f>
        <v>0</v>
      </c>
      <c r="U60" s="60">
        <f>IF(CODE('Levantamento dutos'!$E60)=73,ROUND((('Levantamento dutos'!$D60/0.5)*(Calculos!$G60+0.2)*1.2),0),0)</f>
        <v>0</v>
      </c>
      <c r="V60" s="60">
        <f>IF(CODE('Levantamento dutos'!$E60)=80,ROUND((('Levantamento dutos'!$D60/0.5)*(Calculos!$G60+0.2)*1.2),0),0)</f>
        <v>0</v>
      </c>
      <c r="W60" s="60">
        <f>IF(CODE('Levantamento dutos'!$E60)=76,'Levantamento dutos'!$D60/0.5*1.5,0)</f>
        <v>0</v>
      </c>
      <c r="X60" s="60">
        <f>IF(CODE('Levantamento dutos'!$E60)=73,'Levantamento dutos'!$D60/0.5*1.5,0)</f>
        <v>0</v>
      </c>
      <c r="Y60" s="60">
        <f>IF(CODE('Levantamento dutos'!$E60)=80,'Levantamento dutos'!$D60/0.5*1.5,0)</f>
        <v>0</v>
      </c>
      <c r="Z60" s="60">
        <f>IF(CODE('Levantamento dutos'!$E60)=76,ROUND(('Levantamento dutos'!$D60)+('Levantamento dutos'!$D60*Calculos!$G60*2)*1.1,0),0)</f>
        <v>0</v>
      </c>
      <c r="AA60" s="60">
        <f>IF(CODE('Levantamento dutos'!$G60)=80,('Levantamento dutos'!$D60/'Levantamento dutos'!$G$12)*8,0)</f>
        <v>0</v>
      </c>
      <c r="AB60" s="60">
        <f>IF(CODE('Levantamento dutos'!$G60)=80,IF('Levantamento dutos'!$B60&gt;30,('Levantamento dutos'!$D60/'Levantamento dutos'!$G$12)*4,0),0)</f>
        <v>0</v>
      </c>
      <c r="AC60" s="60">
        <f>IF('Levantamento dutos'!$B60&gt;220,('Levantamento dutos'!$D60/'Levantamento dutos'!$G$12*Calculos!$G60*2),0)</f>
        <v>0</v>
      </c>
      <c r="AD60" s="60">
        <f>IF(CODE('Levantamento dutos'!$E60)=73,((('Levantamento dutos'!$E$12/1000)+0.02)*'Levantamento dutos'!$D60)*4*1.3,0)</f>
        <v>0</v>
      </c>
      <c r="AE60" s="60">
        <f>IF(CODE('Levantamento dutos'!$E60)=80,((('Levantamento dutos'!$E$12/1000)+0.02)*'Levantamento dutos'!$D60)*4*1.3,0)</f>
        <v>0</v>
      </c>
    </row>
    <row r="61" spans="2:31" x14ac:dyDescent="0.2">
      <c r="B61" s="58">
        <f>IF('Levantamento dutos'!$B61&lt;=Calculos!$Z$3,((('Levantamento dutos'!$B61)/100+('Levantamento dutos'!$C61)/100)*2)*'Levantamento dutos'!$D61,0)</f>
        <v>0</v>
      </c>
      <c r="C61">
        <f>IF('Levantamento dutos'!$B61&gt;Calculos!$Z$3,IF('Levantamento dutos'!$B61&lt;=Calculos!$Z$4,((('Levantamento dutos'!$B61)/100+('Levantamento dutos'!$C61)/100)*2)*'Levantamento dutos'!$D61,0),0)</f>
        <v>0</v>
      </c>
      <c r="D61">
        <f>IF('Levantamento dutos'!$B61&gt;Calculos!$Z$4,IF('Levantamento dutos'!$B61&lt;=Calculos!$Z$5,((('Levantamento dutos'!$B61)/100+('Levantamento dutos'!$C61)/100)*2)*'Levantamento dutos'!$D61,0),0)</f>
        <v>0</v>
      </c>
      <c r="E61">
        <f>IF('Levantamento dutos'!$B61&gt;Calculos!$Z$5,IF('Levantamento dutos'!$B61&lt;=Calculos!$Z$6,((('Levantamento dutos'!$B61)/100+('Levantamento dutos'!$C61)/100)*2)*'Levantamento dutos'!$D61,0),0)</f>
        <v>0</v>
      </c>
      <c r="F61" s="59">
        <f>IF('Levantamento dutos'!$B61&gt;Calculos!$Z$7,((('Levantamento dutos'!$B61)/100+('Levantamento dutos'!$C61)/100)*2)*'Levantamento dutos'!$D61,0)</f>
        <v>0</v>
      </c>
      <c r="G61">
        <f>(('Levantamento dutos'!B61+'Levantamento dutos'!C61)/100)*2</f>
        <v>0</v>
      </c>
      <c r="H61" s="58">
        <f>IF(CODE('Levantamento dutos'!$E61)=76,SUM($B61:$F61),0)</f>
        <v>0</v>
      </c>
      <c r="I61">
        <f>IF(CODE('Levantamento dutos'!$E61)=73,SUM($B61:$F61),0)</f>
        <v>0</v>
      </c>
      <c r="J61">
        <f>IF(CODE('Levantamento dutos'!$E61)=80,SUM($B61:$F61),0)</f>
        <v>0</v>
      </c>
      <c r="K61">
        <f>IF(CODE('Levantamento dutos'!$F61)=66,SUM($B61:$F61),0)</f>
        <v>0</v>
      </c>
      <c r="L61">
        <f>IF(CODE('Levantamento dutos'!$F61)=70,SUM($B61:$F61),0)</f>
        <v>0</v>
      </c>
      <c r="M61" s="59">
        <f>IF(CODE('Levantamento dutos'!$E61)=84,SUM($B61:$F61),0)</f>
        <v>0</v>
      </c>
      <c r="N61" s="60">
        <f>IF(CODE('Levantamento dutos'!$G61)=80,IF('Levantamento dutos'!$B61&lt;=200,('Levantamento dutos'!$D61/'Levantamento dutos'!$G$12*Calculos!$G61*2),0),0)</f>
        <v>0</v>
      </c>
      <c r="O61" s="60">
        <f>IF(CODE('Levantamento dutos'!$G61)=80,IF('Levantamento dutos'!$B61&gt;200,('Levantamento dutos'!$D61/'Levantamento dutos'!$G$12*Calculos!$G61*2),0),0)</f>
        <v>0</v>
      </c>
      <c r="P61" s="60">
        <f>IF(CODE('Levantamento dutos'!$G61)=67,('Levantamento dutos'!$D61/'Levantamento dutos'!$G$12*Calculos!$G61*2),0)</f>
        <v>0</v>
      </c>
      <c r="Q61" s="60">
        <f>IF(CODE('Levantamento dutos'!H61)=83,((('Levantamento dutos'!B61/100)+('Levantamento dutos'!$H$12/1000))+(('Levantamento dutos'!C61/100)+('Levantamento dutos'!$H$12)/1000))*2*'Levantamento dutos'!D61,0)</f>
        <v>0</v>
      </c>
      <c r="S61" s="60">
        <f>IF(CODE('Levantamento dutos'!$I61)=83,$Q61,0)</f>
        <v>0</v>
      </c>
      <c r="T61" s="60">
        <f>IF(CODE('Levantamento dutos'!$E61)=76,ROUND((('Levantamento dutos'!$D61/5)*(Calculos!$G61+0.2)*1.2),0),0)</f>
        <v>0</v>
      </c>
      <c r="U61" s="60">
        <f>IF(CODE('Levantamento dutos'!$E61)=73,ROUND((('Levantamento dutos'!$D61/0.5)*(Calculos!$G61+0.2)*1.2),0),0)</f>
        <v>0</v>
      </c>
      <c r="V61" s="60">
        <f>IF(CODE('Levantamento dutos'!$E61)=80,ROUND((('Levantamento dutos'!$D61/0.5)*(Calculos!$G61+0.2)*1.2),0),0)</f>
        <v>0</v>
      </c>
      <c r="W61" s="60">
        <f>IF(CODE('Levantamento dutos'!$E61)=76,'Levantamento dutos'!$D61/0.5*1.5,0)</f>
        <v>0</v>
      </c>
      <c r="X61" s="60">
        <f>IF(CODE('Levantamento dutos'!$E61)=73,'Levantamento dutos'!$D61/0.5*1.5,0)</f>
        <v>0</v>
      </c>
      <c r="Y61" s="60">
        <f>IF(CODE('Levantamento dutos'!$E61)=80,'Levantamento dutos'!$D61/0.5*1.5,0)</f>
        <v>0</v>
      </c>
      <c r="Z61" s="60">
        <f>IF(CODE('Levantamento dutos'!$E61)=76,ROUND(('Levantamento dutos'!$D61)+('Levantamento dutos'!$D61*Calculos!$G61*2)*1.1,0),0)</f>
        <v>0</v>
      </c>
      <c r="AA61" s="60">
        <f>IF(CODE('Levantamento dutos'!$G61)=80,('Levantamento dutos'!$D61/'Levantamento dutos'!$G$12)*8,0)</f>
        <v>0</v>
      </c>
      <c r="AB61" s="60">
        <f>IF(CODE('Levantamento dutos'!$G61)=80,IF('Levantamento dutos'!$B61&gt;30,('Levantamento dutos'!$D61/'Levantamento dutos'!$G$12)*4,0),0)</f>
        <v>0</v>
      </c>
      <c r="AC61" s="60">
        <f>IF('Levantamento dutos'!$B61&gt;220,('Levantamento dutos'!$D61/'Levantamento dutos'!$G$12*Calculos!$G61*2),0)</f>
        <v>0</v>
      </c>
      <c r="AD61" s="60">
        <f>IF(CODE('Levantamento dutos'!$E61)=73,((('Levantamento dutos'!$E$12/1000)+0.02)*'Levantamento dutos'!$D61)*4*1.3,0)</f>
        <v>0</v>
      </c>
      <c r="AE61" s="60">
        <f>IF(CODE('Levantamento dutos'!$E61)=80,((('Levantamento dutos'!$E$12/1000)+0.02)*'Levantamento dutos'!$D61)*4*1.3,0)</f>
        <v>0</v>
      </c>
    </row>
    <row r="62" spans="2:31" x14ac:dyDescent="0.2">
      <c r="B62" s="58">
        <f>IF('Levantamento dutos'!$B62&lt;=Calculos!$Z$3,((('Levantamento dutos'!$B62)/100+('Levantamento dutos'!$C62)/100)*2)*'Levantamento dutos'!$D62,0)</f>
        <v>0</v>
      </c>
      <c r="C62">
        <f>IF('Levantamento dutos'!$B62&gt;Calculos!$Z$3,IF('Levantamento dutos'!$B62&lt;=Calculos!$Z$4,((('Levantamento dutos'!$B62)/100+('Levantamento dutos'!$C62)/100)*2)*'Levantamento dutos'!$D62,0),0)</f>
        <v>0</v>
      </c>
      <c r="D62">
        <f>IF('Levantamento dutos'!$B62&gt;Calculos!$Z$4,IF('Levantamento dutos'!$B62&lt;=Calculos!$Z$5,((('Levantamento dutos'!$B62)/100+('Levantamento dutos'!$C62)/100)*2)*'Levantamento dutos'!$D62,0),0)</f>
        <v>0</v>
      </c>
      <c r="E62">
        <f>IF('Levantamento dutos'!$B62&gt;Calculos!$Z$5,IF('Levantamento dutos'!$B62&lt;=Calculos!$Z$6,((('Levantamento dutos'!$B62)/100+('Levantamento dutos'!$C62)/100)*2)*'Levantamento dutos'!$D62,0),0)</f>
        <v>0</v>
      </c>
      <c r="F62" s="59">
        <f>IF('Levantamento dutos'!$B62&gt;Calculos!$Z$7,((('Levantamento dutos'!$B62)/100+('Levantamento dutos'!$C62)/100)*2)*'Levantamento dutos'!$D62,0)</f>
        <v>0</v>
      </c>
      <c r="G62">
        <f>(('Levantamento dutos'!B62+'Levantamento dutos'!C62)/100)*2</f>
        <v>0</v>
      </c>
      <c r="H62" s="58">
        <f>IF(CODE('Levantamento dutos'!$E62)=76,SUM($B62:$F62),0)</f>
        <v>0</v>
      </c>
      <c r="I62">
        <f>IF(CODE('Levantamento dutos'!$E62)=73,SUM($B62:$F62),0)</f>
        <v>0</v>
      </c>
      <c r="J62">
        <f>IF(CODE('Levantamento dutos'!$E62)=80,SUM($B62:$F62),0)</f>
        <v>0</v>
      </c>
      <c r="K62">
        <f>IF(CODE('Levantamento dutos'!$F62)=66,SUM($B62:$F62),0)</f>
        <v>0</v>
      </c>
      <c r="L62">
        <f>IF(CODE('Levantamento dutos'!$F62)=70,SUM($B62:$F62),0)</f>
        <v>0</v>
      </c>
      <c r="M62" s="59">
        <f>IF(CODE('Levantamento dutos'!$E62)=84,SUM($B62:$F62),0)</f>
        <v>0</v>
      </c>
      <c r="N62" s="60">
        <f>IF(CODE('Levantamento dutos'!$G62)=80,IF('Levantamento dutos'!$B62&lt;=200,('Levantamento dutos'!$D62/'Levantamento dutos'!$G$12*Calculos!$G62*2),0),0)</f>
        <v>0</v>
      </c>
      <c r="O62" s="60">
        <f>IF(CODE('Levantamento dutos'!$G62)=80,IF('Levantamento dutos'!$B62&gt;200,('Levantamento dutos'!$D62/'Levantamento dutos'!$G$12*Calculos!$G62*2),0),0)</f>
        <v>0</v>
      </c>
      <c r="P62" s="60">
        <f>IF(CODE('Levantamento dutos'!$G62)=67,('Levantamento dutos'!$D62/'Levantamento dutos'!$G$12*Calculos!$G62*2),0)</f>
        <v>0</v>
      </c>
      <c r="Q62" s="60">
        <f>IF(CODE('Levantamento dutos'!H62)=83,((('Levantamento dutos'!B62/100)+('Levantamento dutos'!$H$12/1000))+(('Levantamento dutos'!C62/100)+('Levantamento dutos'!$H$12)/1000))*2*'Levantamento dutos'!D62,0)</f>
        <v>0</v>
      </c>
      <c r="S62" s="60">
        <f>IF(CODE('Levantamento dutos'!$I62)=83,$Q62,0)</f>
        <v>0</v>
      </c>
      <c r="T62" s="60">
        <f>IF(CODE('Levantamento dutos'!$E62)=76,ROUND((('Levantamento dutos'!$D62/5)*(Calculos!$G62+0.2)*1.2),0),0)</f>
        <v>0</v>
      </c>
      <c r="U62" s="60">
        <f>IF(CODE('Levantamento dutos'!$E62)=73,ROUND((('Levantamento dutos'!$D62/0.5)*(Calculos!$G62+0.2)*1.2),0),0)</f>
        <v>0</v>
      </c>
      <c r="V62" s="60">
        <f>IF(CODE('Levantamento dutos'!$E62)=80,ROUND((('Levantamento dutos'!$D62/0.5)*(Calculos!$G62+0.2)*1.2),0),0)</f>
        <v>0</v>
      </c>
      <c r="W62" s="60">
        <f>IF(CODE('Levantamento dutos'!$E62)=76,'Levantamento dutos'!$D62/0.5*1.5,0)</f>
        <v>0</v>
      </c>
      <c r="X62" s="60">
        <f>IF(CODE('Levantamento dutos'!$E62)=73,'Levantamento dutos'!$D62/0.5*1.5,0)</f>
        <v>0</v>
      </c>
      <c r="Y62" s="60">
        <f>IF(CODE('Levantamento dutos'!$E62)=80,'Levantamento dutos'!$D62/0.5*1.5,0)</f>
        <v>0</v>
      </c>
      <c r="Z62" s="60">
        <f>IF(CODE('Levantamento dutos'!$E62)=76,ROUND(('Levantamento dutos'!$D62)+('Levantamento dutos'!$D62*Calculos!$G62*2)*1.1,0),0)</f>
        <v>0</v>
      </c>
      <c r="AA62" s="60">
        <f>IF(CODE('Levantamento dutos'!$G62)=80,('Levantamento dutos'!$D62/'Levantamento dutos'!$G$12)*8,0)</f>
        <v>0</v>
      </c>
      <c r="AB62" s="60">
        <f>IF(CODE('Levantamento dutos'!$G62)=80,IF('Levantamento dutos'!$B62&gt;30,('Levantamento dutos'!$D62/'Levantamento dutos'!$G$12)*4,0),0)</f>
        <v>0</v>
      </c>
      <c r="AC62" s="60">
        <f>IF('Levantamento dutos'!$B62&gt;220,('Levantamento dutos'!$D62/'Levantamento dutos'!$G$12*Calculos!$G62*2),0)</f>
        <v>0</v>
      </c>
      <c r="AD62" s="60">
        <f>IF(CODE('Levantamento dutos'!$E62)=73,((('Levantamento dutos'!$E$12/1000)+0.02)*'Levantamento dutos'!$D62)*4*1.3,0)</f>
        <v>0</v>
      </c>
      <c r="AE62" s="60">
        <f>IF(CODE('Levantamento dutos'!$E62)=80,((('Levantamento dutos'!$E$12/1000)+0.02)*'Levantamento dutos'!$D62)*4*1.3,0)</f>
        <v>0</v>
      </c>
    </row>
    <row r="63" spans="2:31" x14ac:dyDescent="0.2">
      <c r="B63" s="58">
        <f>IF('Levantamento dutos'!$B63&lt;=Calculos!$Z$3,((('Levantamento dutos'!$B63)/100+('Levantamento dutos'!$C63)/100)*2)*'Levantamento dutos'!$D63,0)</f>
        <v>0</v>
      </c>
      <c r="C63">
        <f>IF('Levantamento dutos'!$B63&gt;Calculos!$Z$3,IF('Levantamento dutos'!$B63&lt;=Calculos!$Z$4,((('Levantamento dutos'!$B63)/100+('Levantamento dutos'!$C63)/100)*2)*'Levantamento dutos'!$D63,0),0)</f>
        <v>0</v>
      </c>
      <c r="D63">
        <f>IF('Levantamento dutos'!$B63&gt;Calculos!$Z$4,IF('Levantamento dutos'!$B63&lt;=Calculos!$Z$5,((('Levantamento dutos'!$B63)/100+('Levantamento dutos'!$C63)/100)*2)*'Levantamento dutos'!$D63,0),0)</f>
        <v>0</v>
      </c>
      <c r="E63">
        <f>IF('Levantamento dutos'!$B63&gt;Calculos!$Z$5,IF('Levantamento dutos'!$B63&lt;=Calculos!$Z$6,((('Levantamento dutos'!$B63)/100+('Levantamento dutos'!$C63)/100)*2)*'Levantamento dutos'!$D63,0),0)</f>
        <v>0</v>
      </c>
      <c r="F63" s="59">
        <f>IF('Levantamento dutos'!$B63&gt;Calculos!$Z$7,((('Levantamento dutos'!$B63)/100+('Levantamento dutos'!$C63)/100)*2)*'Levantamento dutos'!$D63,0)</f>
        <v>0</v>
      </c>
      <c r="G63">
        <f>(('Levantamento dutos'!B63+'Levantamento dutos'!C63)/100)*2</f>
        <v>0</v>
      </c>
      <c r="H63" s="58">
        <f>IF(CODE('Levantamento dutos'!$E63)=76,SUM($B63:$F63),0)</f>
        <v>0</v>
      </c>
      <c r="I63">
        <f>IF(CODE('Levantamento dutos'!$E63)=73,SUM($B63:$F63),0)</f>
        <v>0</v>
      </c>
      <c r="J63">
        <f>IF(CODE('Levantamento dutos'!$E63)=80,SUM($B63:$F63),0)</f>
        <v>0</v>
      </c>
      <c r="K63">
        <f>IF(CODE('Levantamento dutos'!$F63)=66,SUM($B63:$F63),0)</f>
        <v>0</v>
      </c>
      <c r="L63">
        <f>IF(CODE('Levantamento dutos'!$F63)=70,SUM($B63:$F63),0)</f>
        <v>0</v>
      </c>
      <c r="M63" s="59">
        <f>IF(CODE('Levantamento dutos'!$E63)=84,SUM($B63:$F63),0)</f>
        <v>0</v>
      </c>
      <c r="N63" s="60">
        <f>IF(CODE('Levantamento dutos'!$G63)=80,IF('Levantamento dutos'!$B63&lt;=200,('Levantamento dutos'!$D63/'Levantamento dutos'!$G$12*Calculos!$G63*2),0),0)</f>
        <v>0</v>
      </c>
      <c r="O63" s="60">
        <f>IF(CODE('Levantamento dutos'!$G63)=80,IF('Levantamento dutos'!$B63&gt;200,('Levantamento dutos'!$D63/'Levantamento dutos'!$G$12*Calculos!$G63*2),0),0)</f>
        <v>0</v>
      </c>
      <c r="P63" s="60">
        <f>IF(CODE('Levantamento dutos'!$G63)=67,('Levantamento dutos'!$D63/'Levantamento dutos'!$G$12*Calculos!$G63*2),0)</f>
        <v>0</v>
      </c>
      <c r="Q63" s="60">
        <f>IF(CODE('Levantamento dutos'!H63)=83,((('Levantamento dutos'!B63/100)+('Levantamento dutos'!$H$12/1000))+(('Levantamento dutos'!C63/100)+('Levantamento dutos'!$H$12)/1000))*2*'Levantamento dutos'!D63,0)</f>
        <v>0</v>
      </c>
      <c r="S63" s="60">
        <f>IF(CODE('Levantamento dutos'!$I63)=83,$Q63,0)</f>
        <v>0</v>
      </c>
      <c r="T63" s="60">
        <f>IF(CODE('Levantamento dutos'!$E63)=76,ROUND((('Levantamento dutos'!$D63/5)*(Calculos!$G63+0.2)*1.2),0),0)</f>
        <v>0</v>
      </c>
      <c r="U63" s="60">
        <f>IF(CODE('Levantamento dutos'!$E63)=73,ROUND((('Levantamento dutos'!$D63/0.5)*(Calculos!$G63+0.2)*1.2),0),0)</f>
        <v>0</v>
      </c>
      <c r="V63" s="60">
        <f>IF(CODE('Levantamento dutos'!$E63)=80,ROUND((('Levantamento dutos'!$D63/0.5)*(Calculos!$G63+0.2)*1.2),0),0)</f>
        <v>0</v>
      </c>
      <c r="W63" s="60">
        <f>IF(CODE('Levantamento dutos'!$E63)=76,'Levantamento dutos'!$D63/0.5*1.5,0)</f>
        <v>0</v>
      </c>
      <c r="X63" s="60">
        <f>IF(CODE('Levantamento dutos'!$E63)=73,'Levantamento dutos'!$D63/0.5*1.5,0)</f>
        <v>0</v>
      </c>
      <c r="Y63" s="60">
        <f>IF(CODE('Levantamento dutos'!$E63)=80,'Levantamento dutos'!$D63/0.5*1.5,0)</f>
        <v>0</v>
      </c>
      <c r="Z63" s="60">
        <f>IF(CODE('Levantamento dutos'!$E63)=76,ROUND(('Levantamento dutos'!$D63)+('Levantamento dutos'!$D63*Calculos!$G63*2)*1.1,0),0)</f>
        <v>0</v>
      </c>
      <c r="AA63" s="60">
        <f>IF(CODE('Levantamento dutos'!$G63)=80,('Levantamento dutos'!$D63/'Levantamento dutos'!$G$12)*8,0)</f>
        <v>0</v>
      </c>
      <c r="AB63" s="60">
        <f>IF(CODE('Levantamento dutos'!$G63)=80,IF('Levantamento dutos'!$B63&gt;30,('Levantamento dutos'!$D63/'Levantamento dutos'!$G$12)*4,0),0)</f>
        <v>0</v>
      </c>
      <c r="AC63" s="60">
        <f>IF('Levantamento dutos'!$B63&gt;220,('Levantamento dutos'!$D63/'Levantamento dutos'!$G$12*Calculos!$G63*2),0)</f>
        <v>0</v>
      </c>
      <c r="AD63" s="60">
        <f>IF(CODE('Levantamento dutos'!$E63)=73,((('Levantamento dutos'!$E$12/1000)+0.02)*'Levantamento dutos'!$D63)*4*1.3,0)</f>
        <v>0</v>
      </c>
      <c r="AE63" s="60">
        <f>IF(CODE('Levantamento dutos'!$E63)=80,((('Levantamento dutos'!$E$12/1000)+0.02)*'Levantamento dutos'!$D63)*4*1.3,0)</f>
        <v>0</v>
      </c>
    </row>
    <row r="64" spans="2:31" x14ac:dyDescent="0.2">
      <c r="B64" s="58">
        <f>IF('Levantamento dutos'!$B64&lt;=Calculos!$Z$3,((('Levantamento dutos'!$B64)/100+('Levantamento dutos'!$C64)/100)*2)*'Levantamento dutos'!$D64,0)</f>
        <v>0</v>
      </c>
      <c r="C64">
        <f>IF('Levantamento dutos'!$B64&gt;Calculos!$Z$3,IF('Levantamento dutos'!$B64&lt;=Calculos!$Z$4,((('Levantamento dutos'!$B64)/100+('Levantamento dutos'!$C64)/100)*2)*'Levantamento dutos'!$D64,0),0)</f>
        <v>0</v>
      </c>
      <c r="D64">
        <f>IF('Levantamento dutos'!$B64&gt;Calculos!$Z$4,IF('Levantamento dutos'!$B64&lt;=Calculos!$Z$5,((('Levantamento dutos'!$B64)/100+('Levantamento dutos'!$C64)/100)*2)*'Levantamento dutos'!$D64,0),0)</f>
        <v>0</v>
      </c>
      <c r="E64">
        <f>IF('Levantamento dutos'!$B64&gt;Calculos!$Z$5,IF('Levantamento dutos'!$B64&lt;=Calculos!$Z$6,((('Levantamento dutos'!$B64)/100+('Levantamento dutos'!$C64)/100)*2)*'Levantamento dutos'!$D64,0),0)</f>
        <v>0</v>
      </c>
      <c r="F64" s="59">
        <f>IF('Levantamento dutos'!$B64&gt;Calculos!$Z$7,((('Levantamento dutos'!$B64)/100+('Levantamento dutos'!$C64)/100)*2)*'Levantamento dutos'!$D64,0)</f>
        <v>0</v>
      </c>
      <c r="G64">
        <f>(('Levantamento dutos'!B64+'Levantamento dutos'!C64)/100)*2</f>
        <v>0</v>
      </c>
      <c r="H64" s="58">
        <f>IF(CODE('Levantamento dutos'!$E64)=76,SUM($B64:$F64),0)</f>
        <v>0</v>
      </c>
      <c r="I64">
        <f>IF(CODE('Levantamento dutos'!$E64)=73,SUM($B64:$F64),0)</f>
        <v>0</v>
      </c>
      <c r="J64">
        <f>IF(CODE('Levantamento dutos'!$E64)=80,SUM($B64:$F64),0)</f>
        <v>0</v>
      </c>
      <c r="K64">
        <f>IF(CODE('Levantamento dutos'!$F64)=66,SUM($B64:$F64),0)</f>
        <v>0</v>
      </c>
      <c r="L64">
        <f>IF(CODE('Levantamento dutos'!$F64)=70,SUM($B64:$F64),0)</f>
        <v>0</v>
      </c>
      <c r="M64" s="59">
        <f>IF(CODE('Levantamento dutos'!$E64)=84,SUM($B64:$F64),0)</f>
        <v>0</v>
      </c>
      <c r="N64" s="60">
        <f>IF(CODE('Levantamento dutos'!$G64)=80,IF('Levantamento dutos'!$B64&lt;=200,('Levantamento dutos'!$D64/'Levantamento dutos'!$G$12*Calculos!$G64*2),0),0)</f>
        <v>0</v>
      </c>
      <c r="O64" s="60">
        <f>IF(CODE('Levantamento dutos'!$G64)=80,IF('Levantamento dutos'!$B64&gt;200,('Levantamento dutos'!$D64/'Levantamento dutos'!$G$12*Calculos!$G64*2),0),0)</f>
        <v>0</v>
      </c>
      <c r="P64" s="60">
        <f>IF(CODE('Levantamento dutos'!$G64)=67,('Levantamento dutos'!$D64/'Levantamento dutos'!$G$12*Calculos!$G64*2),0)</f>
        <v>0</v>
      </c>
      <c r="Q64" s="60">
        <f>IF(CODE('Levantamento dutos'!H64)=83,((('Levantamento dutos'!B64/100)+('Levantamento dutos'!$H$12/1000))+(('Levantamento dutos'!C64/100)+('Levantamento dutos'!$H$12)/1000))*2*'Levantamento dutos'!D64,0)</f>
        <v>0</v>
      </c>
      <c r="S64" s="60">
        <f>IF(CODE('Levantamento dutos'!$I64)=83,$Q64,0)</f>
        <v>0</v>
      </c>
      <c r="T64" s="60">
        <f>IF(CODE('Levantamento dutos'!$E64)=76,ROUND((('Levantamento dutos'!$D64/5)*(Calculos!$G64+0.2)*1.2),0),0)</f>
        <v>0</v>
      </c>
      <c r="U64" s="60">
        <f>IF(CODE('Levantamento dutos'!$E64)=73,ROUND((('Levantamento dutos'!$D64/0.5)*(Calculos!$G64+0.2)*1.2),0),0)</f>
        <v>0</v>
      </c>
      <c r="V64" s="60">
        <f>IF(CODE('Levantamento dutos'!$E64)=80,ROUND((('Levantamento dutos'!$D64/0.5)*(Calculos!$G64+0.2)*1.2),0),0)</f>
        <v>0</v>
      </c>
      <c r="W64" s="60">
        <f>IF(CODE('Levantamento dutos'!$E64)=76,'Levantamento dutos'!$D64/0.5*1.5,0)</f>
        <v>0</v>
      </c>
      <c r="X64" s="60">
        <f>IF(CODE('Levantamento dutos'!$E64)=73,'Levantamento dutos'!$D64/0.5*1.5,0)</f>
        <v>0</v>
      </c>
      <c r="Y64" s="60">
        <f>IF(CODE('Levantamento dutos'!$E64)=80,'Levantamento dutos'!$D64/0.5*1.5,0)</f>
        <v>0</v>
      </c>
      <c r="Z64" s="60">
        <f>IF(CODE('Levantamento dutos'!$E64)=76,ROUND(('Levantamento dutos'!$D64)+('Levantamento dutos'!$D64*Calculos!$G64*2)*1.1,0),0)</f>
        <v>0</v>
      </c>
      <c r="AA64" s="60">
        <f>IF(CODE('Levantamento dutos'!$G64)=80,('Levantamento dutos'!$D64/'Levantamento dutos'!$G$12)*8,0)</f>
        <v>0</v>
      </c>
      <c r="AB64" s="60">
        <f>IF(CODE('Levantamento dutos'!$G64)=80,IF('Levantamento dutos'!$B64&gt;30,('Levantamento dutos'!$D64/'Levantamento dutos'!$G$12)*4,0),0)</f>
        <v>0</v>
      </c>
      <c r="AC64" s="60">
        <f>IF('Levantamento dutos'!$B64&gt;220,('Levantamento dutos'!$D64/'Levantamento dutos'!$G$12*Calculos!$G64*2),0)</f>
        <v>0</v>
      </c>
      <c r="AD64" s="60">
        <f>IF(CODE('Levantamento dutos'!$E64)=73,((('Levantamento dutos'!$E$12/1000)+0.02)*'Levantamento dutos'!$D64)*4*1.3,0)</f>
        <v>0</v>
      </c>
      <c r="AE64" s="60">
        <f>IF(CODE('Levantamento dutos'!$E64)=80,((('Levantamento dutos'!$E$12/1000)+0.02)*'Levantamento dutos'!$D64)*4*1.3,0)</f>
        <v>0</v>
      </c>
    </row>
    <row r="65" spans="2:31" x14ac:dyDescent="0.2">
      <c r="B65" s="58">
        <f>IF('Levantamento dutos'!$B65&lt;=Calculos!$Z$3,((('Levantamento dutos'!$B65)/100+('Levantamento dutos'!$C65)/100)*2)*'Levantamento dutos'!$D65,0)</f>
        <v>0</v>
      </c>
      <c r="C65">
        <f>IF('Levantamento dutos'!$B65&gt;Calculos!$Z$3,IF('Levantamento dutos'!$B65&lt;=Calculos!$Z$4,((('Levantamento dutos'!$B65)/100+('Levantamento dutos'!$C65)/100)*2)*'Levantamento dutos'!$D65,0),0)</f>
        <v>0</v>
      </c>
      <c r="D65">
        <f>IF('Levantamento dutos'!$B65&gt;Calculos!$Z$4,IF('Levantamento dutos'!$B65&lt;=Calculos!$Z$5,((('Levantamento dutos'!$B65)/100+('Levantamento dutos'!$C65)/100)*2)*'Levantamento dutos'!$D65,0),0)</f>
        <v>0</v>
      </c>
      <c r="E65">
        <f>IF('Levantamento dutos'!$B65&gt;Calculos!$Z$5,IF('Levantamento dutos'!$B65&lt;=Calculos!$Z$6,((('Levantamento dutos'!$B65)/100+('Levantamento dutos'!$C65)/100)*2)*'Levantamento dutos'!$D65,0),0)</f>
        <v>0</v>
      </c>
      <c r="F65" s="59">
        <f>IF('Levantamento dutos'!$B65&gt;Calculos!$Z$7,((('Levantamento dutos'!$B65)/100+('Levantamento dutos'!$C65)/100)*2)*'Levantamento dutos'!$D65,0)</f>
        <v>0</v>
      </c>
      <c r="G65">
        <f>(('Levantamento dutos'!B65+'Levantamento dutos'!C65)/100)*2</f>
        <v>0</v>
      </c>
      <c r="H65" s="58">
        <f>IF(CODE('Levantamento dutos'!$E65)=76,SUM($B65:$F65),0)</f>
        <v>0</v>
      </c>
      <c r="I65">
        <f>IF(CODE('Levantamento dutos'!$E65)=73,SUM($B65:$F65),0)</f>
        <v>0</v>
      </c>
      <c r="J65">
        <f>IF(CODE('Levantamento dutos'!$E65)=80,SUM($B65:$F65),0)</f>
        <v>0</v>
      </c>
      <c r="K65">
        <f>IF(CODE('Levantamento dutos'!$F65)=66,SUM($B65:$F65),0)</f>
        <v>0</v>
      </c>
      <c r="L65">
        <f>IF(CODE('Levantamento dutos'!$F65)=70,SUM($B65:$F65),0)</f>
        <v>0</v>
      </c>
      <c r="M65" s="59">
        <f>IF(CODE('Levantamento dutos'!$E65)=84,SUM($B65:$F65),0)</f>
        <v>0</v>
      </c>
      <c r="N65" s="60">
        <f>IF(CODE('Levantamento dutos'!$G65)=80,IF('Levantamento dutos'!$B65&lt;=200,('Levantamento dutos'!$D65/'Levantamento dutos'!$G$12*Calculos!$G65*2),0),0)</f>
        <v>0</v>
      </c>
      <c r="O65" s="60">
        <f>IF(CODE('Levantamento dutos'!$G65)=80,IF('Levantamento dutos'!$B65&gt;200,('Levantamento dutos'!$D65/'Levantamento dutos'!$G$12*Calculos!$G65*2),0),0)</f>
        <v>0</v>
      </c>
      <c r="P65" s="60">
        <f>IF(CODE('Levantamento dutos'!$G65)=67,('Levantamento dutos'!$D65/'Levantamento dutos'!$G$12*Calculos!$G65*2),0)</f>
        <v>0</v>
      </c>
      <c r="Q65" s="60">
        <f>IF(CODE('Levantamento dutos'!H65)=83,((('Levantamento dutos'!B65/100)+('Levantamento dutos'!$H$12/1000))+(('Levantamento dutos'!C65/100)+('Levantamento dutos'!$H$12)/1000))*2*'Levantamento dutos'!D65,0)</f>
        <v>0</v>
      </c>
      <c r="S65" s="60">
        <f>IF(CODE('Levantamento dutos'!$I65)=83,$Q65,0)</f>
        <v>0</v>
      </c>
      <c r="T65" s="60">
        <f>IF(CODE('Levantamento dutos'!$E65)=76,ROUND((('Levantamento dutos'!$D65/5)*(Calculos!$G65+0.2)*1.2),0),0)</f>
        <v>0</v>
      </c>
      <c r="U65" s="60">
        <f>IF(CODE('Levantamento dutos'!$E65)=73,ROUND((('Levantamento dutos'!$D65/0.5)*(Calculos!$G65+0.2)*1.2),0),0)</f>
        <v>0</v>
      </c>
      <c r="V65" s="60">
        <f>IF(CODE('Levantamento dutos'!$E65)=80,ROUND((('Levantamento dutos'!$D65/0.5)*(Calculos!$G65+0.2)*1.2),0),0)</f>
        <v>0</v>
      </c>
      <c r="W65" s="60">
        <f>IF(CODE('Levantamento dutos'!$E65)=76,'Levantamento dutos'!$D65/0.5*1.5,0)</f>
        <v>0</v>
      </c>
      <c r="X65" s="60">
        <f>IF(CODE('Levantamento dutos'!$E65)=73,'Levantamento dutos'!$D65/0.5*1.5,0)</f>
        <v>0</v>
      </c>
      <c r="Y65" s="60">
        <f>IF(CODE('Levantamento dutos'!$E65)=80,'Levantamento dutos'!$D65/0.5*1.5,0)</f>
        <v>0</v>
      </c>
      <c r="Z65" s="60">
        <f>IF(CODE('Levantamento dutos'!$E65)=76,ROUND(('Levantamento dutos'!$D65)+('Levantamento dutos'!$D65*Calculos!$G65*2)*1.1,0),0)</f>
        <v>0</v>
      </c>
      <c r="AA65" s="60">
        <f>IF(CODE('Levantamento dutos'!$G65)=80,('Levantamento dutos'!$D65/'Levantamento dutos'!$G$12)*8,0)</f>
        <v>0</v>
      </c>
      <c r="AB65" s="60">
        <f>IF(CODE('Levantamento dutos'!$G65)=80,IF('Levantamento dutos'!$B65&gt;30,('Levantamento dutos'!$D65/'Levantamento dutos'!$G$12)*4,0),0)</f>
        <v>0</v>
      </c>
      <c r="AC65" s="60">
        <f>IF('Levantamento dutos'!$B65&gt;220,('Levantamento dutos'!$D65/'Levantamento dutos'!$G$12*Calculos!$G65*2),0)</f>
        <v>0</v>
      </c>
      <c r="AD65" s="60">
        <f>IF(CODE('Levantamento dutos'!$E65)=73,((('Levantamento dutos'!$E$12/1000)+0.02)*'Levantamento dutos'!$D65)*4*1.3,0)</f>
        <v>0</v>
      </c>
      <c r="AE65" s="60">
        <f>IF(CODE('Levantamento dutos'!$E65)=80,((('Levantamento dutos'!$E$12/1000)+0.02)*'Levantamento dutos'!$D65)*4*1.3,0)</f>
        <v>0</v>
      </c>
    </row>
    <row r="66" spans="2:31" x14ac:dyDescent="0.2">
      <c r="B66" s="58">
        <f>IF('Levantamento dutos'!$B66&lt;=Calculos!$Z$3,((('Levantamento dutos'!$B66)/100+('Levantamento dutos'!$C66)/100)*2)*'Levantamento dutos'!$D66,0)</f>
        <v>0</v>
      </c>
      <c r="C66">
        <f>IF('Levantamento dutos'!$B66&gt;Calculos!$Z$3,IF('Levantamento dutos'!$B66&lt;=Calculos!$Z$4,((('Levantamento dutos'!$B66)/100+('Levantamento dutos'!$C66)/100)*2)*'Levantamento dutos'!$D66,0),0)</f>
        <v>0</v>
      </c>
      <c r="D66">
        <f>IF('Levantamento dutos'!$B66&gt;Calculos!$Z$4,IF('Levantamento dutos'!$B66&lt;=Calculos!$Z$5,((('Levantamento dutos'!$B66)/100+('Levantamento dutos'!$C66)/100)*2)*'Levantamento dutos'!$D66,0),0)</f>
        <v>0</v>
      </c>
      <c r="E66">
        <f>IF('Levantamento dutos'!$B66&gt;Calculos!$Z$5,IF('Levantamento dutos'!$B66&lt;=Calculos!$Z$6,((('Levantamento dutos'!$B66)/100+('Levantamento dutos'!$C66)/100)*2)*'Levantamento dutos'!$D66,0),0)</f>
        <v>0</v>
      </c>
      <c r="F66" s="59">
        <f>IF('Levantamento dutos'!$B66&gt;Calculos!$Z$7,((('Levantamento dutos'!$B66)/100+('Levantamento dutos'!$C66)/100)*2)*'Levantamento dutos'!$D66,0)</f>
        <v>0</v>
      </c>
      <c r="G66">
        <f>(('Levantamento dutos'!B66+'Levantamento dutos'!C66)/100)*2</f>
        <v>0</v>
      </c>
      <c r="H66" s="58">
        <f>IF(CODE('Levantamento dutos'!$E66)=76,SUM($B66:$F66),0)</f>
        <v>0</v>
      </c>
      <c r="I66">
        <f>IF(CODE('Levantamento dutos'!$E66)=73,SUM($B66:$F66),0)</f>
        <v>0</v>
      </c>
      <c r="J66">
        <f>IF(CODE('Levantamento dutos'!$E66)=80,SUM($B66:$F66),0)</f>
        <v>0</v>
      </c>
      <c r="K66">
        <f>IF(CODE('Levantamento dutos'!$F66)=66,SUM($B66:$F66),0)</f>
        <v>0</v>
      </c>
      <c r="L66">
        <f>IF(CODE('Levantamento dutos'!$F66)=70,SUM($B66:$F66),0)</f>
        <v>0</v>
      </c>
      <c r="M66" s="59">
        <f>IF(CODE('Levantamento dutos'!$E66)=84,SUM($B66:$F66),0)</f>
        <v>0</v>
      </c>
      <c r="N66" s="60">
        <f>IF(CODE('Levantamento dutos'!$G66)=80,IF('Levantamento dutos'!$B66&lt;=200,('Levantamento dutos'!$D66/'Levantamento dutos'!$G$12*Calculos!$G66*2),0),0)</f>
        <v>0</v>
      </c>
      <c r="O66" s="60">
        <f>IF(CODE('Levantamento dutos'!$G66)=80,IF('Levantamento dutos'!$B66&gt;200,('Levantamento dutos'!$D66/'Levantamento dutos'!$G$12*Calculos!$G66*2),0),0)</f>
        <v>0</v>
      </c>
      <c r="P66" s="60">
        <f>IF(CODE('Levantamento dutos'!$G66)=67,('Levantamento dutos'!$D66/'Levantamento dutos'!$G$12*Calculos!$G66*2),0)</f>
        <v>0</v>
      </c>
      <c r="Q66" s="60">
        <f>IF(CODE('Levantamento dutos'!H66)=83,((('Levantamento dutos'!B66/100)+('Levantamento dutos'!$H$12/1000))+(('Levantamento dutos'!C66/100)+('Levantamento dutos'!$H$12)/1000))*2*'Levantamento dutos'!D66,0)</f>
        <v>0</v>
      </c>
      <c r="S66" s="60">
        <f>IF(CODE('Levantamento dutos'!$I66)=83,$Q66,0)</f>
        <v>0</v>
      </c>
      <c r="T66" s="60">
        <f>IF(CODE('Levantamento dutos'!$E66)=76,ROUND((('Levantamento dutos'!$D66/5)*(Calculos!$G66+0.2)*1.2),0),0)</f>
        <v>0</v>
      </c>
      <c r="U66" s="60">
        <f>IF(CODE('Levantamento dutos'!$E66)=73,ROUND((('Levantamento dutos'!$D66/0.5)*(Calculos!$G66+0.2)*1.2),0),0)</f>
        <v>0</v>
      </c>
      <c r="V66" s="60">
        <f>IF(CODE('Levantamento dutos'!$E66)=80,ROUND((('Levantamento dutos'!$D66/0.5)*(Calculos!$G66+0.2)*1.2),0),0)</f>
        <v>0</v>
      </c>
      <c r="W66" s="60">
        <f>IF(CODE('Levantamento dutos'!$E66)=76,'Levantamento dutos'!$D66/0.5*1.5,0)</f>
        <v>0</v>
      </c>
      <c r="X66" s="60">
        <f>IF(CODE('Levantamento dutos'!$E66)=73,'Levantamento dutos'!$D66/0.5*1.5,0)</f>
        <v>0</v>
      </c>
      <c r="Y66" s="60">
        <f>IF(CODE('Levantamento dutos'!$E66)=80,'Levantamento dutos'!$D66/0.5*1.5,0)</f>
        <v>0</v>
      </c>
      <c r="Z66" s="60">
        <f>IF(CODE('Levantamento dutos'!$E66)=76,ROUND(('Levantamento dutos'!$D66)+('Levantamento dutos'!$D66*Calculos!$G66*2)*1.1,0),0)</f>
        <v>0</v>
      </c>
      <c r="AA66" s="60">
        <f>IF(CODE('Levantamento dutos'!$G66)=80,('Levantamento dutos'!$D66/'Levantamento dutos'!$G$12)*8,0)</f>
        <v>0</v>
      </c>
      <c r="AB66" s="60">
        <f>IF(CODE('Levantamento dutos'!$G66)=80,IF('Levantamento dutos'!$B66&gt;30,('Levantamento dutos'!$D66/'Levantamento dutos'!$G$12)*4,0),0)</f>
        <v>0</v>
      </c>
      <c r="AC66" s="60">
        <f>IF('Levantamento dutos'!$B66&gt;220,('Levantamento dutos'!$D66/'Levantamento dutos'!$G$12*Calculos!$G66*2),0)</f>
        <v>0</v>
      </c>
      <c r="AD66" s="60">
        <f>IF(CODE('Levantamento dutos'!$E66)=73,((('Levantamento dutos'!$E$12/1000)+0.02)*'Levantamento dutos'!$D66)*4*1.3,0)</f>
        <v>0</v>
      </c>
      <c r="AE66" s="60">
        <f>IF(CODE('Levantamento dutos'!$E66)=80,((('Levantamento dutos'!$E$12/1000)+0.02)*'Levantamento dutos'!$D66)*4*1.3,0)</f>
        <v>0</v>
      </c>
    </row>
    <row r="67" spans="2:31" x14ac:dyDescent="0.2">
      <c r="B67" s="58">
        <f>IF('Levantamento dutos'!$B67&lt;=Calculos!$Z$3,((('Levantamento dutos'!$B67)/100+('Levantamento dutos'!$C67)/100)*2)*'Levantamento dutos'!$D67,0)</f>
        <v>0</v>
      </c>
      <c r="C67">
        <f>IF('Levantamento dutos'!$B67&gt;Calculos!$Z$3,IF('Levantamento dutos'!$B67&lt;=Calculos!$Z$4,((('Levantamento dutos'!$B67)/100+('Levantamento dutos'!$C67)/100)*2)*'Levantamento dutos'!$D67,0),0)</f>
        <v>0</v>
      </c>
      <c r="D67">
        <f>IF('Levantamento dutos'!$B67&gt;Calculos!$Z$4,IF('Levantamento dutos'!$B67&lt;=Calculos!$Z$5,((('Levantamento dutos'!$B67)/100+('Levantamento dutos'!$C67)/100)*2)*'Levantamento dutos'!$D67,0),0)</f>
        <v>0</v>
      </c>
      <c r="E67">
        <f>IF('Levantamento dutos'!$B67&gt;Calculos!$Z$5,IF('Levantamento dutos'!$B67&lt;=Calculos!$Z$6,((('Levantamento dutos'!$B67)/100+('Levantamento dutos'!$C67)/100)*2)*'Levantamento dutos'!$D67,0),0)</f>
        <v>0</v>
      </c>
      <c r="F67" s="59">
        <f>IF('Levantamento dutos'!$B67&gt;Calculos!$Z$7,((('Levantamento dutos'!$B67)/100+('Levantamento dutos'!$C67)/100)*2)*'Levantamento dutos'!$D67,0)</f>
        <v>0</v>
      </c>
      <c r="G67">
        <f>(('Levantamento dutos'!B67+'Levantamento dutos'!C67)/100)*2</f>
        <v>0</v>
      </c>
      <c r="H67" s="58">
        <f>IF(CODE('Levantamento dutos'!$E67)=76,SUM($B67:$F67),0)</f>
        <v>0</v>
      </c>
      <c r="I67">
        <f>IF(CODE('Levantamento dutos'!$E67)=73,SUM($B67:$F67),0)</f>
        <v>0</v>
      </c>
      <c r="J67">
        <f>IF(CODE('Levantamento dutos'!$E67)=80,SUM($B67:$F67),0)</f>
        <v>0</v>
      </c>
      <c r="K67">
        <f>IF(CODE('Levantamento dutos'!$F67)=66,SUM($B67:$F67),0)</f>
        <v>0</v>
      </c>
      <c r="L67">
        <f>IF(CODE('Levantamento dutos'!$F67)=70,SUM($B67:$F67),0)</f>
        <v>0</v>
      </c>
      <c r="M67" s="59">
        <f>IF(CODE('Levantamento dutos'!$E67)=84,SUM($B67:$F67),0)</f>
        <v>0</v>
      </c>
      <c r="N67" s="60">
        <f>IF(CODE('Levantamento dutos'!$G67)=80,IF('Levantamento dutos'!$B67&lt;=200,('Levantamento dutos'!$D67/'Levantamento dutos'!$G$12*Calculos!$G67*2),0),0)</f>
        <v>0</v>
      </c>
      <c r="O67" s="60">
        <f>IF(CODE('Levantamento dutos'!$G67)=80,IF('Levantamento dutos'!$B67&gt;200,('Levantamento dutos'!$D67/'Levantamento dutos'!$G$12*Calculos!$G67*2),0),0)</f>
        <v>0</v>
      </c>
      <c r="P67" s="60">
        <f>IF(CODE('Levantamento dutos'!$G67)=67,('Levantamento dutos'!$D67/'Levantamento dutos'!$G$12*Calculos!$G67*2),0)</f>
        <v>0</v>
      </c>
      <c r="Q67" s="60">
        <f>IF(CODE('Levantamento dutos'!H67)=83,((('Levantamento dutos'!B67/100)+('Levantamento dutos'!$H$12/1000))+(('Levantamento dutos'!C67/100)+('Levantamento dutos'!$H$12)/1000))*2*'Levantamento dutos'!D67,0)</f>
        <v>0</v>
      </c>
      <c r="S67" s="60">
        <f>IF(CODE('Levantamento dutos'!$I67)=83,$Q67,0)</f>
        <v>0</v>
      </c>
      <c r="T67" s="60">
        <f>IF(CODE('Levantamento dutos'!$E67)=76,ROUND((('Levantamento dutos'!$D67/5)*(Calculos!$G67+0.2)*1.2),0),0)</f>
        <v>0</v>
      </c>
      <c r="U67" s="60">
        <f>IF(CODE('Levantamento dutos'!$E67)=73,ROUND((('Levantamento dutos'!$D67/0.5)*(Calculos!$G67+0.2)*1.2),0),0)</f>
        <v>0</v>
      </c>
      <c r="V67" s="60">
        <f>IF(CODE('Levantamento dutos'!$E67)=80,ROUND((('Levantamento dutos'!$D67/0.5)*(Calculos!$G67+0.2)*1.2),0),0)</f>
        <v>0</v>
      </c>
      <c r="W67" s="60">
        <f>IF(CODE('Levantamento dutos'!$E67)=76,'Levantamento dutos'!$D67/0.5*1.5,0)</f>
        <v>0</v>
      </c>
      <c r="X67" s="60">
        <f>IF(CODE('Levantamento dutos'!$E67)=73,'Levantamento dutos'!$D67/0.5*1.5,0)</f>
        <v>0</v>
      </c>
      <c r="Y67" s="60">
        <f>IF(CODE('Levantamento dutos'!$E67)=80,'Levantamento dutos'!$D67/0.5*1.5,0)</f>
        <v>0</v>
      </c>
      <c r="Z67" s="60">
        <f>IF(CODE('Levantamento dutos'!$E67)=76,ROUND(('Levantamento dutos'!$D67)+('Levantamento dutos'!$D67*Calculos!$G67*2)*1.1,0),0)</f>
        <v>0</v>
      </c>
      <c r="AA67" s="60">
        <f>IF(CODE('Levantamento dutos'!$G67)=80,('Levantamento dutos'!$D67/'Levantamento dutos'!$G$12)*8,0)</f>
        <v>0</v>
      </c>
      <c r="AB67" s="60">
        <f>IF(CODE('Levantamento dutos'!$G67)=80,IF('Levantamento dutos'!$B67&gt;30,('Levantamento dutos'!$D67/'Levantamento dutos'!$G$12)*4,0),0)</f>
        <v>0</v>
      </c>
      <c r="AC67" s="60">
        <f>IF('Levantamento dutos'!$B67&gt;220,('Levantamento dutos'!$D67/'Levantamento dutos'!$G$12*Calculos!$G67*2),0)</f>
        <v>0</v>
      </c>
      <c r="AD67" s="60">
        <f>IF(CODE('Levantamento dutos'!$E67)=73,((('Levantamento dutos'!$E$12/1000)+0.02)*'Levantamento dutos'!$D67)*4*1.3,0)</f>
        <v>0</v>
      </c>
      <c r="AE67" s="60">
        <f>IF(CODE('Levantamento dutos'!$E67)=80,((('Levantamento dutos'!$E$12/1000)+0.02)*'Levantamento dutos'!$D67)*4*1.3,0)</f>
        <v>0</v>
      </c>
    </row>
    <row r="68" spans="2:31" x14ac:dyDescent="0.2">
      <c r="B68" s="58">
        <f>IF('Levantamento dutos'!$B68&lt;=Calculos!$Z$3,((('Levantamento dutos'!$B68)/100+('Levantamento dutos'!$C68)/100)*2)*'Levantamento dutos'!$D68,0)</f>
        <v>0</v>
      </c>
      <c r="C68">
        <f>IF('Levantamento dutos'!$B68&gt;Calculos!$Z$3,IF('Levantamento dutos'!$B68&lt;=Calculos!$Z$4,((('Levantamento dutos'!$B68)/100+('Levantamento dutos'!$C68)/100)*2)*'Levantamento dutos'!$D68,0),0)</f>
        <v>0</v>
      </c>
      <c r="D68">
        <f>IF('Levantamento dutos'!$B68&gt;Calculos!$Z$4,IF('Levantamento dutos'!$B68&lt;=Calculos!$Z$5,((('Levantamento dutos'!$B68)/100+('Levantamento dutos'!$C68)/100)*2)*'Levantamento dutos'!$D68,0),0)</f>
        <v>0</v>
      </c>
      <c r="E68">
        <f>IF('Levantamento dutos'!$B68&gt;Calculos!$Z$5,IF('Levantamento dutos'!$B68&lt;=Calculos!$Z$6,((('Levantamento dutos'!$B68)/100+('Levantamento dutos'!$C68)/100)*2)*'Levantamento dutos'!$D68,0),0)</f>
        <v>0</v>
      </c>
      <c r="F68" s="59">
        <f>IF('Levantamento dutos'!$B68&gt;Calculos!$Z$7,((('Levantamento dutos'!$B68)/100+('Levantamento dutos'!$C68)/100)*2)*'Levantamento dutos'!$D68,0)</f>
        <v>0</v>
      </c>
      <c r="G68">
        <f>(('Levantamento dutos'!B68+'Levantamento dutos'!C68)/100)*2</f>
        <v>0</v>
      </c>
      <c r="H68" s="58">
        <f>IF(CODE('Levantamento dutos'!$E68)=76,SUM($B68:$F68),0)</f>
        <v>0</v>
      </c>
      <c r="I68">
        <f>IF(CODE('Levantamento dutos'!$E68)=73,SUM($B68:$F68),0)</f>
        <v>0</v>
      </c>
      <c r="J68">
        <f>IF(CODE('Levantamento dutos'!$E68)=80,SUM($B68:$F68),0)</f>
        <v>0</v>
      </c>
      <c r="K68">
        <f>IF(CODE('Levantamento dutos'!$F68)=66,SUM($B68:$F68),0)</f>
        <v>0</v>
      </c>
      <c r="L68">
        <f>IF(CODE('Levantamento dutos'!$F68)=70,SUM($B68:$F68),0)</f>
        <v>0</v>
      </c>
      <c r="M68" s="59">
        <f>IF(CODE('Levantamento dutos'!$E68)=84,SUM($B68:$F68),0)</f>
        <v>0</v>
      </c>
      <c r="N68" s="60">
        <f>IF(CODE('Levantamento dutos'!$G68)=80,IF('Levantamento dutos'!$B68&lt;=200,('Levantamento dutos'!$D68/'Levantamento dutos'!$G$12*Calculos!$G68*2),0),0)</f>
        <v>0</v>
      </c>
      <c r="O68" s="60">
        <f>IF(CODE('Levantamento dutos'!$G68)=80,IF('Levantamento dutos'!$B68&gt;200,('Levantamento dutos'!$D68/'Levantamento dutos'!$G$12*Calculos!$G68*2),0),0)</f>
        <v>0</v>
      </c>
      <c r="P68" s="60">
        <f>IF(CODE('Levantamento dutos'!$G68)=67,('Levantamento dutos'!$D68/'Levantamento dutos'!$G$12*Calculos!$G68*2),0)</f>
        <v>0</v>
      </c>
      <c r="Q68" s="60">
        <f>IF(CODE('Levantamento dutos'!H68)=83,((('Levantamento dutos'!B68/100)+('Levantamento dutos'!$H$12/1000))+(('Levantamento dutos'!C68/100)+('Levantamento dutos'!$H$12)/1000))*2*'Levantamento dutos'!D68,0)</f>
        <v>0</v>
      </c>
      <c r="S68" s="60">
        <f>IF(CODE('Levantamento dutos'!$I68)=83,$Q68,0)</f>
        <v>0</v>
      </c>
      <c r="T68" s="60">
        <f>IF(CODE('Levantamento dutos'!$E68)=76,ROUND((('Levantamento dutos'!$D68/5)*(Calculos!$G68+0.2)*1.2),0),0)</f>
        <v>0</v>
      </c>
      <c r="U68" s="60">
        <f>IF(CODE('Levantamento dutos'!$E68)=73,ROUND((('Levantamento dutos'!$D68/0.5)*(Calculos!$G68+0.2)*1.2),0),0)</f>
        <v>0</v>
      </c>
      <c r="V68" s="60">
        <f>IF(CODE('Levantamento dutos'!$E68)=80,ROUND((('Levantamento dutos'!$D68/0.5)*(Calculos!$G68+0.2)*1.2),0),0)</f>
        <v>0</v>
      </c>
      <c r="W68" s="60">
        <f>IF(CODE('Levantamento dutos'!$E68)=76,'Levantamento dutos'!$D68/0.5*1.5,0)</f>
        <v>0</v>
      </c>
      <c r="X68" s="60">
        <f>IF(CODE('Levantamento dutos'!$E68)=73,'Levantamento dutos'!$D68/0.5*1.5,0)</f>
        <v>0</v>
      </c>
      <c r="Y68" s="60">
        <f>IF(CODE('Levantamento dutos'!$E68)=80,'Levantamento dutos'!$D68/0.5*1.5,0)</f>
        <v>0</v>
      </c>
      <c r="Z68" s="60">
        <f>IF(CODE('Levantamento dutos'!$E68)=76,ROUND(('Levantamento dutos'!$D68)+('Levantamento dutos'!$D68*Calculos!$G68*2)*1.1,0),0)</f>
        <v>0</v>
      </c>
      <c r="AA68" s="60">
        <f>IF(CODE('Levantamento dutos'!$G68)=80,('Levantamento dutos'!$D68/'Levantamento dutos'!$G$12)*8,0)</f>
        <v>0</v>
      </c>
      <c r="AB68" s="60">
        <f>IF(CODE('Levantamento dutos'!$G68)=80,IF('Levantamento dutos'!$B68&gt;30,('Levantamento dutos'!$D68/'Levantamento dutos'!$G$12)*4,0),0)</f>
        <v>0</v>
      </c>
      <c r="AC68" s="60">
        <f>IF('Levantamento dutos'!$B68&gt;220,('Levantamento dutos'!$D68/'Levantamento dutos'!$G$12*Calculos!$G68*2),0)</f>
        <v>0</v>
      </c>
      <c r="AD68" s="60">
        <f>IF(CODE('Levantamento dutos'!$E68)=73,((('Levantamento dutos'!$E$12/1000)+0.02)*'Levantamento dutos'!$D68)*4*1.3,0)</f>
        <v>0</v>
      </c>
      <c r="AE68" s="60">
        <f>IF(CODE('Levantamento dutos'!$E68)=80,((('Levantamento dutos'!$E$12/1000)+0.02)*'Levantamento dutos'!$D68)*4*1.3,0)</f>
        <v>0</v>
      </c>
    </row>
    <row r="69" spans="2:31" x14ac:dyDescent="0.2">
      <c r="B69" s="58">
        <f>IF('Levantamento dutos'!$B69&lt;=Calculos!$Z$3,((('Levantamento dutos'!$B69)/100+('Levantamento dutos'!$C69)/100)*2)*'Levantamento dutos'!$D69,0)</f>
        <v>0</v>
      </c>
      <c r="C69">
        <f>IF('Levantamento dutos'!$B69&gt;Calculos!$Z$3,IF('Levantamento dutos'!$B69&lt;=Calculos!$Z$4,((('Levantamento dutos'!$B69)/100+('Levantamento dutos'!$C69)/100)*2)*'Levantamento dutos'!$D69,0),0)</f>
        <v>0</v>
      </c>
      <c r="D69">
        <f>IF('Levantamento dutos'!$B69&gt;Calculos!$Z$4,IF('Levantamento dutos'!$B69&lt;=Calculos!$Z$5,((('Levantamento dutos'!$B69)/100+('Levantamento dutos'!$C69)/100)*2)*'Levantamento dutos'!$D69,0),0)</f>
        <v>0</v>
      </c>
      <c r="E69">
        <f>IF('Levantamento dutos'!$B69&gt;Calculos!$Z$5,IF('Levantamento dutos'!$B69&lt;=Calculos!$Z$6,((('Levantamento dutos'!$B69)/100+('Levantamento dutos'!$C69)/100)*2)*'Levantamento dutos'!$D69,0),0)</f>
        <v>0</v>
      </c>
      <c r="F69" s="59">
        <f>IF('Levantamento dutos'!$B69&gt;Calculos!$Z$7,((('Levantamento dutos'!$B69)/100+('Levantamento dutos'!$C69)/100)*2)*'Levantamento dutos'!$D69,0)</f>
        <v>0</v>
      </c>
      <c r="G69">
        <f>(('Levantamento dutos'!B69+'Levantamento dutos'!C69)/100)*2</f>
        <v>0</v>
      </c>
      <c r="H69" s="58">
        <f>IF(CODE('Levantamento dutos'!$E69)=76,SUM($B69:$F69),0)</f>
        <v>0</v>
      </c>
      <c r="I69">
        <f>IF(CODE('Levantamento dutos'!$E69)=73,SUM($B69:$F69),0)</f>
        <v>0</v>
      </c>
      <c r="J69">
        <f>IF(CODE('Levantamento dutos'!$E69)=80,SUM($B69:$F69),0)</f>
        <v>0</v>
      </c>
      <c r="K69">
        <f>IF(CODE('Levantamento dutos'!$F69)=66,SUM($B69:$F69),0)</f>
        <v>0</v>
      </c>
      <c r="L69">
        <f>IF(CODE('Levantamento dutos'!$F69)=70,SUM($B69:$F69),0)</f>
        <v>0</v>
      </c>
      <c r="M69" s="59">
        <f>IF(CODE('Levantamento dutos'!$E69)=84,SUM($B69:$F69),0)</f>
        <v>0</v>
      </c>
      <c r="N69" s="60">
        <f>IF(CODE('Levantamento dutos'!$G69)=80,IF('Levantamento dutos'!$B69&lt;=200,('Levantamento dutos'!$D69/'Levantamento dutos'!$G$12*Calculos!$G69*2),0),0)</f>
        <v>0</v>
      </c>
      <c r="O69" s="60">
        <f>IF(CODE('Levantamento dutos'!$G69)=80,IF('Levantamento dutos'!$B69&gt;200,('Levantamento dutos'!$D69/'Levantamento dutos'!$G$12*Calculos!$G69*2),0),0)</f>
        <v>0</v>
      </c>
      <c r="P69" s="60">
        <f>IF(CODE('Levantamento dutos'!$G69)=67,('Levantamento dutos'!$D69/'Levantamento dutos'!$G$12*Calculos!$G69*2),0)</f>
        <v>0</v>
      </c>
      <c r="Q69" s="60">
        <f>IF(CODE('Levantamento dutos'!H69)=83,((('Levantamento dutos'!B69/100)+('Levantamento dutos'!$H$12/1000))+(('Levantamento dutos'!C69/100)+('Levantamento dutos'!$H$12)/1000))*2*'Levantamento dutos'!D69,0)</f>
        <v>0</v>
      </c>
      <c r="S69" s="60">
        <f>IF(CODE('Levantamento dutos'!$I69)=83,$Q69,0)</f>
        <v>0</v>
      </c>
      <c r="T69" s="60">
        <f>IF(CODE('Levantamento dutos'!$E69)=76,ROUND((('Levantamento dutos'!$D69/5)*(Calculos!$G69+0.2)*1.2),0),0)</f>
        <v>0</v>
      </c>
      <c r="U69" s="60">
        <f>IF(CODE('Levantamento dutos'!$E69)=73,ROUND((('Levantamento dutos'!$D69/0.5)*(Calculos!$G69+0.2)*1.2),0),0)</f>
        <v>0</v>
      </c>
      <c r="V69" s="60">
        <f>IF(CODE('Levantamento dutos'!$E69)=80,ROUND((('Levantamento dutos'!$D69/0.5)*(Calculos!$G69+0.2)*1.2),0),0)</f>
        <v>0</v>
      </c>
      <c r="W69" s="60">
        <f>IF(CODE('Levantamento dutos'!$E69)=76,'Levantamento dutos'!$D69/0.5*1.5,0)</f>
        <v>0</v>
      </c>
      <c r="X69" s="60">
        <f>IF(CODE('Levantamento dutos'!$E69)=73,'Levantamento dutos'!$D69/0.5*1.5,0)</f>
        <v>0</v>
      </c>
      <c r="Y69" s="60">
        <f>IF(CODE('Levantamento dutos'!$E69)=80,'Levantamento dutos'!$D69/0.5*1.5,0)</f>
        <v>0</v>
      </c>
      <c r="Z69" s="60">
        <f>IF(CODE('Levantamento dutos'!$E69)=76,ROUND(('Levantamento dutos'!$D69)+('Levantamento dutos'!$D69*Calculos!$G69*2)*1.1,0),0)</f>
        <v>0</v>
      </c>
      <c r="AA69" s="60">
        <f>IF(CODE('Levantamento dutos'!$G69)=80,('Levantamento dutos'!$D69/'Levantamento dutos'!$G$12)*8,0)</f>
        <v>0</v>
      </c>
      <c r="AB69" s="60">
        <f>IF(CODE('Levantamento dutos'!$G69)=80,IF('Levantamento dutos'!$B69&gt;30,('Levantamento dutos'!$D69/'Levantamento dutos'!$G$12)*4,0),0)</f>
        <v>0</v>
      </c>
      <c r="AC69" s="60">
        <f>IF('Levantamento dutos'!$B69&gt;220,('Levantamento dutos'!$D69/'Levantamento dutos'!$G$12*Calculos!$G69*2),0)</f>
        <v>0</v>
      </c>
      <c r="AD69" s="60">
        <f>IF(CODE('Levantamento dutos'!$E69)=73,((('Levantamento dutos'!$E$12/1000)+0.02)*'Levantamento dutos'!$D69)*4*1.3,0)</f>
        <v>0</v>
      </c>
      <c r="AE69" s="60">
        <f>IF(CODE('Levantamento dutos'!$E69)=80,((('Levantamento dutos'!$E$12/1000)+0.02)*'Levantamento dutos'!$D69)*4*1.3,0)</f>
        <v>0</v>
      </c>
    </row>
    <row r="70" spans="2:31" x14ac:dyDescent="0.2">
      <c r="B70" s="58">
        <f>IF('Levantamento dutos'!$B70&lt;=Calculos!$Z$3,((('Levantamento dutos'!$B70)/100+('Levantamento dutos'!$C70)/100)*2)*'Levantamento dutos'!$D70,0)</f>
        <v>0</v>
      </c>
      <c r="C70">
        <f>IF('Levantamento dutos'!$B70&gt;Calculos!$Z$3,IF('Levantamento dutos'!$B70&lt;=Calculos!$Z$4,((('Levantamento dutos'!$B70)/100+('Levantamento dutos'!$C70)/100)*2)*'Levantamento dutos'!$D70,0),0)</f>
        <v>0</v>
      </c>
      <c r="D70">
        <f>IF('Levantamento dutos'!$B70&gt;Calculos!$Z$4,IF('Levantamento dutos'!$B70&lt;=Calculos!$Z$5,((('Levantamento dutos'!$B70)/100+('Levantamento dutos'!$C70)/100)*2)*'Levantamento dutos'!$D70,0),0)</f>
        <v>0</v>
      </c>
      <c r="E70">
        <f>IF('Levantamento dutos'!$B70&gt;Calculos!$Z$5,IF('Levantamento dutos'!$B70&lt;=Calculos!$Z$6,((('Levantamento dutos'!$B70)/100+('Levantamento dutos'!$C70)/100)*2)*'Levantamento dutos'!$D70,0),0)</f>
        <v>0</v>
      </c>
      <c r="F70" s="59">
        <f>IF('Levantamento dutos'!$B70&gt;Calculos!$Z$7,((('Levantamento dutos'!$B70)/100+('Levantamento dutos'!$C70)/100)*2)*'Levantamento dutos'!$D70,0)</f>
        <v>0</v>
      </c>
      <c r="G70">
        <f>(('Levantamento dutos'!B70+'Levantamento dutos'!C70)/100)*2</f>
        <v>0</v>
      </c>
      <c r="H70" s="58">
        <f>IF(CODE('Levantamento dutos'!$E70)=76,SUM($B70:$F70),0)</f>
        <v>0</v>
      </c>
      <c r="I70">
        <f>IF(CODE('Levantamento dutos'!$E70)=73,SUM($B70:$F70),0)</f>
        <v>0</v>
      </c>
      <c r="J70">
        <f>IF(CODE('Levantamento dutos'!$E70)=80,SUM($B70:$F70),0)</f>
        <v>0</v>
      </c>
      <c r="K70">
        <f>IF(CODE('Levantamento dutos'!$F70)=66,SUM($B70:$F70),0)</f>
        <v>0</v>
      </c>
      <c r="L70">
        <f>IF(CODE('Levantamento dutos'!$F70)=70,SUM($B70:$F70),0)</f>
        <v>0</v>
      </c>
      <c r="M70" s="59">
        <f>IF(CODE('Levantamento dutos'!$E70)=84,SUM($B70:$F70),0)</f>
        <v>0</v>
      </c>
      <c r="N70" s="60">
        <f>IF(CODE('Levantamento dutos'!$G70)=80,IF('Levantamento dutos'!$B70&lt;=200,('Levantamento dutos'!$D70/'Levantamento dutos'!$G$12*Calculos!$G70*2),0),0)</f>
        <v>0</v>
      </c>
      <c r="O70" s="60">
        <f>IF(CODE('Levantamento dutos'!$G70)=80,IF('Levantamento dutos'!$B70&gt;200,('Levantamento dutos'!$D70/'Levantamento dutos'!$G$12*Calculos!$G70*2),0),0)</f>
        <v>0</v>
      </c>
      <c r="P70" s="60">
        <f>IF(CODE('Levantamento dutos'!$G70)=67,('Levantamento dutos'!$D70/'Levantamento dutos'!$G$12*Calculos!$G70*2),0)</f>
        <v>0</v>
      </c>
      <c r="Q70" s="60">
        <f>IF(CODE('Levantamento dutos'!H70)=83,((('Levantamento dutos'!B70/100)+('Levantamento dutos'!$H$12/1000))+(('Levantamento dutos'!C70/100)+('Levantamento dutos'!$H$12)/1000))*2*'Levantamento dutos'!D70,0)</f>
        <v>0</v>
      </c>
      <c r="S70" s="60">
        <f>IF(CODE('Levantamento dutos'!$I70)=83,$Q70,0)</f>
        <v>0</v>
      </c>
      <c r="T70" s="60">
        <f>IF(CODE('Levantamento dutos'!$E70)=76,ROUND((('Levantamento dutos'!$D70/5)*(Calculos!$G70+0.2)*1.2),0),0)</f>
        <v>0</v>
      </c>
      <c r="U70" s="60">
        <f>IF(CODE('Levantamento dutos'!$E70)=73,ROUND((('Levantamento dutos'!$D70/0.5)*(Calculos!$G70+0.2)*1.2),0),0)</f>
        <v>0</v>
      </c>
      <c r="V70" s="60">
        <f>IF(CODE('Levantamento dutos'!$E70)=80,ROUND((('Levantamento dutos'!$D70/0.5)*(Calculos!$G70+0.2)*1.2),0),0)</f>
        <v>0</v>
      </c>
      <c r="W70" s="60">
        <f>IF(CODE('Levantamento dutos'!$E70)=76,'Levantamento dutos'!$D70/0.5*1.5,0)</f>
        <v>0</v>
      </c>
      <c r="X70" s="60">
        <f>IF(CODE('Levantamento dutos'!$E70)=73,'Levantamento dutos'!$D70/0.5*1.5,0)</f>
        <v>0</v>
      </c>
      <c r="Y70" s="60">
        <f>IF(CODE('Levantamento dutos'!$E70)=80,'Levantamento dutos'!$D70/0.5*1.5,0)</f>
        <v>0</v>
      </c>
      <c r="Z70" s="60">
        <f>IF(CODE('Levantamento dutos'!$E70)=76,ROUND(('Levantamento dutos'!$D70)+('Levantamento dutos'!$D70*Calculos!$G70*2)*1.1,0),0)</f>
        <v>0</v>
      </c>
      <c r="AA70" s="60">
        <f>IF(CODE('Levantamento dutos'!$G70)=80,('Levantamento dutos'!$D70/'Levantamento dutos'!$G$12)*8,0)</f>
        <v>0</v>
      </c>
      <c r="AB70" s="60">
        <f>IF(CODE('Levantamento dutos'!$G70)=80,IF('Levantamento dutos'!$B70&gt;30,('Levantamento dutos'!$D70/'Levantamento dutos'!$G$12)*4,0),0)</f>
        <v>0</v>
      </c>
      <c r="AC70" s="60">
        <f>IF('Levantamento dutos'!$B70&gt;220,('Levantamento dutos'!$D70/'Levantamento dutos'!$G$12*Calculos!$G70*2),0)</f>
        <v>0</v>
      </c>
      <c r="AD70" s="60">
        <f>IF(CODE('Levantamento dutos'!$E70)=73,((('Levantamento dutos'!$E$12/1000)+0.02)*'Levantamento dutos'!$D70)*4*1.3,0)</f>
        <v>0</v>
      </c>
      <c r="AE70" s="60">
        <f>IF(CODE('Levantamento dutos'!$E70)=80,((('Levantamento dutos'!$E$12/1000)+0.02)*'Levantamento dutos'!$D70)*4*1.3,0)</f>
        <v>0</v>
      </c>
    </row>
    <row r="71" spans="2:31" x14ac:dyDescent="0.2">
      <c r="B71" s="58">
        <f>IF('Levantamento dutos'!$B71&lt;=Calculos!$Z$3,((('Levantamento dutos'!$B71)/100+('Levantamento dutos'!$C71)/100)*2)*'Levantamento dutos'!$D71,0)</f>
        <v>0</v>
      </c>
      <c r="C71">
        <f>IF('Levantamento dutos'!$B71&gt;Calculos!$Z$3,IF('Levantamento dutos'!$B71&lt;=Calculos!$Z$4,((('Levantamento dutos'!$B71)/100+('Levantamento dutos'!$C71)/100)*2)*'Levantamento dutos'!$D71,0),0)</f>
        <v>0</v>
      </c>
      <c r="D71">
        <f>IF('Levantamento dutos'!$B71&gt;Calculos!$Z$4,IF('Levantamento dutos'!$B71&lt;=Calculos!$Z$5,((('Levantamento dutos'!$B71)/100+('Levantamento dutos'!$C71)/100)*2)*'Levantamento dutos'!$D71,0),0)</f>
        <v>0</v>
      </c>
      <c r="E71">
        <f>IF('Levantamento dutos'!$B71&gt;Calculos!$Z$5,IF('Levantamento dutos'!$B71&lt;=Calculos!$Z$6,((('Levantamento dutos'!$B71)/100+('Levantamento dutos'!$C71)/100)*2)*'Levantamento dutos'!$D71,0),0)</f>
        <v>0</v>
      </c>
      <c r="F71" s="59">
        <f>IF('Levantamento dutos'!$B71&gt;Calculos!$Z$7,((('Levantamento dutos'!$B71)/100+('Levantamento dutos'!$C71)/100)*2)*'Levantamento dutos'!$D71,0)</f>
        <v>0</v>
      </c>
      <c r="G71">
        <f>(('Levantamento dutos'!B71+'Levantamento dutos'!C71)/100)*2</f>
        <v>0</v>
      </c>
      <c r="H71" s="58">
        <f>IF(CODE('Levantamento dutos'!$E71)=76,SUM($B71:$F71),0)</f>
        <v>0</v>
      </c>
      <c r="I71">
        <f>IF(CODE('Levantamento dutos'!$E71)=73,SUM($B71:$F71),0)</f>
        <v>0</v>
      </c>
      <c r="J71">
        <f>IF(CODE('Levantamento dutos'!$E71)=80,SUM($B71:$F71),0)</f>
        <v>0</v>
      </c>
      <c r="K71">
        <f>IF(CODE('Levantamento dutos'!$F71)=66,SUM($B71:$F71),0)</f>
        <v>0</v>
      </c>
      <c r="L71">
        <f>IF(CODE('Levantamento dutos'!$F71)=70,SUM($B71:$F71),0)</f>
        <v>0</v>
      </c>
      <c r="M71" s="59">
        <f>IF(CODE('Levantamento dutos'!$E71)=84,SUM($B71:$F71),0)</f>
        <v>0</v>
      </c>
      <c r="N71" s="60">
        <f>IF(CODE('Levantamento dutos'!$G71)=80,IF('Levantamento dutos'!$B71&lt;=200,('Levantamento dutos'!$D71/'Levantamento dutos'!$G$12*Calculos!$G71*2),0),0)</f>
        <v>0</v>
      </c>
      <c r="O71" s="60">
        <f>IF(CODE('Levantamento dutos'!$G71)=80,IF('Levantamento dutos'!$B71&gt;200,('Levantamento dutos'!$D71/'Levantamento dutos'!$G$12*Calculos!$G71*2),0),0)</f>
        <v>0</v>
      </c>
      <c r="P71" s="60">
        <f>IF(CODE('Levantamento dutos'!$G71)=67,('Levantamento dutos'!$D71/'Levantamento dutos'!$G$12*Calculos!$G71*2),0)</f>
        <v>0</v>
      </c>
      <c r="Q71" s="60">
        <f>IF(CODE('Levantamento dutos'!H71)=83,((('Levantamento dutos'!B71/100)+('Levantamento dutos'!$H$12/1000))+(('Levantamento dutos'!C71/100)+('Levantamento dutos'!$H$12)/1000))*2*'Levantamento dutos'!D71,0)</f>
        <v>0</v>
      </c>
      <c r="S71" s="60">
        <f>IF(CODE('Levantamento dutos'!$I71)=83,$Q71,0)</f>
        <v>0</v>
      </c>
      <c r="T71" s="60">
        <f>IF(CODE('Levantamento dutos'!$E71)=76,ROUND((('Levantamento dutos'!$D71/5)*(Calculos!$G71+0.2)*1.2),0),0)</f>
        <v>0</v>
      </c>
      <c r="U71" s="60">
        <f>IF(CODE('Levantamento dutos'!$E71)=73,ROUND((('Levantamento dutos'!$D71/0.5)*(Calculos!$G71+0.2)*1.2),0),0)</f>
        <v>0</v>
      </c>
      <c r="V71" s="60">
        <f>IF(CODE('Levantamento dutos'!$E71)=80,ROUND((('Levantamento dutos'!$D71/0.5)*(Calculos!$G71+0.2)*1.2),0),0)</f>
        <v>0</v>
      </c>
      <c r="W71" s="60">
        <f>IF(CODE('Levantamento dutos'!$E71)=76,'Levantamento dutos'!$D71/0.5*1.5,0)</f>
        <v>0</v>
      </c>
      <c r="X71" s="60">
        <f>IF(CODE('Levantamento dutos'!$E71)=73,'Levantamento dutos'!$D71/0.5*1.5,0)</f>
        <v>0</v>
      </c>
      <c r="Y71" s="60">
        <f>IF(CODE('Levantamento dutos'!$E71)=80,'Levantamento dutos'!$D71/0.5*1.5,0)</f>
        <v>0</v>
      </c>
      <c r="Z71" s="60">
        <f>IF(CODE('Levantamento dutos'!$E71)=76,ROUND(('Levantamento dutos'!$D71)+('Levantamento dutos'!$D71*Calculos!$G71*2)*1.1,0),0)</f>
        <v>0</v>
      </c>
      <c r="AA71" s="60">
        <f>IF(CODE('Levantamento dutos'!$G71)=80,('Levantamento dutos'!$D71/'Levantamento dutos'!$G$12)*8,0)</f>
        <v>0</v>
      </c>
      <c r="AB71" s="60">
        <f>IF(CODE('Levantamento dutos'!$G71)=80,IF('Levantamento dutos'!$B71&gt;30,('Levantamento dutos'!$D71/'Levantamento dutos'!$G$12)*4,0),0)</f>
        <v>0</v>
      </c>
      <c r="AC71" s="60">
        <f>IF('Levantamento dutos'!$B71&gt;220,('Levantamento dutos'!$D71/'Levantamento dutos'!$G$12*Calculos!$G71*2),0)</f>
        <v>0</v>
      </c>
      <c r="AD71" s="60">
        <f>IF(CODE('Levantamento dutos'!$E71)=73,((('Levantamento dutos'!$E$12/1000)+0.02)*'Levantamento dutos'!$D71)*4*1.3,0)</f>
        <v>0</v>
      </c>
      <c r="AE71" s="60">
        <f>IF(CODE('Levantamento dutos'!$E71)=80,((('Levantamento dutos'!$E$12/1000)+0.02)*'Levantamento dutos'!$D71)*4*1.3,0)</f>
        <v>0</v>
      </c>
    </row>
    <row r="72" spans="2:31" x14ac:dyDescent="0.2">
      <c r="B72" s="58">
        <f>IF('Levantamento dutos'!$B72&lt;=Calculos!$Z$3,((('Levantamento dutos'!$B72)/100+('Levantamento dutos'!$C72)/100)*2)*'Levantamento dutos'!$D72,0)</f>
        <v>0</v>
      </c>
      <c r="C72">
        <f>IF('Levantamento dutos'!$B72&gt;Calculos!$Z$3,IF('Levantamento dutos'!$B72&lt;=Calculos!$Z$4,((('Levantamento dutos'!$B72)/100+('Levantamento dutos'!$C72)/100)*2)*'Levantamento dutos'!$D72,0),0)</f>
        <v>0</v>
      </c>
      <c r="D72">
        <f>IF('Levantamento dutos'!$B72&gt;Calculos!$Z$4,IF('Levantamento dutos'!$B72&lt;=Calculos!$Z$5,((('Levantamento dutos'!$B72)/100+('Levantamento dutos'!$C72)/100)*2)*'Levantamento dutos'!$D72,0),0)</f>
        <v>0</v>
      </c>
      <c r="E72">
        <f>IF('Levantamento dutos'!$B72&gt;Calculos!$Z$5,IF('Levantamento dutos'!$B72&lt;=Calculos!$Z$6,((('Levantamento dutos'!$B72)/100+('Levantamento dutos'!$C72)/100)*2)*'Levantamento dutos'!$D72,0),0)</f>
        <v>0</v>
      </c>
      <c r="F72" s="59">
        <f>IF('Levantamento dutos'!$B72&gt;Calculos!$Z$7,((('Levantamento dutos'!$B72)/100+('Levantamento dutos'!$C72)/100)*2)*'Levantamento dutos'!$D72,0)</f>
        <v>0</v>
      </c>
      <c r="G72">
        <f>(('Levantamento dutos'!B72+'Levantamento dutos'!C72)/100)*2</f>
        <v>0</v>
      </c>
      <c r="H72" s="58">
        <f>IF(CODE('Levantamento dutos'!$E72)=76,SUM($B72:$F72),0)</f>
        <v>0</v>
      </c>
      <c r="I72">
        <f>IF(CODE('Levantamento dutos'!$E72)=73,SUM($B72:$F72),0)</f>
        <v>0</v>
      </c>
      <c r="J72">
        <f>IF(CODE('Levantamento dutos'!$E72)=80,SUM($B72:$F72),0)</f>
        <v>0</v>
      </c>
      <c r="K72">
        <f>IF(CODE('Levantamento dutos'!$F72)=66,SUM($B72:$F72),0)</f>
        <v>0</v>
      </c>
      <c r="L72">
        <f>IF(CODE('Levantamento dutos'!$F72)=70,SUM($B72:$F72),0)</f>
        <v>0</v>
      </c>
      <c r="M72" s="59">
        <f>IF(CODE('Levantamento dutos'!$E72)=84,SUM($B72:$F72),0)</f>
        <v>0</v>
      </c>
      <c r="N72" s="60">
        <f>IF(CODE('Levantamento dutos'!$G72)=80,IF('Levantamento dutos'!$B72&lt;=200,('Levantamento dutos'!$D72/'Levantamento dutos'!$G$12*Calculos!$G72*2),0),0)</f>
        <v>0</v>
      </c>
      <c r="O72" s="60">
        <f>IF(CODE('Levantamento dutos'!$G72)=80,IF('Levantamento dutos'!$B72&gt;200,('Levantamento dutos'!$D72/'Levantamento dutos'!$G$12*Calculos!$G72*2),0),0)</f>
        <v>0</v>
      </c>
      <c r="P72" s="60">
        <f>IF(CODE('Levantamento dutos'!$G72)=67,('Levantamento dutos'!$D72/'Levantamento dutos'!$G$12*Calculos!$G72*2),0)</f>
        <v>0</v>
      </c>
      <c r="Q72" s="60">
        <f>IF(CODE('Levantamento dutos'!H72)=83,((('Levantamento dutos'!B72/100)+('Levantamento dutos'!$H$12/1000))+(('Levantamento dutos'!C72/100)+('Levantamento dutos'!$H$12)/1000))*2*'Levantamento dutos'!D72,0)</f>
        <v>0</v>
      </c>
      <c r="S72" s="60">
        <f>IF(CODE('Levantamento dutos'!$I72)=83,$Q72,0)</f>
        <v>0</v>
      </c>
      <c r="T72" s="60">
        <f>IF(CODE('Levantamento dutos'!$E72)=76,ROUND((('Levantamento dutos'!$D72/5)*(Calculos!$G72+0.2)*1.2),0),0)</f>
        <v>0</v>
      </c>
      <c r="U72" s="60">
        <f>IF(CODE('Levantamento dutos'!$E72)=73,ROUND((('Levantamento dutos'!$D72/0.5)*(Calculos!$G72+0.2)*1.2),0),0)</f>
        <v>0</v>
      </c>
      <c r="V72" s="60">
        <f>IF(CODE('Levantamento dutos'!$E72)=80,ROUND((('Levantamento dutos'!$D72/0.5)*(Calculos!$G72+0.2)*1.2),0),0)</f>
        <v>0</v>
      </c>
      <c r="W72" s="60">
        <f>IF(CODE('Levantamento dutos'!$E72)=76,'Levantamento dutos'!$D72/0.5*1.5,0)</f>
        <v>0</v>
      </c>
      <c r="X72" s="60">
        <f>IF(CODE('Levantamento dutos'!$E72)=73,'Levantamento dutos'!$D72/0.5*1.5,0)</f>
        <v>0</v>
      </c>
      <c r="Y72" s="60">
        <f>IF(CODE('Levantamento dutos'!$E72)=80,'Levantamento dutos'!$D72/0.5*1.5,0)</f>
        <v>0</v>
      </c>
      <c r="Z72" s="60">
        <f>IF(CODE('Levantamento dutos'!$E72)=76,ROUND(('Levantamento dutos'!$D72)+('Levantamento dutos'!$D72*Calculos!$G72*2)*1.1,0),0)</f>
        <v>0</v>
      </c>
      <c r="AA72" s="60">
        <f>IF(CODE('Levantamento dutos'!$G72)=80,('Levantamento dutos'!$D72/'Levantamento dutos'!$G$12)*8,0)</f>
        <v>0</v>
      </c>
      <c r="AB72" s="60">
        <f>IF(CODE('Levantamento dutos'!$G72)=80,IF('Levantamento dutos'!$B72&gt;30,('Levantamento dutos'!$D72/'Levantamento dutos'!$G$12)*4,0),0)</f>
        <v>0</v>
      </c>
      <c r="AC72" s="60">
        <f>IF('Levantamento dutos'!$B72&gt;220,('Levantamento dutos'!$D72/'Levantamento dutos'!$G$12*Calculos!$G72*2),0)</f>
        <v>0</v>
      </c>
      <c r="AD72" s="60">
        <f>IF(CODE('Levantamento dutos'!$E72)=73,((('Levantamento dutos'!$E$12/1000)+0.02)*'Levantamento dutos'!$D72)*4*1.3,0)</f>
        <v>0</v>
      </c>
      <c r="AE72" s="60">
        <f>IF(CODE('Levantamento dutos'!$E72)=80,((('Levantamento dutos'!$E$12/1000)+0.02)*'Levantamento dutos'!$D72)*4*1.3,0)</f>
        <v>0</v>
      </c>
    </row>
    <row r="73" spans="2:31" x14ac:dyDescent="0.2">
      <c r="B73" s="58">
        <f>IF('Levantamento dutos'!$B73&lt;=Calculos!$Z$3,((('Levantamento dutos'!$B73)/100+('Levantamento dutos'!$C73)/100)*2)*'Levantamento dutos'!$D73,0)</f>
        <v>0</v>
      </c>
      <c r="C73">
        <f>IF('Levantamento dutos'!$B73&gt;Calculos!$Z$3,IF('Levantamento dutos'!$B73&lt;=Calculos!$Z$4,((('Levantamento dutos'!$B73)/100+('Levantamento dutos'!$C73)/100)*2)*'Levantamento dutos'!$D73,0),0)</f>
        <v>0</v>
      </c>
      <c r="D73">
        <f>IF('Levantamento dutos'!$B73&gt;Calculos!$Z$4,IF('Levantamento dutos'!$B73&lt;=Calculos!$Z$5,((('Levantamento dutos'!$B73)/100+('Levantamento dutos'!$C73)/100)*2)*'Levantamento dutos'!$D73,0),0)</f>
        <v>0</v>
      </c>
      <c r="E73">
        <f>IF('Levantamento dutos'!$B73&gt;Calculos!$Z$5,IF('Levantamento dutos'!$B73&lt;=Calculos!$Z$6,((('Levantamento dutos'!$B73)/100+('Levantamento dutos'!$C73)/100)*2)*'Levantamento dutos'!$D73,0),0)</f>
        <v>0</v>
      </c>
      <c r="F73" s="59">
        <f>IF('Levantamento dutos'!$B73&gt;Calculos!$Z$7,((('Levantamento dutos'!$B73)/100+('Levantamento dutos'!$C73)/100)*2)*'Levantamento dutos'!$D73,0)</f>
        <v>0</v>
      </c>
      <c r="G73">
        <f>(('Levantamento dutos'!B73+'Levantamento dutos'!C73)/100)*2</f>
        <v>0</v>
      </c>
      <c r="H73" s="58">
        <f>IF(CODE('Levantamento dutos'!$E73)=76,SUM($B73:$F73),0)</f>
        <v>0</v>
      </c>
      <c r="I73">
        <f>IF(CODE('Levantamento dutos'!$E73)=73,SUM($B73:$F73),0)</f>
        <v>0</v>
      </c>
      <c r="J73">
        <f>IF(CODE('Levantamento dutos'!$E73)=80,SUM($B73:$F73),0)</f>
        <v>0</v>
      </c>
      <c r="K73">
        <f>IF(CODE('Levantamento dutos'!$F73)=66,SUM($B73:$F73),0)</f>
        <v>0</v>
      </c>
      <c r="L73">
        <f>IF(CODE('Levantamento dutos'!$F73)=70,SUM($B73:$F73),0)</f>
        <v>0</v>
      </c>
      <c r="M73" s="59">
        <f>IF(CODE('Levantamento dutos'!$E73)=84,SUM($B73:$F73),0)</f>
        <v>0</v>
      </c>
      <c r="N73" s="60">
        <f>IF(CODE('Levantamento dutos'!$G73)=80,IF('Levantamento dutos'!$B73&lt;=200,('Levantamento dutos'!$D73/'Levantamento dutos'!$G$12*Calculos!$G73*2),0),0)</f>
        <v>0</v>
      </c>
      <c r="O73" s="60">
        <f>IF(CODE('Levantamento dutos'!$G73)=80,IF('Levantamento dutos'!$B73&gt;200,('Levantamento dutos'!$D73/'Levantamento dutos'!$G$12*Calculos!$G73*2),0),0)</f>
        <v>0</v>
      </c>
      <c r="P73" s="60">
        <f>IF(CODE('Levantamento dutos'!$G73)=67,('Levantamento dutos'!$D73/'Levantamento dutos'!$G$12*Calculos!$G73*2),0)</f>
        <v>0</v>
      </c>
      <c r="Q73" s="60">
        <f>IF(CODE('Levantamento dutos'!H73)=83,((('Levantamento dutos'!B73/100)+('Levantamento dutos'!$H$12/1000))+(('Levantamento dutos'!C73/100)+('Levantamento dutos'!$H$12)/1000))*2*'Levantamento dutos'!D73,0)</f>
        <v>0</v>
      </c>
      <c r="S73" s="60">
        <f>IF(CODE('Levantamento dutos'!$I73)=83,$Q73,0)</f>
        <v>0</v>
      </c>
      <c r="T73" s="60">
        <f>IF(CODE('Levantamento dutos'!$E73)=76,ROUND((('Levantamento dutos'!$D73/5)*(Calculos!$G73+0.2)*1.2),0),0)</f>
        <v>0</v>
      </c>
      <c r="U73" s="60">
        <f>IF(CODE('Levantamento dutos'!$E73)=73,ROUND((('Levantamento dutos'!$D73/0.5)*(Calculos!$G73+0.2)*1.2),0),0)</f>
        <v>0</v>
      </c>
      <c r="V73" s="60">
        <f>IF(CODE('Levantamento dutos'!$E73)=80,ROUND((('Levantamento dutos'!$D73/0.5)*(Calculos!$G73+0.2)*1.2),0),0)</f>
        <v>0</v>
      </c>
      <c r="W73" s="60">
        <f>IF(CODE('Levantamento dutos'!$E73)=76,'Levantamento dutos'!$D73/0.5*1.5,0)</f>
        <v>0</v>
      </c>
      <c r="X73" s="60">
        <f>IF(CODE('Levantamento dutos'!$E73)=73,'Levantamento dutos'!$D73/0.5*1.5,0)</f>
        <v>0</v>
      </c>
      <c r="Y73" s="60">
        <f>IF(CODE('Levantamento dutos'!$E73)=80,'Levantamento dutos'!$D73/0.5*1.5,0)</f>
        <v>0</v>
      </c>
      <c r="Z73" s="60">
        <f>IF(CODE('Levantamento dutos'!$E73)=76,ROUND(('Levantamento dutos'!$D73)+('Levantamento dutos'!$D73*Calculos!$G73*2)*1.1,0),0)</f>
        <v>0</v>
      </c>
      <c r="AA73" s="60">
        <f>IF(CODE('Levantamento dutos'!$G73)=80,('Levantamento dutos'!$D73/'Levantamento dutos'!$G$12)*8,0)</f>
        <v>0</v>
      </c>
      <c r="AB73" s="60">
        <f>IF(CODE('Levantamento dutos'!$G73)=80,IF('Levantamento dutos'!$B73&gt;30,('Levantamento dutos'!$D73/'Levantamento dutos'!$G$12)*4,0),0)</f>
        <v>0</v>
      </c>
      <c r="AC73" s="60">
        <f>IF('Levantamento dutos'!$B73&gt;220,('Levantamento dutos'!$D73/'Levantamento dutos'!$G$12*Calculos!$G73*2),0)</f>
        <v>0</v>
      </c>
      <c r="AD73" s="60">
        <f>IF(CODE('Levantamento dutos'!$E73)=73,((('Levantamento dutos'!$E$12/1000)+0.02)*'Levantamento dutos'!$D73)*4*1.3,0)</f>
        <v>0</v>
      </c>
      <c r="AE73" s="60">
        <f>IF(CODE('Levantamento dutos'!$E73)=80,((('Levantamento dutos'!$E$12/1000)+0.02)*'Levantamento dutos'!$D73)*4*1.3,0)</f>
        <v>0</v>
      </c>
    </row>
    <row r="74" spans="2:31" x14ac:dyDescent="0.2">
      <c r="B74" s="58">
        <f>IF('Levantamento dutos'!$B74&lt;=Calculos!$Z$3,((('Levantamento dutos'!$B74)/100+('Levantamento dutos'!$C74)/100)*2)*'Levantamento dutos'!$D74,0)</f>
        <v>0</v>
      </c>
      <c r="C74">
        <f>IF('Levantamento dutos'!$B74&gt;Calculos!$Z$3,IF('Levantamento dutos'!$B74&lt;=Calculos!$Z$4,((('Levantamento dutos'!$B74)/100+('Levantamento dutos'!$C74)/100)*2)*'Levantamento dutos'!$D74,0),0)</f>
        <v>0</v>
      </c>
      <c r="D74">
        <f>IF('Levantamento dutos'!$B74&gt;Calculos!$Z$4,IF('Levantamento dutos'!$B74&lt;=Calculos!$Z$5,((('Levantamento dutos'!$B74)/100+('Levantamento dutos'!$C74)/100)*2)*'Levantamento dutos'!$D74,0),0)</f>
        <v>0</v>
      </c>
      <c r="E74">
        <f>IF('Levantamento dutos'!$B74&gt;Calculos!$Z$5,IF('Levantamento dutos'!$B74&lt;=Calculos!$Z$6,((('Levantamento dutos'!$B74)/100+('Levantamento dutos'!$C74)/100)*2)*'Levantamento dutos'!$D74,0),0)</f>
        <v>0</v>
      </c>
      <c r="F74" s="59">
        <f>IF('Levantamento dutos'!$B74&gt;Calculos!$Z$7,((('Levantamento dutos'!$B74)/100+('Levantamento dutos'!$C74)/100)*2)*'Levantamento dutos'!$D74,0)</f>
        <v>0</v>
      </c>
      <c r="G74">
        <f>(('Levantamento dutos'!B74+'Levantamento dutos'!C74)/100)*2</f>
        <v>0</v>
      </c>
      <c r="H74" s="58">
        <f>IF(CODE('Levantamento dutos'!$E74)=76,SUM($B74:$F74),0)</f>
        <v>0</v>
      </c>
      <c r="I74">
        <f>IF(CODE('Levantamento dutos'!$E74)=73,SUM($B74:$F74),0)</f>
        <v>0</v>
      </c>
      <c r="J74">
        <f>IF(CODE('Levantamento dutos'!$E74)=80,SUM($B74:$F74),0)</f>
        <v>0</v>
      </c>
      <c r="K74">
        <f>IF(CODE('Levantamento dutos'!$F74)=66,SUM($B74:$F74),0)</f>
        <v>0</v>
      </c>
      <c r="L74">
        <f>IF(CODE('Levantamento dutos'!$F74)=70,SUM($B74:$F74),0)</f>
        <v>0</v>
      </c>
      <c r="M74" s="59">
        <f>IF(CODE('Levantamento dutos'!$E74)=84,SUM($B74:$F74),0)</f>
        <v>0</v>
      </c>
      <c r="N74" s="60">
        <f>IF(CODE('Levantamento dutos'!$G74)=80,IF('Levantamento dutos'!$B74&lt;=200,('Levantamento dutos'!$D74/'Levantamento dutos'!$G$12*Calculos!$G74*2),0),0)</f>
        <v>0</v>
      </c>
      <c r="O74" s="60">
        <f>IF(CODE('Levantamento dutos'!$G74)=80,IF('Levantamento dutos'!$B74&gt;200,('Levantamento dutos'!$D74/'Levantamento dutos'!$G$12*Calculos!$G74*2),0),0)</f>
        <v>0</v>
      </c>
      <c r="P74" s="60">
        <f>IF(CODE('Levantamento dutos'!$G74)=67,('Levantamento dutos'!$D74/'Levantamento dutos'!$G$12*Calculos!$G74*2),0)</f>
        <v>0</v>
      </c>
      <c r="Q74" s="60">
        <f>IF(CODE('Levantamento dutos'!H74)=83,((('Levantamento dutos'!B74/100)+('Levantamento dutos'!$H$12/1000))+(('Levantamento dutos'!C74/100)+('Levantamento dutos'!$H$12)/1000))*2*'Levantamento dutos'!D74,0)</f>
        <v>0</v>
      </c>
      <c r="S74" s="60">
        <f>IF(CODE('Levantamento dutos'!$I74)=83,$Q74,0)</f>
        <v>0</v>
      </c>
      <c r="T74" s="60">
        <f>IF(CODE('Levantamento dutos'!$E74)=76,ROUND((('Levantamento dutos'!$D74/5)*(Calculos!$G74+0.2)*1.2),0),0)</f>
        <v>0</v>
      </c>
      <c r="U74" s="60">
        <f>IF(CODE('Levantamento dutos'!$E74)=73,ROUND((('Levantamento dutos'!$D74/0.5)*(Calculos!$G74+0.2)*1.2),0),0)</f>
        <v>0</v>
      </c>
      <c r="V74" s="60">
        <f>IF(CODE('Levantamento dutos'!$E74)=80,ROUND((('Levantamento dutos'!$D74/0.5)*(Calculos!$G74+0.2)*1.2),0),0)</f>
        <v>0</v>
      </c>
      <c r="W74" s="60">
        <f>IF(CODE('Levantamento dutos'!$E74)=76,'Levantamento dutos'!$D74/0.5*1.5,0)</f>
        <v>0</v>
      </c>
      <c r="X74" s="60">
        <f>IF(CODE('Levantamento dutos'!$E74)=73,'Levantamento dutos'!$D74/0.5*1.5,0)</f>
        <v>0</v>
      </c>
      <c r="Y74" s="60">
        <f>IF(CODE('Levantamento dutos'!$E74)=80,'Levantamento dutos'!$D74/0.5*1.5,0)</f>
        <v>0</v>
      </c>
      <c r="Z74" s="60">
        <f>IF(CODE('Levantamento dutos'!$E74)=76,ROUND(('Levantamento dutos'!$D74)+('Levantamento dutos'!$D74*Calculos!$G74*2)*1.1,0),0)</f>
        <v>0</v>
      </c>
      <c r="AA74" s="60">
        <f>IF(CODE('Levantamento dutos'!$G74)=80,('Levantamento dutos'!$D74/'Levantamento dutos'!$G$12)*8,0)</f>
        <v>0</v>
      </c>
      <c r="AB74" s="60">
        <f>IF(CODE('Levantamento dutos'!$G74)=80,IF('Levantamento dutos'!$B74&gt;30,('Levantamento dutos'!$D74/'Levantamento dutos'!$G$12)*4,0),0)</f>
        <v>0</v>
      </c>
      <c r="AC74" s="60">
        <f>IF('Levantamento dutos'!$B74&gt;220,('Levantamento dutos'!$D74/'Levantamento dutos'!$G$12*Calculos!$G74*2),0)</f>
        <v>0</v>
      </c>
      <c r="AD74" s="60">
        <f>IF(CODE('Levantamento dutos'!$E74)=73,((('Levantamento dutos'!$E$12/1000)+0.02)*'Levantamento dutos'!$D74)*4*1.3,0)</f>
        <v>0</v>
      </c>
      <c r="AE74" s="60">
        <f>IF(CODE('Levantamento dutos'!$E74)=80,((('Levantamento dutos'!$E$12/1000)+0.02)*'Levantamento dutos'!$D74)*4*1.3,0)</f>
        <v>0</v>
      </c>
    </row>
    <row r="75" spans="2:31" x14ac:dyDescent="0.2">
      <c r="B75" s="58">
        <f>IF('Levantamento dutos'!$B75&lt;=Calculos!$Z$3,((('Levantamento dutos'!$B75)/100+('Levantamento dutos'!$C75)/100)*2)*'Levantamento dutos'!$D75,0)</f>
        <v>0</v>
      </c>
      <c r="C75">
        <f>IF('Levantamento dutos'!$B75&gt;Calculos!$Z$3,IF('Levantamento dutos'!$B75&lt;=Calculos!$Z$4,((('Levantamento dutos'!$B75)/100+('Levantamento dutos'!$C75)/100)*2)*'Levantamento dutos'!$D75,0),0)</f>
        <v>0</v>
      </c>
      <c r="D75">
        <f>IF('Levantamento dutos'!$B75&gt;Calculos!$Z$4,IF('Levantamento dutos'!$B75&lt;=Calculos!$Z$5,((('Levantamento dutos'!$B75)/100+('Levantamento dutos'!$C75)/100)*2)*'Levantamento dutos'!$D75,0),0)</f>
        <v>0</v>
      </c>
      <c r="E75">
        <f>IF('Levantamento dutos'!$B75&gt;Calculos!$Z$5,IF('Levantamento dutos'!$B75&lt;=Calculos!$Z$6,((('Levantamento dutos'!$B75)/100+('Levantamento dutos'!$C75)/100)*2)*'Levantamento dutos'!$D75,0),0)</f>
        <v>0</v>
      </c>
      <c r="F75" s="59">
        <f>IF('Levantamento dutos'!$B75&gt;Calculos!$Z$7,((('Levantamento dutos'!$B75)/100+('Levantamento dutos'!$C75)/100)*2)*'Levantamento dutos'!$D75,0)</f>
        <v>0</v>
      </c>
      <c r="G75">
        <f>(('Levantamento dutos'!B75+'Levantamento dutos'!C75)/100)*2</f>
        <v>0</v>
      </c>
      <c r="H75" s="58">
        <f>IF(CODE('Levantamento dutos'!$E75)=76,SUM($B75:$F75),0)</f>
        <v>0</v>
      </c>
      <c r="I75">
        <f>IF(CODE('Levantamento dutos'!$E75)=73,SUM($B75:$F75),0)</f>
        <v>0</v>
      </c>
      <c r="J75">
        <f>IF(CODE('Levantamento dutos'!$E75)=80,SUM($B75:$F75),0)</f>
        <v>0</v>
      </c>
      <c r="K75">
        <f>IF(CODE('Levantamento dutos'!$F75)=66,SUM($B75:$F75),0)</f>
        <v>0</v>
      </c>
      <c r="L75">
        <f>IF(CODE('Levantamento dutos'!$F75)=70,SUM($B75:$F75),0)</f>
        <v>0</v>
      </c>
      <c r="M75" s="59">
        <f>IF(CODE('Levantamento dutos'!$E75)=84,SUM($B75:$F75),0)</f>
        <v>0</v>
      </c>
      <c r="N75" s="60">
        <f>IF(CODE('Levantamento dutos'!$G75)=80,IF('Levantamento dutos'!$B75&lt;=200,('Levantamento dutos'!$D75/'Levantamento dutos'!$G$12*Calculos!$G75*2),0),0)</f>
        <v>0</v>
      </c>
      <c r="O75" s="60">
        <f>IF(CODE('Levantamento dutos'!$G75)=80,IF('Levantamento dutos'!$B75&gt;200,('Levantamento dutos'!$D75/'Levantamento dutos'!$G$12*Calculos!$G75*2),0),0)</f>
        <v>0</v>
      </c>
      <c r="P75" s="60">
        <f>IF(CODE('Levantamento dutos'!$G75)=67,('Levantamento dutos'!$D75/'Levantamento dutos'!$G$12*Calculos!$G75*2),0)</f>
        <v>0</v>
      </c>
      <c r="Q75" s="60">
        <f>IF(CODE('Levantamento dutos'!H75)=83,((('Levantamento dutos'!B75/100)+('Levantamento dutos'!$H$12/1000))+(('Levantamento dutos'!C75/100)+('Levantamento dutos'!$H$12)/1000))*2*'Levantamento dutos'!D75,0)</f>
        <v>0</v>
      </c>
      <c r="S75" s="60">
        <f>IF(CODE('Levantamento dutos'!$I75)=83,$Q75,0)</f>
        <v>0</v>
      </c>
      <c r="T75" s="60">
        <f>IF(CODE('Levantamento dutos'!$E75)=76,ROUND((('Levantamento dutos'!$D75/5)*(Calculos!$G75+0.2)*1.2),0),0)</f>
        <v>0</v>
      </c>
      <c r="U75" s="60">
        <f>IF(CODE('Levantamento dutos'!$E75)=73,ROUND((('Levantamento dutos'!$D75/0.5)*(Calculos!$G75+0.2)*1.2),0),0)</f>
        <v>0</v>
      </c>
      <c r="V75" s="60">
        <f>IF(CODE('Levantamento dutos'!$E75)=80,ROUND((('Levantamento dutos'!$D75/0.5)*(Calculos!$G75+0.2)*1.2),0),0)</f>
        <v>0</v>
      </c>
      <c r="W75" s="60">
        <f>IF(CODE('Levantamento dutos'!$E75)=76,'Levantamento dutos'!$D75/0.5*1.5,0)</f>
        <v>0</v>
      </c>
      <c r="X75" s="60">
        <f>IF(CODE('Levantamento dutos'!$E75)=73,'Levantamento dutos'!$D75/0.5*1.5,0)</f>
        <v>0</v>
      </c>
      <c r="Y75" s="60">
        <f>IF(CODE('Levantamento dutos'!$E75)=80,'Levantamento dutos'!$D75/0.5*1.5,0)</f>
        <v>0</v>
      </c>
      <c r="Z75" s="60">
        <f>IF(CODE('Levantamento dutos'!$E75)=76,ROUND(('Levantamento dutos'!$D75)+('Levantamento dutos'!$D75*Calculos!$G75*2)*1.1,0),0)</f>
        <v>0</v>
      </c>
      <c r="AA75" s="60">
        <f>IF(CODE('Levantamento dutos'!$G75)=80,('Levantamento dutos'!$D75/'Levantamento dutos'!$G$12)*8,0)</f>
        <v>0</v>
      </c>
      <c r="AB75" s="60">
        <f>IF(CODE('Levantamento dutos'!$G75)=80,IF('Levantamento dutos'!$B75&gt;30,('Levantamento dutos'!$D75/'Levantamento dutos'!$G$12)*4,0),0)</f>
        <v>0</v>
      </c>
      <c r="AC75" s="60">
        <f>IF('Levantamento dutos'!$B75&gt;220,('Levantamento dutos'!$D75/'Levantamento dutos'!$G$12*Calculos!$G75*2),0)</f>
        <v>0</v>
      </c>
      <c r="AD75" s="60">
        <f>IF(CODE('Levantamento dutos'!$E75)=73,((('Levantamento dutos'!$E$12/1000)+0.02)*'Levantamento dutos'!$D75)*4*1.3,0)</f>
        <v>0</v>
      </c>
      <c r="AE75" s="60">
        <f>IF(CODE('Levantamento dutos'!$E75)=80,((('Levantamento dutos'!$E$12/1000)+0.02)*'Levantamento dutos'!$D75)*4*1.3,0)</f>
        <v>0</v>
      </c>
    </row>
    <row r="76" spans="2:31" x14ac:dyDescent="0.2">
      <c r="B76" s="58">
        <f>IF('Levantamento dutos'!$B76&lt;=Calculos!$Z$3,((('Levantamento dutos'!$B76)/100+('Levantamento dutos'!$C76)/100)*2)*'Levantamento dutos'!$D76,0)</f>
        <v>0</v>
      </c>
      <c r="C76">
        <f>IF('Levantamento dutos'!$B76&gt;Calculos!$Z$3,IF('Levantamento dutos'!$B76&lt;=Calculos!$Z$4,((('Levantamento dutos'!$B76)/100+('Levantamento dutos'!$C76)/100)*2)*'Levantamento dutos'!$D76,0),0)</f>
        <v>0</v>
      </c>
      <c r="D76">
        <f>IF('Levantamento dutos'!$B76&gt;Calculos!$Z$4,IF('Levantamento dutos'!$B76&lt;=Calculos!$Z$5,((('Levantamento dutos'!$B76)/100+('Levantamento dutos'!$C76)/100)*2)*'Levantamento dutos'!$D76,0),0)</f>
        <v>0</v>
      </c>
      <c r="E76">
        <f>IF('Levantamento dutos'!$B76&gt;Calculos!$Z$5,IF('Levantamento dutos'!$B76&lt;=Calculos!$Z$6,((('Levantamento dutos'!$B76)/100+('Levantamento dutos'!$C76)/100)*2)*'Levantamento dutos'!$D76,0),0)</f>
        <v>0</v>
      </c>
      <c r="F76" s="59">
        <f>IF('Levantamento dutos'!$B76&gt;Calculos!$Z$7,((('Levantamento dutos'!$B76)/100+('Levantamento dutos'!$C76)/100)*2)*'Levantamento dutos'!$D76,0)</f>
        <v>0</v>
      </c>
      <c r="G76">
        <f>(('Levantamento dutos'!B76+'Levantamento dutos'!C76)/100)*2</f>
        <v>0</v>
      </c>
      <c r="H76" s="58">
        <f>IF(CODE('Levantamento dutos'!$E76)=76,SUM($B76:$F76),0)</f>
        <v>0</v>
      </c>
      <c r="I76">
        <f>IF(CODE('Levantamento dutos'!$E76)=73,SUM($B76:$F76),0)</f>
        <v>0</v>
      </c>
      <c r="J76">
        <f>IF(CODE('Levantamento dutos'!$E76)=80,SUM($B76:$F76),0)</f>
        <v>0</v>
      </c>
      <c r="K76">
        <f>IF(CODE('Levantamento dutos'!$F76)=66,SUM($B76:$F76),0)</f>
        <v>0</v>
      </c>
      <c r="L76">
        <f>IF(CODE('Levantamento dutos'!$F76)=70,SUM($B76:$F76),0)</f>
        <v>0</v>
      </c>
      <c r="M76" s="59">
        <f>IF(CODE('Levantamento dutos'!$E76)=84,SUM($B76:$F76),0)</f>
        <v>0</v>
      </c>
      <c r="N76" s="60">
        <f>IF(CODE('Levantamento dutos'!$G76)=80,IF('Levantamento dutos'!$B76&lt;=200,('Levantamento dutos'!$D76/'Levantamento dutos'!$G$12*Calculos!$G76*2),0),0)</f>
        <v>0</v>
      </c>
      <c r="O76" s="60">
        <f>IF(CODE('Levantamento dutos'!$G76)=80,IF('Levantamento dutos'!$B76&gt;200,('Levantamento dutos'!$D76/'Levantamento dutos'!$G$12*Calculos!$G76*2),0),0)</f>
        <v>0</v>
      </c>
      <c r="P76" s="60">
        <f>IF(CODE('Levantamento dutos'!$G76)=67,('Levantamento dutos'!$D76/'Levantamento dutos'!$G$12*Calculos!$G76*2),0)</f>
        <v>0</v>
      </c>
      <c r="Q76" s="60">
        <f>IF(CODE('Levantamento dutos'!H76)=83,((('Levantamento dutos'!B76/100)+('Levantamento dutos'!$H$12/1000))+(('Levantamento dutos'!C76/100)+('Levantamento dutos'!$H$12)/1000))*2*'Levantamento dutos'!D76,0)</f>
        <v>0</v>
      </c>
      <c r="S76" s="60">
        <f>IF(CODE('Levantamento dutos'!$I76)=83,$Q76,0)</f>
        <v>0</v>
      </c>
      <c r="T76" s="60">
        <f>IF(CODE('Levantamento dutos'!$E76)=76,ROUND((('Levantamento dutos'!$D76/5)*(Calculos!$G76+0.2)*1.2),0),0)</f>
        <v>0</v>
      </c>
      <c r="U76" s="60">
        <f>IF(CODE('Levantamento dutos'!$E76)=73,ROUND((('Levantamento dutos'!$D76/0.5)*(Calculos!$G76+0.2)*1.2),0),0)</f>
        <v>0</v>
      </c>
      <c r="V76" s="60">
        <f>IF(CODE('Levantamento dutos'!$E76)=80,ROUND((('Levantamento dutos'!$D76/0.5)*(Calculos!$G76+0.2)*1.2),0),0)</f>
        <v>0</v>
      </c>
      <c r="W76" s="60">
        <f>IF(CODE('Levantamento dutos'!$E76)=76,'Levantamento dutos'!$D76/0.5*1.5,0)</f>
        <v>0</v>
      </c>
      <c r="X76" s="60">
        <f>IF(CODE('Levantamento dutos'!$E76)=73,'Levantamento dutos'!$D76/0.5*1.5,0)</f>
        <v>0</v>
      </c>
      <c r="Y76" s="60">
        <f>IF(CODE('Levantamento dutos'!$E76)=80,'Levantamento dutos'!$D76/0.5*1.5,0)</f>
        <v>0</v>
      </c>
      <c r="Z76" s="60">
        <f>IF(CODE('Levantamento dutos'!$E76)=76,ROUND(('Levantamento dutos'!$D76)+('Levantamento dutos'!$D76*Calculos!$G76*2)*1.1,0),0)</f>
        <v>0</v>
      </c>
      <c r="AA76" s="60">
        <f>IF(CODE('Levantamento dutos'!$G76)=80,('Levantamento dutos'!$D76/'Levantamento dutos'!$G$12)*8,0)</f>
        <v>0</v>
      </c>
      <c r="AB76" s="60">
        <f>IF(CODE('Levantamento dutos'!$G76)=80,IF('Levantamento dutos'!$B76&gt;30,('Levantamento dutos'!$D76/'Levantamento dutos'!$G$12)*4,0),0)</f>
        <v>0</v>
      </c>
      <c r="AC76" s="60">
        <f>IF('Levantamento dutos'!$B76&gt;220,('Levantamento dutos'!$D76/'Levantamento dutos'!$G$12*Calculos!$G76*2),0)</f>
        <v>0</v>
      </c>
      <c r="AD76" s="60">
        <f>IF(CODE('Levantamento dutos'!$E76)=73,((('Levantamento dutos'!$E$12/1000)+0.02)*'Levantamento dutos'!$D76)*4*1.3,0)</f>
        <v>0</v>
      </c>
      <c r="AE76" s="60">
        <f>IF(CODE('Levantamento dutos'!$E76)=80,((('Levantamento dutos'!$E$12/1000)+0.02)*'Levantamento dutos'!$D76)*4*1.3,0)</f>
        <v>0</v>
      </c>
    </row>
    <row r="77" spans="2:31" x14ac:dyDescent="0.2">
      <c r="B77" s="58">
        <f>IF('Levantamento dutos'!$B77&lt;=Calculos!$Z$3,((('Levantamento dutos'!$B77)/100+('Levantamento dutos'!$C77)/100)*2)*'Levantamento dutos'!$D77,0)</f>
        <v>0</v>
      </c>
      <c r="C77">
        <f>IF('Levantamento dutos'!$B77&gt;Calculos!$Z$3,IF('Levantamento dutos'!$B77&lt;=Calculos!$Z$4,((('Levantamento dutos'!$B77)/100+('Levantamento dutos'!$C77)/100)*2)*'Levantamento dutos'!$D77,0),0)</f>
        <v>0</v>
      </c>
      <c r="D77">
        <f>IF('Levantamento dutos'!$B77&gt;Calculos!$Z$4,IF('Levantamento dutos'!$B77&lt;=Calculos!$Z$5,((('Levantamento dutos'!$B77)/100+('Levantamento dutos'!$C77)/100)*2)*'Levantamento dutos'!$D77,0),0)</f>
        <v>0</v>
      </c>
      <c r="E77">
        <f>IF('Levantamento dutos'!$B77&gt;Calculos!$Z$5,IF('Levantamento dutos'!$B77&lt;=Calculos!$Z$6,((('Levantamento dutos'!$B77)/100+('Levantamento dutos'!$C77)/100)*2)*'Levantamento dutos'!$D77,0),0)</f>
        <v>0</v>
      </c>
      <c r="F77" s="59">
        <f>IF('Levantamento dutos'!$B77&gt;Calculos!$Z$7,((('Levantamento dutos'!$B77)/100+('Levantamento dutos'!$C77)/100)*2)*'Levantamento dutos'!$D77,0)</f>
        <v>0</v>
      </c>
      <c r="G77">
        <f>(('Levantamento dutos'!B77+'Levantamento dutos'!C77)/100)*2</f>
        <v>0</v>
      </c>
      <c r="H77" s="58">
        <f>IF(CODE('Levantamento dutos'!$E77)=76,SUM($B77:$F77),0)</f>
        <v>0</v>
      </c>
      <c r="I77">
        <f>IF(CODE('Levantamento dutos'!$E77)=73,SUM($B77:$F77),0)</f>
        <v>0</v>
      </c>
      <c r="J77">
        <f>IF(CODE('Levantamento dutos'!$E77)=80,SUM($B77:$F77),0)</f>
        <v>0</v>
      </c>
      <c r="K77">
        <f>IF(CODE('Levantamento dutos'!$F77)=66,SUM($B77:$F77),0)</f>
        <v>0</v>
      </c>
      <c r="L77">
        <f>IF(CODE('Levantamento dutos'!$F77)=70,SUM($B77:$F77),0)</f>
        <v>0</v>
      </c>
      <c r="M77" s="59">
        <f>IF(CODE('Levantamento dutos'!$E77)=84,SUM($B77:$F77),0)</f>
        <v>0</v>
      </c>
      <c r="N77" s="60">
        <f>IF(CODE('Levantamento dutos'!$G77)=80,IF('Levantamento dutos'!$B77&lt;=200,('Levantamento dutos'!$D77/'Levantamento dutos'!$G$12*Calculos!$G77*2),0),0)</f>
        <v>0</v>
      </c>
      <c r="O77" s="60">
        <f>IF(CODE('Levantamento dutos'!$G77)=80,IF('Levantamento dutos'!$B77&gt;200,('Levantamento dutos'!$D77/'Levantamento dutos'!$G$12*Calculos!$G77*2),0),0)</f>
        <v>0</v>
      </c>
      <c r="P77" s="60">
        <f>IF(CODE('Levantamento dutos'!$G77)=67,('Levantamento dutos'!$D77/'Levantamento dutos'!$G$12*Calculos!$G77*2),0)</f>
        <v>0</v>
      </c>
      <c r="Q77" s="60">
        <f>IF(CODE('Levantamento dutos'!H77)=83,((('Levantamento dutos'!B77/100)+('Levantamento dutos'!$H$12/1000))+(('Levantamento dutos'!C77/100)+('Levantamento dutos'!$H$12)/1000))*2*'Levantamento dutos'!D77,0)</f>
        <v>0</v>
      </c>
      <c r="S77" s="60">
        <f>IF(CODE('Levantamento dutos'!$I77)=83,$Q77,0)</f>
        <v>0</v>
      </c>
      <c r="T77" s="60">
        <f>IF(CODE('Levantamento dutos'!$E77)=76,ROUND((('Levantamento dutos'!$D77/5)*(Calculos!$G77+0.2)*1.2),0),0)</f>
        <v>0</v>
      </c>
      <c r="U77" s="60">
        <f>IF(CODE('Levantamento dutos'!$E77)=73,ROUND((('Levantamento dutos'!$D77/0.5)*(Calculos!$G77+0.2)*1.2),0),0)</f>
        <v>0</v>
      </c>
      <c r="V77" s="60">
        <f>IF(CODE('Levantamento dutos'!$E77)=80,ROUND((('Levantamento dutos'!$D77/0.5)*(Calculos!$G77+0.2)*1.2),0),0)</f>
        <v>0</v>
      </c>
      <c r="W77" s="60">
        <f>IF(CODE('Levantamento dutos'!$E77)=76,'Levantamento dutos'!$D77/0.5*1.5,0)</f>
        <v>0</v>
      </c>
      <c r="X77" s="60">
        <f>IF(CODE('Levantamento dutos'!$E77)=73,'Levantamento dutos'!$D77/0.5*1.5,0)</f>
        <v>0</v>
      </c>
      <c r="Y77" s="60">
        <f>IF(CODE('Levantamento dutos'!$E77)=80,'Levantamento dutos'!$D77/0.5*1.5,0)</f>
        <v>0</v>
      </c>
      <c r="Z77" s="60">
        <f>IF(CODE('Levantamento dutos'!$E77)=76,ROUND(('Levantamento dutos'!$D77)+('Levantamento dutos'!$D77*Calculos!$G77*2)*1.1,0),0)</f>
        <v>0</v>
      </c>
      <c r="AA77" s="60">
        <f>IF(CODE('Levantamento dutos'!$G77)=80,('Levantamento dutos'!$D77/'Levantamento dutos'!$G$12)*8,0)</f>
        <v>0</v>
      </c>
      <c r="AB77" s="60">
        <f>IF(CODE('Levantamento dutos'!$G77)=80,IF('Levantamento dutos'!$B77&gt;30,('Levantamento dutos'!$D77/'Levantamento dutos'!$G$12)*4,0),0)</f>
        <v>0</v>
      </c>
      <c r="AC77" s="60">
        <f>IF('Levantamento dutos'!$B77&gt;220,('Levantamento dutos'!$D77/'Levantamento dutos'!$G$12*Calculos!$G77*2),0)</f>
        <v>0</v>
      </c>
      <c r="AD77" s="60">
        <f>IF(CODE('Levantamento dutos'!$E77)=73,((('Levantamento dutos'!$E$12/1000)+0.02)*'Levantamento dutos'!$D77)*4*1.3,0)</f>
        <v>0</v>
      </c>
      <c r="AE77" s="60">
        <f>IF(CODE('Levantamento dutos'!$E77)=80,((('Levantamento dutos'!$E$12/1000)+0.02)*'Levantamento dutos'!$D77)*4*1.3,0)</f>
        <v>0</v>
      </c>
    </row>
    <row r="78" spans="2:31" x14ac:dyDescent="0.2">
      <c r="B78" s="58">
        <f>IF('Levantamento dutos'!$B78&lt;=Calculos!$Z$3,((('Levantamento dutos'!$B78)/100+('Levantamento dutos'!$C78)/100)*2)*'Levantamento dutos'!$D78,0)</f>
        <v>0</v>
      </c>
      <c r="C78">
        <f>IF('Levantamento dutos'!$B78&gt;Calculos!$Z$3,IF('Levantamento dutos'!$B78&lt;=Calculos!$Z$4,((('Levantamento dutos'!$B78)/100+('Levantamento dutos'!$C78)/100)*2)*'Levantamento dutos'!$D78,0),0)</f>
        <v>0</v>
      </c>
      <c r="D78">
        <f>IF('Levantamento dutos'!$B78&gt;Calculos!$Z$4,IF('Levantamento dutos'!$B78&lt;=Calculos!$Z$5,((('Levantamento dutos'!$B78)/100+('Levantamento dutos'!$C78)/100)*2)*'Levantamento dutos'!$D78,0),0)</f>
        <v>0</v>
      </c>
      <c r="E78">
        <f>IF('Levantamento dutos'!$B78&gt;Calculos!$Z$5,IF('Levantamento dutos'!$B78&lt;=Calculos!$Z$6,((('Levantamento dutos'!$B78)/100+('Levantamento dutos'!$C78)/100)*2)*'Levantamento dutos'!$D78,0),0)</f>
        <v>0</v>
      </c>
      <c r="F78" s="59">
        <f>IF('Levantamento dutos'!$B78&gt;Calculos!$Z$7,((('Levantamento dutos'!$B78)/100+('Levantamento dutos'!$C78)/100)*2)*'Levantamento dutos'!$D78,0)</f>
        <v>0</v>
      </c>
      <c r="G78">
        <f>(('Levantamento dutos'!B78+'Levantamento dutos'!C78)/100)*2</f>
        <v>0</v>
      </c>
      <c r="H78" s="58">
        <f>IF(CODE('Levantamento dutos'!$E78)=76,SUM($B78:$F78),0)</f>
        <v>0</v>
      </c>
      <c r="I78">
        <f>IF(CODE('Levantamento dutos'!$E78)=73,SUM($B78:$F78),0)</f>
        <v>0</v>
      </c>
      <c r="J78">
        <f>IF(CODE('Levantamento dutos'!$E78)=80,SUM($B78:$F78),0)</f>
        <v>0</v>
      </c>
      <c r="K78">
        <f>IF(CODE('Levantamento dutos'!$F78)=66,SUM($B78:$F78),0)</f>
        <v>0</v>
      </c>
      <c r="L78">
        <f>IF(CODE('Levantamento dutos'!$F78)=70,SUM($B78:$F78),0)</f>
        <v>0</v>
      </c>
      <c r="M78" s="59">
        <f>IF(CODE('Levantamento dutos'!$E78)=84,SUM($B78:$F78),0)</f>
        <v>0</v>
      </c>
      <c r="N78" s="60">
        <f>IF(CODE('Levantamento dutos'!$G78)=80,IF('Levantamento dutos'!$B78&lt;=200,('Levantamento dutos'!$D78/'Levantamento dutos'!$G$12*Calculos!$G78*2),0),0)</f>
        <v>0</v>
      </c>
      <c r="O78" s="60">
        <f>IF(CODE('Levantamento dutos'!$G78)=80,IF('Levantamento dutos'!$B78&gt;200,('Levantamento dutos'!$D78/'Levantamento dutos'!$G$12*Calculos!$G78*2),0),0)</f>
        <v>0</v>
      </c>
      <c r="P78" s="60">
        <f>IF(CODE('Levantamento dutos'!$G78)=67,('Levantamento dutos'!$D78/'Levantamento dutos'!$G$12*Calculos!$G78*2),0)</f>
        <v>0</v>
      </c>
      <c r="Q78" s="60">
        <f>IF(CODE('Levantamento dutos'!H78)=83,((('Levantamento dutos'!B78/100)+('Levantamento dutos'!$H$12/1000))+(('Levantamento dutos'!C78/100)+('Levantamento dutos'!$H$12)/1000))*2*'Levantamento dutos'!D78,0)</f>
        <v>0</v>
      </c>
      <c r="S78" s="60">
        <f>IF(CODE('Levantamento dutos'!$I78)=83,$Q78,0)</f>
        <v>0</v>
      </c>
      <c r="T78" s="60">
        <f>IF(CODE('Levantamento dutos'!$E78)=76,ROUND((('Levantamento dutos'!$D78/5)*(Calculos!$G78+0.2)*1.2),0),0)</f>
        <v>0</v>
      </c>
      <c r="U78" s="60">
        <f>IF(CODE('Levantamento dutos'!$E78)=73,ROUND((('Levantamento dutos'!$D78/0.5)*(Calculos!$G78+0.2)*1.2),0),0)</f>
        <v>0</v>
      </c>
      <c r="V78" s="60">
        <f>IF(CODE('Levantamento dutos'!$E78)=80,ROUND((('Levantamento dutos'!$D78/0.5)*(Calculos!$G78+0.2)*1.2),0),0)</f>
        <v>0</v>
      </c>
      <c r="W78" s="60">
        <f>IF(CODE('Levantamento dutos'!$E78)=76,'Levantamento dutos'!$D78/0.5*1.5,0)</f>
        <v>0</v>
      </c>
      <c r="X78" s="60">
        <f>IF(CODE('Levantamento dutos'!$E78)=73,'Levantamento dutos'!$D78/0.5*1.5,0)</f>
        <v>0</v>
      </c>
      <c r="Y78" s="60">
        <f>IF(CODE('Levantamento dutos'!$E78)=80,'Levantamento dutos'!$D78/0.5*1.5,0)</f>
        <v>0</v>
      </c>
      <c r="Z78" s="60">
        <f>IF(CODE('Levantamento dutos'!$E78)=76,ROUND(('Levantamento dutos'!$D78)+('Levantamento dutos'!$D78*Calculos!$G78*2)*1.1,0),0)</f>
        <v>0</v>
      </c>
      <c r="AA78" s="60">
        <f>IF(CODE('Levantamento dutos'!$G78)=80,('Levantamento dutos'!$D78/'Levantamento dutos'!$G$12)*8,0)</f>
        <v>0</v>
      </c>
      <c r="AB78" s="60">
        <f>IF(CODE('Levantamento dutos'!$G78)=80,IF('Levantamento dutos'!$B78&gt;30,('Levantamento dutos'!$D78/'Levantamento dutos'!$G$12)*4,0),0)</f>
        <v>0</v>
      </c>
      <c r="AC78" s="60">
        <f>IF('Levantamento dutos'!$B78&gt;220,('Levantamento dutos'!$D78/'Levantamento dutos'!$G$12*Calculos!$G78*2),0)</f>
        <v>0</v>
      </c>
      <c r="AD78" s="60">
        <f>IF(CODE('Levantamento dutos'!$E78)=73,((('Levantamento dutos'!$E$12/1000)+0.02)*'Levantamento dutos'!$D78)*4*1.3,0)</f>
        <v>0</v>
      </c>
      <c r="AE78" s="60">
        <f>IF(CODE('Levantamento dutos'!$E78)=80,((('Levantamento dutos'!$E$12/1000)+0.02)*'Levantamento dutos'!$D78)*4*1.3,0)</f>
        <v>0</v>
      </c>
    </row>
    <row r="79" spans="2:31" x14ac:dyDescent="0.2">
      <c r="B79" s="58">
        <f>IF('Levantamento dutos'!$B79&lt;=Calculos!$Z$3,((('Levantamento dutos'!$B79)/100+('Levantamento dutos'!$C79)/100)*2)*'Levantamento dutos'!$D79,0)</f>
        <v>0</v>
      </c>
      <c r="C79">
        <f>IF('Levantamento dutos'!$B79&gt;Calculos!$Z$3,IF('Levantamento dutos'!$B79&lt;=Calculos!$Z$4,((('Levantamento dutos'!$B79)/100+('Levantamento dutos'!$C79)/100)*2)*'Levantamento dutos'!$D79,0),0)</f>
        <v>0</v>
      </c>
      <c r="D79">
        <f>IF('Levantamento dutos'!$B79&gt;Calculos!$Z$4,IF('Levantamento dutos'!$B79&lt;=Calculos!$Z$5,((('Levantamento dutos'!$B79)/100+('Levantamento dutos'!$C79)/100)*2)*'Levantamento dutos'!$D79,0),0)</f>
        <v>0</v>
      </c>
      <c r="E79">
        <f>IF('Levantamento dutos'!$B79&gt;Calculos!$Z$5,IF('Levantamento dutos'!$B79&lt;=Calculos!$Z$6,((('Levantamento dutos'!$B79)/100+('Levantamento dutos'!$C79)/100)*2)*'Levantamento dutos'!$D79,0),0)</f>
        <v>0</v>
      </c>
      <c r="F79" s="59">
        <f>IF('Levantamento dutos'!$B79&gt;Calculos!$Z$7,((('Levantamento dutos'!$B79)/100+('Levantamento dutos'!$C79)/100)*2)*'Levantamento dutos'!$D79,0)</f>
        <v>0</v>
      </c>
      <c r="G79">
        <f>(('Levantamento dutos'!B79+'Levantamento dutos'!C79)/100)*2</f>
        <v>0</v>
      </c>
      <c r="H79" s="58">
        <f>IF(CODE('Levantamento dutos'!$E79)=76,SUM($B79:$F79),0)</f>
        <v>0</v>
      </c>
      <c r="I79">
        <f>IF(CODE('Levantamento dutos'!$E79)=73,SUM($B79:$F79),0)</f>
        <v>0</v>
      </c>
      <c r="J79">
        <f>IF(CODE('Levantamento dutos'!$E79)=80,SUM($B79:$F79),0)</f>
        <v>0</v>
      </c>
      <c r="K79">
        <f>IF(CODE('Levantamento dutos'!$F79)=66,SUM($B79:$F79),0)</f>
        <v>0</v>
      </c>
      <c r="L79">
        <f>IF(CODE('Levantamento dutos'!$F79)=70,SUM($B79:$F79),0)</f>
        <v>0</v>
      </c>
      <c r="M79" s="59">
        <f>IF(CODE('Levantamento dutos'!$E79)=84,SUM($B79:$F79),0)</f>
        <v>0</v>
      </c>
      <c r="N79" s="60">
        <f>IF(CODE('Levantamento dutos'!$G79)=80,IF('Levantamento dutos'!$B79&lt;=200,('Levantamento dutos'!$D79/'Levantamento dutos'!$G$12*Calculos!$G79*2),0),0)</f>
        <v>0</v>
      </c>
      <c r="O79" s="60">
        <f>IF(CODE('Levantamento dutos'!$G79)=80,IF('Levantamento dutos'!$B79&gt;200,('Levantamento dutos'!$D79/'Levantamento dutos'!$G$12*Calculos!$G79*2),0),0)</f>
        <v>0</v>
      </c>
      <c r="P79" s="60">
        <f>IF(CODE('Levantamento dutos'!$G79)=67,('Levantamento dutos'!$D79/'Levantamento dutos'!$G$12*Calculos!$G79*2),0)</f>
        <v>0</v>
      </c>
      <c r="Q79" s="60">
        <f>IF(CODE('Levantamento dutos'!H79)=83,((('Levantamento dutos'!B79/100)+('Levantamento dutos'!$H$12/1000))+(('Levantamento dutos'!C79/100)+('Levantamento dutos'!$H$12)/1000))*2*'Levantamento dutos'!D79,0)</f>
        <v>0</v>
      </c>
      <c r="S79" s="60">
        <f>IF(CODE('Levantamento dutos'!$I79)=83,$Q79,0)</f>
        <v>0</v>
      </c>
      <c r="T79" s="60">
        <f>IF(CODE('Levantamento dutos'!$E79)=76,ROUND((('Levantamento dutos'!$D79/5)*(Calculos!$G79+0.2)*1.2),0),0)</f>
        <v>0</v>
      </c>
      <c r="U79" s="60">
        <f>IF(CODE('Levantamento dutos'!$E79)=73,ROUND((('Levantamento dutos'!$D79/0.5)*(Calculos!$G79+0.2)*1.2),0),0)</f>
        <v>0</v>
      </c>
      <c r="V79" s="60">
        <f>IF(CODE('Levantamento dutos'!$E79)=80,ROUND((('Levantamento dutos'!$D79/0.5)*(Calculos!$G79+0.2)*1.2),0),0)</f>
        <v>0</v>
      </c>
      <c r="W79" s="60">
        <f>IF(CODE('Levantamento dutos'!$E79)=76,'Levantamento dutos'!$D79/0.5*1.5,0)</f>
        <v>0</v>
      </c>
      <c r="X79" s="60">
        <f>IF(CODE('Levantamento dutos'!$E79)=73,'Levantamento dutos'!$D79/0.5*1.5,0)</f>
        <v>0</v>
      </c>
      <c r="Y79" s="60">
        <f>IF(CODE('Levantamento dutos'!$E79)=80,'Levantamento dutos'!$D79/0.5*1.5,0)</f>
        <v>0</v>
      </c>
      <c r="Z79" s="60">
        <f>IF(CODE('Levantamento dutos'!$E79)=76,ROUND(('Levantamento dutos'!$D79)+('Levantamento dutos'!$D79*Calculos!$G79*2)*1.1,0),0)</f>
        <v>0</v>
      </c>
      <c r="AA79" s="60">
        <f>IF(CODE('Levantamento dutos'!$G79)=80,('Levantamento dutos'!$D79/'Levantamento dutos'!$G$12)*8,0)</f>
        <v>0</v>
      </c>
      <c r="AB79" s="60">
        <f>IF(CODE('Levantamento dutos'!$G79)=80,IF('Levantamento dutos'!$B79&gt;30,('Levantamento dutos'!$D79/'Levantamento dutos'!$G$12)*4,0),0)</f>
        <v>0</v>
      </c>
      <c r="AC79" s="60">
        <f>IF('Levantamento dutos'!$B79&gt;220,('Levantamento dutos'!$D79/'Levantamento dutos'!$G$12*Calculos!$G79*2),0)</f>
        <v>0</v>
      </c>
      <c r="AD79" s="60">
        <f>IF(CODE('Levantamento dutos'!$E79)=73,((('Levantamento dutos'!$E$12/1000)+0.02)*'Levantamento dutos'!$D79)*4*1.3,0)</f>
        <v>0</v>
      </c>
      <c r="AE79" s="60">
        <f>IF(CODE('Levantamento dutos'!$E79)=80,((('Levantamento dutos'!$E$12/1000)+0.02)*'Levantamento dutos'!$D79)*4*1.3,0)</f>
        <v>0</v>
      </c>
    </row>
    <row r="80" spans="2:31" x14ac:dyDescent="0.2">
      <c r="B80" s="58">
        <f>IF('Levantamento dutos'!$B80&lt;=Calculos!$Z$3,((('Levantamento dutos'!$B80)/100+('Levantamento dutos'!$C80)/100)*2)*'Levantamento dutos'!$D80,0)</f>
        <v>0</v>
      </c>
      <c r="C80">
        <f>IF('Levantamento dutos'!$B80&gt;Calculos!$Z$3,IF('Levantamento dutos'!$B80&lt;=Calculos!$Z$4,((('Levantamento dutos'!$B80)/100+('Levantamento dutos'!$C80)/100)*2)*'Levantamento dutos'!$D80,0),0)</f>
        <v>0</v>
      </c>
      <c r="D80">
        <f>IF('Levantamento dutos'!$B80&gt;Calculos!$Z$4,IF('Levantamento dutos'!$B80&lt;=Calculos!$Z$5,((('Levantamento dutos'!$B80)/100+('Levantamento dutos'!$C80)/100)*2)*'Levantamento dutos'!$D80,0),0)</f>
        <v>0</v>
      </c>
      <c r="E80">
        <f>IF('Levantamento dutos'!$B80&gt;Calculos!$Z$5,IF('Levantamento dutos'!$B80&lt;=Calculos!$Z$6,((('Levantamento dutos'!$B80)/100+('Levantamento dutos'!$C80)/100)*2)*'Levantamento dutos'!$D80,0),0)</f>
        <v>0</v>
      </c>
      <c r="F80" s="59">
        <f>IF('Levantamento dutos'!$B80&gt;Calculos!$Z$7,((('Levantamento dutos'!$B80)/100+('Levantamento dutos'!$C80)/100)*2)*'Levantamento dutos'!$D80,0)</f>
        <v>0</v>
      </c>
      <c r="G80">
        <f>(('Levantamento dutos'!B80+'Levantamento dutos'!C80)/100)*2</f>
        <v>0</v>
      </c>
      <c r="H80" s="58">
        <f>IF(CODE('Levantamento dutos'!$E80)=76,SUM($B80:$F80),0)</f>
        <v>0</v>
      </c>
      <c r="I80">
        <f>IF(CODE('Levantamento dutos'!$E80)=73,SUM($B80:$F80),0)</f>
        <v>0</v>
      </c>
      <c r="J80">
        <f>IF(CODE('Levantamento dutos'!$E80)=80,SUM($B80:$F80),0)</f>
        <v>0</v>
      </c>
      <c r="K80">
        <f>IF(CODE('Levantamento dutos'!$F80)=66,SUM($B80:$F80),0)</f>
        <v>0</v>
      </c>
      <c r="L80">
        <f>IF(CODE('Levantamento dutos'!$F80)=70,SUM($B80:$F80),0)</f>
        <v>0</v>
      </c>
      <c r="M80" s="59">
        <f>IF(CODE('Levantamento dutos'!$E80)=84,SUM($B80:$F80),0)</f>
        <v>0</v>
      </c>
      <c r="N80" s="60">
        <f>IF(CODE('Levantamento dutos'!$G80)=80,IF('Levantamento dutos'!$B80&lt;=200,('Levantamento dutos'!$D80/'Levantamento dutos'!$G$12*Calculos!$G80*2),0),0)</f>
        <v>0</v>
      </c>
      <c r="O80" s="60">
        <f>IF(CODE('Levantamento dutos'!$G80)=80,IF('Levantamento dutos'!$B80&gt;200,('Levantamento dutos'!$D80/'Levantamento dutos'!$G$12*Calculos!$G80*2),0),0)</f>
        <v>0</v>
      </c>
      <c r="P80" s="60">
        <f>IF(CODE('Levantamento dutos'!$G80)=67,('Levantamento dutos'!$D80/'Levantamento dutos'!$G$12*Calculos!$G80*2),0)</f>
        <v>0</v>
      </c>
      <c r="Q80" s="60">
        <f>IF(CODE('Levantamento dutos'!H80)=83,((('Levantamento dutos'!B80/100)+('Levantamento dutos'!$H$12/1000))+(('Levantamento dutos'!C80/100)+('Levantamento dutos'!$H$12)/1000))*2*'Levantamento dutos'!D80,0)</f>
        <v>0</v>
      </c>
      <c r="S80" s="60">
        <f>IF(CODE('Levantamento dutos'!$I80)=83,$Q80,0)</f>
        <v>0</v>
      </c>
      <c r="T80" s="60">
        <f>IF(CODE('Levantamento dutos'!$E80)=76,ROUND((('Levantamento dutos'!$D80/5)*(Calculos!$G80+0.2)*1.2),0),0)</f>
        <v>0</v>
      </c>
      <c r="U80" s="60">
        <f>IF(CODE('Levantamento dutos'!$E80)=73,ROUND((('Levantamento dutos'!$D80/0.5)*(Calculos!$G80+0.2)*1.2),0),0)</f>
        <v>0</v>
      </c>
      <c r="V80" s="60">
        <f>IF(CODE('Levantamento dutos'!$E80)=80,ROUND((('Levantamento dutos'!$D80/0.5)*(Calculos!$G80+0.2)*1.2),0),0)</f>
        <v>0</v>
      </c>
      <c r="W80" s="60">
        <f>IF(CODE('Levantamento dutos'!$E80)=76,'Levantamento dutos'!$D80/0.5*1.5,0)</f>
        <v>0</v>
      </c>
      <c r="X80" s="60">
        <f>IF(CODE('Levantamento dutos'!$E80)=73,'Levantamento dutos'!$D80/0.5*1.5,0)</f>
        <v>0</v>
      </c>
      <c r="Y80" s="60">
        <f>IF(CODE('Levantamento dutos'!$E80)=80,'Levantamento dutos'!$D80/0.5*1.5,0)</f>
        <v>0</v>
      </c>
      <c r="Z80" s="60">
        <f>IF(CODE('Levantamento dutos'!$E80)=76,ROUND(('Levantamento dutos'!$D80)+('Levantamento dutos'!$D80*Calculos!$G80*2)*1.1,0),0)</f>
        <v>0</v>
      </c>
      <c r="AA80" s="60">
        <f>IF(CODE('Levantamento dutos'!$G80)=80,('Levantamento dutos'!$D80/'Levantamento dutos'!$G$12)*8,0)</f>
        <v>0</v>
      </c>
      <c r="AB80" s="60">
        <f>IF(CODE('Levantamento dutos'!$G80)=80,IF('Levantamento dutos'!$B80&gt;30,('Levantamento dutos'!$D80/'Levantamento dutos'!$G$12)*4,0),0)</f>
        <v>0</v>
      </c>
      <c r="AC80" s="60">
        <f>IF('Levantamento dutos'!$B80&gt;220,('Levantamento dutos'!$D80/'Levantamento dutos'!$G$12*Calculos!$G80*2),0)</f>
        <v>0</v>
      </c>
      <c r="AD80" s="60">
        <f>IF(CODE('Levantamento dutos'!$E80)=73,((('Levantamento dutos'!$E$12/1000)+0.02)*'Levantamento dutos'!$D80)*4*1.3,0)</f>
        <v>0</v>
      </c>
      <c r="AE80" s="60">
        <f>IF(CODE('Levantamento dutos'!$E80)=80,((('Levantamento dutos'!$E$12/1000)+0.02)*'Levantamento dutos'!$D80)*4*1.3,0)</f>
        <v>0</v>
      </c>
    </row>
    <row r="81" spans="2:31" x14ac:dyDescent="0.2">
      <c r="B81" s="58">
        <f>IF('Levantamento dutos'!$B81&lt;=Calculos!$Z$3,((('Levantamento dutos'!$B81)/100+('Levantamento dutos'!$C81)/100)*2)*'Levantamento dutos'!$D81,0)</f>
        <v>0</v>
      </c>
      <c r="C81">
        <f>IF('Levantamento dutos'!$B81&gt;Calculos!$Z$3,IF('Levantamento dutos'!$B81&lt;=Calculos!$Z$4,((('Levantamento dutos'!$B81)/100+('Levantamento dutos'!$C81)/100)*2)*'Levantamento dutos'!$D81,0),0)</f>
        <v>0</v>
      </c>
      <c r="D81">
        <f>IF('Levantamento dutos'!$B81&gt;Calculos!$Z$4,IF('Levantamento dutos'!$B81&lt;=Calculos!$Z$5,((('Levantamento dutos'!$B81)/100+('Levantamento dutos'!$C81)/100)*2)*'Levantamento dutos'!$D81,0),0)</f>
        <v>0</v>
      </c>
      <c r="E81">
        <f>IF('Levantamento dutos'!$B81&gt;Calculos!$Z$5,IF('Levantamento dutos'!$B81&lt;=Calculos!$Z$6,((('Levantamento dutos'!$B81)/100+('Levantamento dutos'!$C81)/100)*2)*'Levantamento dutos'!$D81,0),0)</f>
        <v>0</v>
      </c>
      <c r="F81" s="59">
        <f>IF('Levantamento dutos'!$B81&gt;Calculos!$Z$7,((('Levantamento dutos'!$B81)/100+('Levantamento dutos'!$C81)/100)*2)*'Levantamento dutos'!$D81,0)</f>
        <v>0</v>
      </c>
      <c r="G81">
        <f>(('Levantamento dutos'!B81+'Levantamento dutos'!C81)/100)*2</f>
        <v>0</v>
      </c>
      <c r="H81" s="58">
        <f>IF(CODE('Levantamento dutos'!$E81)=76,SUM($B81:$F81),0)</f>
        <v>0</v>
      </c>
      <c r="I81">
        <f>IF(CODE('Levantamento dutos'!$E81)=73,SUM($B81:$F81),0)</f>
        <v>0</v>
      </c>
      <c r="J81">
        <f>IF(CODE('Levantamento dutos'!$E81)=80,SUM($B81:$F81),0)</f>
        <v>0</v>
      </c>
      <c r="K81">
        <f>IF(CODE('Levantamento dutos'!$F81)=66,SUM($B81:$F81),0)</f>
        <v>0</v>
      </c>
      <c r="L81">
        <f>IF(CODE('Levantamento dutos'!$F81)=70,SUM($B81:$F81),0)</f>
        <v>0</v>
      </c>
      <c r="M81" s="59">
        <f>IF(CODE('Levantamento dutos'!$E81)=84,SUM($B81:$F81),0)</f>
        <v>0</v>
      </c>
      <c r="N81" s="60">
        <f>IF(CODE('Levantamento dutos'!$G81)=80,IF('Levantamento dutos'!$B81&lt;=200,('Levantamento dutos'!$D81/'Levantamento dutos'!$G$12*Calculos!$G81*2),0),0)</f>
        <v>0</v>
      </c>
      <c r="O81" s="60">
        <f>IF(CODE('Levantamento dutos'!$G81)=80,IF('Levantamento dutos'!$B81&gt;200,('Levantamento dutos'!$D81/'Levantamento dutos'!$G$12*Calculos!$G81*2),0),0)</f>
        <v>0</v>
      </c>
      <c r="P81" s="60">
        <f>IF(CODE('Levantamento dutos'!$G81)=67,('Levantamento dutos'!$D81/'Levantamento dutos'!$G$12*Calculos!$G81*2),0)</f>
        <v>0</v>
      </c>
      <c r="Q81" s="60">
        <f>IF(CODE('Levantamento dutos'!H81)=83,((('Levantamento dutos'!B81/100)+('Levantamento dutos'!$H$12/1000))+(('Levantamento dutos'!C81/100)+('Levantamento dutos'!$H$12)/1000))*2*'Levantamento dutos'!D81,0)</f>
        <v>0</v>
      </c>
      <c r="S81" s="60">
        <f>IF(CODE('Levantamento dutos'!$I81)=83,$Q81,0)</f>
        <v>0</v>
      </c>
      <c r="T81" s="60">
        <f>IF(CODE('Levantamento dutos'!$E81)=76,ROUND((('Levantamento dutos'!$D81/5)*(Calculos!$G81+0.2)*1.2),0),0)</f>
        <v>0</v>
      </c>
      <c r="U81" s="60">
        <f>IF(CODE('Levantamento dutos'!$E81)=73,ROUND((('Levantamento dutos'!$D81/0.5)*(Calculos!$G81+0.2)*1.2),0),0)</f>
        <v>0</v>
      </c>
      <c r="V81" s="60">
        <f>IF(CODE('Levantamento dutos'!$E81)=80,ROUND((('Levantamento dutos'!$D81/0.5)*(Calculos!$G81+0.2)*1.2),0),0)</f>
        <v>0</v>
      </c>
      <c r="W81" s="60">
        <f>IF(CODE('Levantamento dutos'!$E81)=76,'Levantamento dutos'!$D81/0.5*1.5,0)</f>
        <v>0</v>
      </c>
      <c r="X81" s="60">
        <f>IF(CODE('Levantamento dutos'!$E81)=73,'Levantamento dutos'!$D81/0.5*1.5,0)</f>
        <v>0</v>
      </c>
      <c r="Y81" s="60">
        <f>IF(CODE('Levantamento dutos'!$E81)=80,'Levantamento dutos'!$D81/0.5*1.5,0)</f>
        <v>0</v>
      </c>
      <c r="Z81" s="60">
        <f>IF(CODE('Levantamento dutos'!$E81)=76,ROUND(('Levantamento dutos'!$D81)+('Levantamento dutos'!$D81*Calculos!$G81*2)*1.1,0),0)</f>
        <v>0</v>
      </c>
      <c r="AA81" s="60">
        <f>IF(CODE('Levantamento dutos'!$G81)=80,('Levantamento dutos'!$D81/'Levantamento dutos'!$G$12)*8,0)</f>
        <v>0</v>
      </c>
      <c r="AB81" s="60">
        <f>IF(CODE('Levantamento dutos'!$G81)=80,IF('Levantamento dutos'!$B81&gt;30,('Levantamento dutos'!$D81/'Levantamento dutos'!$G$12)*4,0),0)</f>
        <v>0</v>
      </c>
      <c r="AC81" s="60">
        <f>IF('Levantamento dutos'!$B81&gt;220,('Levantamento dutos'!$D81/'Levantamento dutos'!$G$12*Calculos!$G81*2),0)</f>
        <v>0</v>
      </c>
      <c r="AD81" s="60">
        <f>IF(CODE('Levantamento dutos'!$E81)=73,((('Levantamento dutos'!$E$12/1000)+0.02)*'Levantamento dutos'!$D81)*4*1.3,0)</f>
        <v>0</v>
      </c>
      <c r="AE81" s="60">
        <f>IF(CODE('Levantamento dutos'!$E81)=80,((('Levantamento dutos'!$E$12/1000)+0.02)*'Levantamento dutos'!$D81)*4*1.3,0)</f>
        <v>0</v>
      </c>
    </row>
    <row r="82" spans="2:31" x14ac:dyDescent="0.2">
      <c r="B82" s="58">
        <f>IF('Levantamento dutos'!$B82&lt;=Calculos!$Z$3,((('Levantamento dutos'!$B82)/100+('Levantamento dutos'!$C82)/100)*2)*'Levantamento dutos'!$D82,0)</f>
        <v>0</v>
      </c>
      <c r="C82">
        <f>IF('Levantamento dutos'!$B82&gt;Calculos!$Z$3,IF('Levantamento dutos'!$B82&lt;=Calculos!$Z$4,((('Levantamento dutos'!$B82)/100+('Levantamento dutos'!$C82)/100)*2)*'Levantamento dutos'!$D82,0),0)</f>
        <v>0</v>
      </c>
      <c r="D82">
        <f>IF('Levantamento dutos'!$B82&gt;Calculos!$Z$4,IF('Levantamento dutos'!$B82&lt;=Calculos!$Z$5,((('Levantamento dutos'!$B82)/100+('Levantamento dutos'!$C82)/100)*2)*'Levantamento dutos'!$D82,0),0)</f>
        <v>0</v>
      </c>
      <c r="E82">
        <f>IF('Levantamento dutos'!$B82&gt;Calculos!$Z$5,IF('Levantamento dutos'!$B82&lt;=Calculos!$Z$6,((('Levantamento dutos'!$B82)/100+('Levantamento dutos'!$C82)/100)*2)*'Levantamento dutos'!$D82,0),0)</f>
        <v>0</v>
      </c>
      <c r="F82" s="59">
        <f>IF('Levantamento dutos'!$B82&gt;Calculos!$Z$7,((('Levantamento dutos'!$B82)/100+('Levantamento dutos'!$C82)/100)*2)*'Levantamento dutos'!$D82,0)</f>
        <v>0</v>
      </c>
      <c r="G82">
        <f>(('Levantamento dutos'!B82+'Levantamento dutos'!C82)/100)*2</f>
        <v>0</v>
      </c>
      <c r="H82" s="58">
        <f>IF(CODE('Levantamento dutos'!$E82)=76,SUM($B82:$F82),0)</f>
        <v>0</v>
      </c>
      <c r="I82">
        <f>IF(CODE('Levantamento dutos'!$E82)=73,SUM($B82:$F82),0)</f>
        <v>0</v>
      </c>
      <c r="J82">
        <f>IF(CODE('Levantamento dutos'!$E82)=80,SUM($B82:$F82),0)</f>
        <v>0</v>
      </c>
      <c r="K82">
        <f>IF(CODE('Levantamento dutos'!$F82)=66,SUM($B82:$F82),0)</f>
        <v>0</v>
      </c>
      <c r="L82">
        <f>IF(CODE('Levantamento dutos'!$F82)=70,SUM($B82:$F82),0)</f>
        <v>0</v>
      </c>
      <c r="M82" s="59">
        <f>IF(CODE('Levantamento dutos'!$E82)=84,SUM($B82:$F82),0)</f>
        <v>0</v>
      </c>
      <c r="N82" s="60">
        <f>IF(CODE('Levantamento dutos'!$G82)=80,IF('Levantamento dutos'!$B82&lt;=200,('Levantamento dutos'!$D82/'Levantamento dutos'!$G$12*Calculos!$G82*2),0),0)</f>
        <v>0</v>
      </c>
      <c r="O82" s="60">
        <f>IF(CODE('Levantamento dutos'!$G82)=80,IF('Levantamento dutos'!$B82&gt;200,('Levantamento dutos'!$D82/'Levantamento dutos'!$G$12*Calculos!$G82*2),0),0)</f>
        <v>0</v>
      </c>
      <c r="P82" s="60">
        <f>IF(CODE('Levantamento dutos'!$G82)=67,('Levantamento dutos'!$D82/'Levantamento dutos'!$G$12*Calculos!$G82*2),0)</f>
        <v>0</v>
      </c>
      <c r="Q82" s="60">
        <f>IF(CODE('Levantamento dutos'!H82)=83,((('Levantamento dutos'!B82/100)+('Levantamento dutos'!$H$12/1000))+(('Levantamento dutos'!C82/100)+('Levantamento dutos'!$H$12)/1000))*2*'Levantamento dutos'!D82,0)</f>
        <v>0</v>
      </c>
      <c r="S82" s="60">
        <f>IF(CODE('Levantamento dutos'!$I82)=83,$Q82,0)</f>
        <v>0</v>
      </c>
      <c r="T82" s="60">
        <f>IF(CODE('Levantamento dutos'!$E82)=76,ROUND((('Levantamento dutos'!$D82/5)*(Calculos!$G82+0.2)*1.2),0),0)</f>
        <v>0</v>
      </c>
      <c r="U82" s="60">
        <f>IF(CODE('Levantamento dutos'!$E82)=73,ROUND((('Levantamento dutos'!$D82/0.5)*(Calculos!$G82+0.2)*1.2),0),0)</f>
        <v>0</v>
      </c>
      <c r="V82" s="60">
        <f>IF(CODE('Levantamento dutos'!$E82)=80,ROUND((('Levantamento dutos'!$D82/0.5)*(Calculos!$G82+0.2)*1.2),0),0)</f>
        <v>0</v>
      </c>
      <c r="W82" s="60">
        <f>IF(CODE('Levantamento dutos'!$E82)=76,'Levantamento dutos'!$D82/0.5*1.5,0)</f>
        <v>0</v>
      </c>
      <c r="X82" s="60">
        <f>IF(CODE('Levantamento dutos'!$E82)=73,'Levantamento dutos'!$D82/0.5*1.5,0)</f>
        <v>0</v>
      </c>
      <c r="Y82" s="60">
        <f>IF(CODE('Levantamento dutos'!$E82)=80,'Levantamento dutos'!$D82/0.5*1.5,0)</f>
        <v>0</v>
      </c>
      <c r="Z82" s="60">
        <f>IF(CODE('Levantamento dutos'!$E82)=76,ROUND(('Levantamento dutos'!$D82)+('Levantamento dutos'!$D82*Calculos!$G82*2)*1.1,0),0)</f>
        <v>0</v>
      </c>
      <c r="AA82" s="60">
        <f>IF(CODE('Levantamento dutos'!$G82)=80,('Levantamento dutos'!$D82/'Levantamento dutos'!$G$12)*8,0)</f>
        <v>0</v>
      </c>
      <c r="AB82" s="60">
        <f>IF(CODE('Levantamento dutos'!$G82)=80,IF('Levantamento dutos'!$B82&gt;30,('Levantamento dutos'!$D82/'Levantamento dutos'!$G$12)*4,0),0)</f>
        <v>0</v>
      </c>
      <c r="AC82" s="60">
        <f>IF('Levantamento dutos'!$B82&gt;220,('Levantamento dutos'!$D82/'Levantamento dutos'!$G$12*Calculos!$G82*2),0)</f>
        <v>0</v>
      </c>
      <c r="AD82" s="60">
        <f>IF(CODE('Levantamento dutos'!$E82)=73,((('Levantamento dutos'!$E$12/1000)+0.02)*'Levantamento dutos'!$D82)*4*1.3,0)</f>
        <v>0</v>
      </c>
      <c r="AE82" s="60">
        <f>IF(CODE('Levantamento dutos'!$E82)=80,((('Levantamento dutos'!$E$12/1000)+0.02)*'Levantamento dutos'!$D82)*4*1.3,0)</f>
        <v>0</v>
      </c>
    </row>
    <row r="83" spans="2:31" x14ac:dyDescent="0.2">
      <c r="B83" s="58">
        <f>IF('Levantamento dutos'!$B83&lt;=Calculos!$Z$3,((('Levantamento dutos'!$B83)/100+('Levantamento dutos'!$C83)/100)*2)*'Levantamento dutos'!$D83,0)</f>
        <v>0</v>
      </c>
      <c r="C83">
        <f>IF('Levantamento dutos'!$B83&gt;Calculos!$Z$3,IF('Levantamento dutos'!$B83&lt;=Calculos!$Z$4,((('Levantamento dutos'!$B83)/100+('Levantamento dutos'!$C83)/100)*2)*'Levantamento dutos'!$D83,0),0)</f>
        <v>0</v>
      </c>
      <c r="D83">
        <f>IF('Levantamento dutos'!$B83&gt;Calculos!$Z$4,IF('Levantamento dutos'!$B83&lt;=Calculos!$Z$5,((('Levantamento dutos'!$B83)/100+('Levantamento dutos'!$C83)/100)*2)*'Levantamento dutos'!$D83,0),0)</f>
        <v>0</v>
      </c>
      <c r="E83">
        <f>IF('Levantamento dutos'!$B83&gt;Calculos!$Z$5,IF('Levantamento dutos'!$B83&lt;=Calculos!$Z$6,((('Levantamento dutos'!$B83)/100+('Levantamento dutos'!$C83)/100)*2)*'Levantamento dutos'!$D83,0),0)</f>
        <v>0</v>
      </c>
      <c r="F83" s="59">
        <f>IF('Levantamento dutos'!$B83&gt;Calculos!$Z$7,((('Levantamento dutos'!$B83)/100+('Levantamento dutos'!$C83)/100)*2)*'Levantamento dutos'!$D83,0)</f>
        <v>0</v>
      </c>
      <c r="G83">
        <f>(('Levantamento dutos'!B83+'Levantamento dutos'!C83)/100)*2</f>
        <v>0</v>
      </c>
      <c r="H83" s="58">
        <f>IF(CODE('Levantamento dutos'!$E83)=76,SUM($B83:$F83),0)</f>
        <v>0</v>
      </c>
      <c r="I83">
        <f>IF(CODE('Levantamento dutos'!$E83)=73,SUM($B83:$F83),0)</f>
        <v>0</v>
      </c>
      <c r="J83">
        <f>IF(CODE('Levantamento dutos'!$E83)=80,SUM($B83:$F83),0)</f>
        <v>0</v>
      </c>
      <c r="K83">
        <f>IF(CODE('Levantamento dutos'!$F83)=66,SUM($B83:$F83),0)</f>
        <v>0</v>
      </c>
      <c r="L83">
        <f>IF(CODE('Levantamento dutos'!$F83)=70,SUM($B83:$F83),0)</f>
        <v>0</v>
      </c>
      <c r="M83" s="59">
        <f>IF(CODE('Levantamento dutos'!$E83)=84,SUM($B83:$F83),0)</f>
        <v>0</v>
      </c>
      <c r="N83" s="60">
        <f>IF(CODE('Levantamento dutos'!$G83)=80,IF('Levantamento dutos'!$B83&lt;=200,('Levantamento dutos'!$D83/'Levantamento dutos'!$G$12*Calculos!$G83*2),0),0)</f>
        <v>0</v>
      </c>
      <c r="O83" s="60">
        <f>IF(CODE('Levantamento dutos'!$G83)=80,IF('Levantamento dutos'!$B83&gt;200,('Levantamento dutos'!$D83/'Levantamento dutos'!$G$12*Calculos!$G83*2),0),0)</f>
        <v>0</v>
      </c>
      <c r="P83" s="60">
        <f>IF(CODE('Levantamento dutos'!$G83)=67,('Levantamento dutos'!$D83/'Levantamento dutos'!$G$12*Calculos!$G83*2),0)</f>
        <v>0</v>
      </c>
      <c r="Q83" s="60">
        <f>IF(CODE('Levantamento dutos'!H83)=83,((('Levantamento dutos'!B83/100)+('Levantamento dutos'!$H$12/1000))+(('Levantamento dutos'!C83/100)+('Levantamento dutos'!$H$12)/1000))*2*'Levantamento dutos'!D83,0)</f>
        <v>0</v>
      </c>
      <c r="S83" s="60">
        <f>IF(CODE('Levantamento dutos'!$I83)=83,$Q83,0)</f>
        <v>0</v>
      </c>
      <c r="T83" s="60">
        <f>IF(CODE('Levantamento dutos'!$E83)=76,ROUND((('Levantamento dutos'!$D83/5)*(Calculos!$G83+0.2)*1.2),0),0)</f>
        <v>0</v>
      </c>
      <c r="U83" s="60">
        <f>IF(CODE('Levantamento dutos'!$E83)=73,ROUND((('Levantamento dutos'!$D83/0.5)*(Calculos!$G83+0.2)*1.2),0),0)</f>
        <v>0</v>
      </c>
      <c r="V83" s="60">
        <f>IF(CODE('Levantamento dutos'!$E83)=80,ROUND((('Levantamento dutos'!$D83/0.5)*(Calculos!$G83+0.2)*1.2),0),0)</f>
        <v>0</v>
      </c>
      <c r="W83" s="60">
        <f>IF(CODE('Levantamento dutos'!$E83)=76,'Levantamento dutos'!$D83/0.5*1.5,0)</f>
        <v>0</v>
      </c>
      <c r="X83" s="60">
        <f>IF(CODE('Levantamento dutos'!$E83)=73,'Levantamento dutos'!$D83/0.5*1.5,0)</f>
        <v>0</v>
      </c>
      <c r="Y83" s="60">
        <f>IF(CODE('Levantamento dutos'!$E83)=80,'Levantamento dutos'!$D83/0.5*1.5,0)</f>
        <v>0</v>
      </c>
      <c r="Z83" s="60">
        <f>IF(CODE('Levantamento dutos'!$E83)=76,ROUND(('Levantamento dutos'!$D83)+('Levantamento dutos'!$D83*Calculos!$G83*2)*1.1,0),0)</f>
        <v>0</v>
      </c>
      <c r="AA83" s="60">
        <f>IF(CODE('Levantamento dutos'!$G83)=80,('Levantamento dutos'!$D83/'Levantamento dutos'!$G$12)*8,0)</f>
        <v>0</v>
      </c>
      <c r="AB83" s="60">
        <f>IF(CODE('Levantamento dutos'!$G83)=80,IF('Levantamento dutos'!$B83&gt;30,('Levantamento dutos'!$D83/'Levantamento dutos'!$G$12)*4,0),0)</f>
        <v>0</v>
      </c>
      <c r="AC83" s="60">
        <f>IF('Levantamento dutos'!$B83&gt;220,('Levantamento dutos'!$D83/'Levantamento dutos'!$G$12*Calculos!$G83*2),0)</f>
        <v>0</v>
      </c>
      <c r="AD83" s="60">
        <f>IF(CODE('Levantamento dutos'!$E83)=73,((('Levantamento dutos'!$E$12/1000)+0.02)*'Levantamento dutos'!$D83)*4*1.3,0)</f>
        <v>0</v>
      </c>
      <c r="AE83" s="60">
        <f>IF(CODE('Levantamento dutos'!$E83)=80,((('Levantamento dutos'!$E$12/1000)+0.02)*'Levantamento dutos'!$D83)*4*1.3,0)</f>
        <v>0</v>
      </c>
    </row>
    <row r="84" spans="2:31" x14ac:dyDescent="0.2">
      <c r="B84" s="58">
        <f>IF('Levantamento dutos'!$B84&lt;=Calculos!$Z$3,((('Levantamento dutos'!$B84)/100+('Levantamento dutos'!$C84)/100)*2)*'Levantamento dutos'!$D84,0)</f>
        <v>0</v>
      </c>
      <c r="C84">
        <f>IF('Levantamento dutos'!$B84&gt;Calculos!$Z$3,IF('Levantamento dutos'!$B84&lt;=Calculos!$Z$4,((('Levantamento dutos'!$B84)/100+('Levantamento dutos'!$C84)/100)*2)*'Levantamento dutos'!$D84,0),0)</f>
        <v>0</v>
      </c>
      <c r="D84">
        <f>IF('Levantamento dutos'!$B84&gt;Calculos!$Z$4,IF('Levantamento dutos'!$B84&lt;=Calculos!$Z$5,((('Levantamento dutos'!$B84)/100+('Levantamento dutos'!$C84)/100)*2)*'Levantamento dutos'!$D84,0),0)</f>
        <v>0</v>
      </c>
      <c r="E84">
        <f>IF('Levantamento dutos'!$B84&gt;Calculos!$Z$5,IF('Levantamento dutos'!$B84&lt;=Calculos!$Z$6,((('Levantamento dutos'!$B84)/100+('Levantamento dutos'!$C84)/100)*2)*'Levantamento dutos'!$D84,0),0)</f>
        <v>0</v>
      </c>
      <c r="F84" s="59">
        <f>IF('Levantamento dutos'!$B84&gt;Calculos!$Z$7,((('Levantamento dutos'!$B84)/100+('Levantamento dutos'!$C84)/100)*2)*'Levantamento dutos'!$D84,0)</f>
        <v>0</v>
      </c>
      <c r="G84">
        <f>(('Levantamento dutos'!B84+'Levantamento dutos'!C84)/100)*2</f>
        <v>0</v>
      </c>
      <c r="H84" s="58">
        <f>IF(CODE('Levantamento dutos'!$E84)=76,SUM($B84:$F84),0)</f>
        <v>0</v>
      </c>
      <c r="I84">
        <f>IF(CODE('Levantamento dutos'!$E84)=73,SUM($B84:$F84),0)</f>
        <v>0</v>
      </c>
      <c r="J84">
        <f>IF(CODE('Levantamento dutos'!$E84)=80,SUM($B84:$F84),0)</f>
        <v>0</v>
      </c>
      <c r="K84">
        <f>IF(CODE('Levantamento dutos'!$F84)=66,SUM($B84:$F84),0)</f>
        <v>0</v>
      </c>
      <c r="L84">
        <f>IF(CODE('Levantamento dutos'!$F84)=70,SUM($B84:$F84),0)</f>
        <v>0</v>
      </c>
      <c r="M84" s="59">
        <f>IF(CODE('Levantamento dutos'!$E84)=84,SUM($B84:$F84),0)</f>
        <v>0</v>
      </c>
      <c r="N84" s="60">
        <f>IF(CODE('Levantamento dutos'!$G84)=80,IF('Levantamento dutos'!$B84&lt;=200,('Levantamento dutos'!$D84/'Levantamento dutos'!$G$12*Calculos!$G84*2),0),0)</f>
        <v>0</v>
      </c>
      <c r="O84" s="60">
        <f>IF(CODE('Levantamento dutos'!$G84)=80,IF('Levantamento dutos'!$B84&gt;200,('Levantamento dutos'!$D84/'Levantamento dutos'!$G$12*Calculos!$G84*2),0),0)</f>
        <v>0</v>
      </c>
      <c r="P84" s="60">
        <f>IF(CODE('Levantamento dutos'!$G84)=67,('Levantamento dutos'!$D84/'Levantamento dutos'!$G$12*Calculos!$G84*2),0)</f>
        <v>0</v>
      </c>
      <c r="Q84" s="60">
        <f>IF(CODE('Levantamento dutos'!H84)=83,((('Levantamento dutos'!B84/100)+('Levantamento dutos'!$H$12/1000))+(('Levantamento dutos'!C84/100)+('Levantamento dutos'!$H$12)/1000))*2*'Levantamento dutos'!D84,0)</f>
        <v>0</v>
      </c>
      <c r="S84" s="60">
        <f>IF(CODE('Levantamento dutos'!$I84)=83,$Q84,0)</f>
        <v>0</v>
      </c>
      <c r="T84" s="60">
        <f>IF(CODE('Levantamento dutos'!$E84)=76,ROUND((('Levantamento dutos'!$D84/5)*(Calculos!$G84+0.2)*1.2),0),0)</f>
        <v>0</v>
      </c>
      <c r="U84" s="60">
        <f>IF(CODE('Levantamento dutos'!$E84)=73,ROUND((('Levantamento dutos'!$D84/0.5)*(Calculos!$G84+0.2)*1.2),0),0)</f>
        <v>0</v>
      </c>
      <c r="V84" s="60">
        <f>IF(CODE('Levantamento dutos'!$E84)=80,ROUND((('Levantamento dutos'!$D84/0.5)*(Calculos!$G84+0.2)*1.2),0),0)</f>
        <v>0</v>
      </c>
      <c r="W84" s="60">
        <f>IF(CODE('Levantamento dutos'!$E84)=76,'Levantamento dutos'!$D84/0.5*1.5,0)</f>
        <v>0</v>
      </c>
      <c r="X84" s="60">
        <f>IF(CODE('Levantamento dutos'!$E84)=73,'Levantamento dutos'!$D84/0.5*1.5,0)</f>
        <v>0</v>
      </c>
      <c r="Y84" s="60">
        <f>IF(CODE('Levantamento dutos'!$E84)=80,'Levantamento dutos'!$D84/0.5*1.5,0)</f>
        <v>0</v>
      </c>
      <c r="Z84" s="60">
        <f>IF(CODE('Levantamento dutos'!$E84)=76,ROUND(('Levantamento dutos'!$D84)+('Levantamento dutos'!$D84*Calculos!$G84*2)*1.1,0),0)</f>
        <v>0</v>
      </c>
      <c r="AA84" s="60">
        <f>IF(CODE('Levantamento dutos'!$G84)=80,('Levantamento dutos'!$D84/'Levantamento dutos'!$G$12)*8,0)</f>
        <v>0</v>
      </c>
      <c r="AB84" s="60">
        <f>IF(CODE('Levantamento dutos'!$G84)=80,IF('Levantamento dutos'!$B84&gt;30,('Levantamento dutos'!$D84/'Levantamento dutos'!$G$12)*4,0),0)</f>
        <v>0</v>
      </c>
      <c r="AC84" s="60">
        <f>IF('Levantamento dutos'!$B84&gt;220,('Levantamento dutos'!$D84/'Levantamento dutos'!$G$12*Calculos!$G84*2),0)</f>
        <v>0</v>
      </c>
      <c r="AD84" s="60">
        <f>IF(CODE('Levantamento dutos'!$E84)=73,((('Levantamento dutos'!$E$12/1000)+0.02)*'Levantamento dutos'!$D84)*4*1.3,0)</f>
        <v>0</v>
      </c>
      <c r="AE84" s="60">
        <f>IF(CODE('Levantamento dutos'!$E84)=80,((('Levantamento dutos'!$E$12/1000)+0.02)*'Levantamento dutos'!$D84)*4*1.3,0)</f>
        <v>0</v>
      </c>
    </row>
    <row r="85" spans="2:31" x14ac:dyDescent="0.2">
      <c r="B85" s="58">
        <f>IF('Levantamento dutos'!$B85&lt;=Calculos!$Z$3,((('Levantamento dutos'!$B85)/100+('Levantamento dutos'!$C85)/100)*2)*'Levantamento dutos'!$D85,0)</f>
        <v>0</v>
      </c>
      <c r="C85">
        <f>IF('Levantamento dutos'!$B85&gt;Calculos!$Z$3,IF('Levantamento dutos'!$B85&lt;=Calculos!$Z$4,((('Levantamento dutos'!$B85)/100+('Levantamento dutos'!$C85)/100)*2)*'Levantamento dutos'!$D85,0),0)</f>
        <v>0</v>
      </c>
      <c r="D85">
        <f>IF('Levantamento dutos'!$B85&gt;Calculos!$Z$4,IF('Levantamento dutos'!$B85&lt;=Calculos!$Z$5,((('Levantamento dutos'!$B85)/100+('Levantamento dutos'!$C85)/100)*2)*'Levantamento dutos'!$D85,0),0)</f>
        <v>0</v>
      </c>
      <c r="E85">
        <f>IF('Levantamento dutos'!$B85&gt;Calculos!$Z$5,IF('Levantamento dutos'!$B85&lt;=Calculos!$Z$6,((('Levantamento dutos'!$B85)/100+('Levantamento dutos'!$C85)/100)*2)*'Levantamento dutos'!$D85,0),0)</f>
        <v>0</v>
      </c>
      <c r="F85" s="59">
        <f>IF('Levantamento dutos'!$B85&gt;Calculos!$Z$7,((('Levantamento dutos'!$B85)/100+('Levantamento dutos'!$C85)/100)*2)*'Levantamento dutos'!$D85,0)</f>
        <v>0</v>
      </c>
      <c r="G85">
        <f>(('Levantamento dutos'!B85+'Levantamento dutos'!C85)/100)*2</f>
        <v>0</v>
      </c>
      <c r="H85" s="58">
        <f>IF(CODE('Levantamento dutos'!$E85)=76,SUM($B85:$F85),0)</f>
        <v>0</v>
      </c>
      <c r="I85">
        <f>IF(CODE('Levantamento dutos'!$E85)=73,SUM($B85:$F85),0)</f>
        <v>0</v>
      </c>
      <c r="J85">
        <f>IF(CODE('Levantamento dutos'!$E85)=80,SUM($B85:$F85),0)</f>
        <v>0</v>
      </c>
      <c r="K85">
        <f>IF(CODE('Levantamento dutos'!$F85)=66,SUM($B85:$F85),0)</f>
        <v>0</v>
      </c>
      <c r="L85">
        <f>IF(CODE('Levantamento dutos'!$F85)=70,SUM($B85:$F85),0)</f>
        <v>0</v>
      </c>
      <c r="M85" s="59">
        <f>IF(CODE('Levantamento dutos'!$E85)=84,SUM($B85:$F85),0)</f>
        <v>0</v>
      </c>
      <c r="N85" s="60">
        <f>IF(CODE('Levantamento dutos'!$G85)=80,IF('Levantamento dutos'!$B85&lt;=200,('Levantamento dutos'!$D85/'Levantamento dutos'!$G$12*Calculos!$G85*2),0),0)</f>
        <v>0</v>
      </c>
      <c r="O85" s="60">
        <f>IF(CODE('Levantamento dutos'!$G85)=80,IF('Levantamento dutos'!$B85&gt;200,('Levantamento dutos'!$D85/'Levantamento dutos'!$G$12*Calculos!$G85*2),0),0)</f>
        <v>0</v>
      </c>
      <c r="P85" s="60">
        <f>IF(CODE('Levantamento dutos'!$G85)=67,('Levantamento dutos'!$D85/'Levantamento dutos'!$G$12*Calculos!$G85*2),0)</f>
        <v>0</v>
      </c>
      <c r="Q85" s="60">
        <f>IF(CODE('Levantamento dutos'!H85)=83,((('Levantamento dutos'!B85/100)+('Levantamento dutos'!$H$12/1000))+(('Levantamento dutos'!C85/100)+('Levantamento dutos'!$H$12)/1000))*2*'Levantamento dutos'!D85,0)</f>
        <v>0</v>
      </c>
      <c r="S85" s="60">
        <f>IF(CODE('Levantamento dutos'!$I85)=83,$Q85,0)</f>
        <v>0</v>
      </c>
      <c r="T85" s="60">
        <f>IF(CODE('Levantamento dutos'!$E85)=76,ROUND((('Levantamento dutos'!$D85/5)*(Calculos!$G85+0.2)*1.2),0),0)</f>
        <v>0</v>
      </c>
      <c r="U85" s="60">
        <f>IF(CODE('Levantamento dutos'!$E85)=73,ROUND((('Levantamento dutos'!$D85/0.5)*(Calculos!$G85+0.2)*1.2),0),0)</f>
        <v>0</v>
      </c>
      <c r="V85" s="60">
        <f>IF(CODE('Levantamento dutos'!$E85)=80,ROUND((('Levantamento dutos'!$D85/0.5)*(Calculos!$G85+0.2)*1.2),0),0)</f>
        <v>0</v>
      </c>
      <c r="W85" s="60">
        <f>IF(CODE('Levantamento dutos'!$E85)=76,'Levantamento dutos'!$D85/0.5*1.5,0)</f>
        <v>0</v>
      </c>
      <c r="X85" s="60">
        <f>IF(CODE('Levantamento dutos'!$E85)=73,'Levantamento dutos'!$D85/0.5*1.5,0)</f>
        <v>0</v>
      </c>
      <c r="Y85" s="60">
        <f>IF(CODE('Levantamento dutos'!$E85)=80,'Levantamento dutos'!$D85/0.5*1.5,0)</f>
        <v>0</v>
      </c>
      <c r="Z85" s="60">
        <f>IF(CODE('Levantamento dutos'!$E85)=76,ROUND(('Levantamento dutos'!$D85)+('Levantamento dutos'!$D85*Calculos!$G85*2)*1.1,0),0)</f>
        <v>0</v>
      </c>
      <c r="AA85" s="60">
        <f>IF(CODE('Levantamento dutos'!$G85)=80,('Levantamento dutos'!$D85/'Levantamento dutos'!$G$12)*8,0)</f>
        <v>0</v>
      </c>
      <c r="AB85" s="60">
        <f>IF(CODE('Levantamento dutos'!$G85)=80,IF('Levantamento dutos'!$B85&gt;30,('Levantamento dutos'!$D85/'Levantamento dutos'!$G$12)*4,0),0)</f>
        <v>0</v>
      </c>
      <c r="AC85" s="60">
        <f>IF('Levantamento dutos'!$B85&gt;220,('Levantamento dutos'!$D85/'Levantamento dutos'!$G$12*Calculos!$G85*2),0)</f>
        <v>0</v>
      </c>
      <c r="AD85" s="60">
        <f>IF(CODE('Levantamento dutos'!$E85)=73,((('Levantamento dutos'!$E$12/1000)+0.02)*'Levantamento dutos'!$D85)*4*1.3,0)</f>
        <v>0</v>
      </c>
      <c r="AE85" s="60">
        <f>IF(CODE('Levantamento dutos'!$E85)=80,((('Levantamento dutos'!$E$12/1000)+0.02)*'Levantamento dutos'!$D85)*4*1.3,0)</f>
        <v>0</v>
      </c>
    </row>
    <row r="86" spans="2:31" x14ac:dyDescent="0.2">
      <c r="B86" s="58">
        <f>IF('Levantamento dutos'!$B86&lt;=Calculos!$Z$3,((('Levantamento dutos'!$B86)/100+('Levantamento dutos'!$C86)/100)*2)*'Levantamento dutos'!$D86,0)</f>
        <v>0</v>
      </c>
      <c r="C86">
        <f>IF('Levantamento dutos'!$B86&gt;Calculos!$Z$3,IF('Levantamento dutos'!$B86&lt;=Calculos!$Z$4,((('Levantamento dutos'!$B86)/100+('Levantamento dutos'!$C86)/100)*2)*'Levantamento dutos'!$D86,0),0)</f>
        <v>0</v>
      </c>
      <c r="D86">
        <f>IF('Levantamento dutos'!$B86&gt;Calculos!$Z$4,IF('Levantamento dutos'!$B86&lt;=Calculos!$Z$5,((('Levantamento dutos'!$B86)/100+('Levantamento dutos'!$C86)/100)*2)*'Levantamento dutos'!$D86,0),0)</f>
        <v>0</v>
      </c>
      <c r="E86">
        <f>IF('Levantamento dutos'!$B86&gt;Calculos!$Z$5,IF('Levantamento dutos'!$B86&lt;=Calculos!$Z$6,((('Levantamento dutos'!$B86)/100+('Levantamento dutos'!$C86)/100)*2)*'Levantamento dutos'!$D86,0),0)</f>
        <v>0</v>
      </c>
      <c r="F86" s="59">
        <f>IF('Levantamento dutos'!$B86&gt;Calculos!$Z$7,((('Levantamento dutos'!$B86)/100+('Levantamento dutos'!$C86)/100)*2)*'Levantamento dutos'!$D86,0)</f>
        <v>0</v>
      </c>
      <c r="G86">
        <f>(('Levantamento dutos'!B86+'Levantamento dutos'!C86)/100)*2</f>
        <v>0</v>
      </c>
      <c r="H86" s="58">
        <f>IF(CODE('Levantamento dutos'!$E86)=76,SUM($B86:$F86),0)</f>
        <v>0</v>
      </c>
      <c r="I86">
        <f>IF(CODE('Levantamento dutos'!$E86)=73,SUM($B86:$F86),0)</f>
        <v>0</v>
      </c>
      <c r="J86">
        <f>IF(CODE('Levantamento dutos'!$E86)=80,SUM($B86:$F86),0)</f>
        <v>0</v>
      </c>
      <c r="K86">
        <f>IF(CODE('Levantamento dutos'!$F86)=66,SUM($B86:$F86),0)</f>
        <v>0</v>
      </c>
      <c r="L86">
        <f>IF(CODE('Levantamento dutos'!$F86)=70,SUM($B86:$F86),0)</f>
        <v>0</v>
      </c>
      <c r="M86" s="59">
        <f>IF(CODE('Levantamento dutos'!$E86)=84,SUM($B86:$F86),0)</f>
        <v>0</v>
      </c>
      <c r="N86" s="60">
        <f>IF(CODE('Levantamento dutos'!$G86)=80,IF('Levantamento dutos'!$B86&lt;=200,('Levantamento dutos'!$D86/'Levantamento dutos'!$G$12*Calculos!$G86*2),0),0)</f>
        <v>0</v>
      </c>
      <c r="O86" s="60">
        <f>IF(CODE('Levantamento dutos'!$G86)=80,IF('Levantamento dutos'!$B86&gt;200,('Levantamento dutos'!$D86/'Levantamento dutos'!$G$12*Calculos!$G86*2),0),0)</f>
        <v>0</v>
      </c>
      <c r="P86" s="60">
        <f>IF(CODE('Levantamento dutos'!$G86)=67,('Levantamento dutos'!$D86/'Levantamento dutos'!$G$12*Calculos!$G86*2),0)</f>
        <v>0</v>
      </c>
      <c r="Q86" s="60">
        <f>IF(CODE('Levantamento dutos'!H86)=83,((('Levantamento dutos'!B86/100)+('Levantamento dutos'!$H$12/1000))+(('Levantamento dutos'!C86/100)+('Levantamento dutos'!$H$12)/1000))*2*'Levantamento dutos'!D86,0)</f>
        <v>0</v>
      </c>
      <c r="S86" s="60">
        <f>IF(CODE('Levantamento dutos'!$I86)=83,$Q86,0)</f>
        <v>0</v>
      </c>
      <c r="T86" s="60">
        <f>IF(CODE('Levantamento dutos'!$E86)=76,ROUND((('Levantamento dutos'!$D86/5)*(Calculos!$G86+0.2)*1.2),0),0)</f>
        <v>0</v>
      </c>
      <c r="U86" s="60">
        <f>IF(CODE('Levantamento dutos'!$E86)=73,ROUND((('Levantamento dutos'!$D86/0.5)*(Calculos!$G86+0.2)*1.2),0),0)</f>
        <v>0</v>
      </c>
      <c r="V86" s="60">
        <f>IF(CODE('Levantamento dutos'!$E86)=80,ROUND((('Levantamento dutos'!$D86/0.5)*(Calculos!$G86+0.2)*1.2),0),0)</f>
        <v>0</v>
      </c>
      <c r="W86" s="60">
        <f>IF(CODE('Levantamento dutos'!$E86)=76,'Levantamento dutos'!$D86/0.5*1.5,0)</f>
        <v>0</v>
      </c>
      <c r="X86" s="60">
        <f>IF(CODE('Levantamento dutos'!$E86)=73,'Levantamento dutos'!$D86/0.5*1.5,0)</f>
        <v>0</v>
      </c>
      <c r="Y86" s="60">
        <f>IF(CODE('Levantamento dutos'!$E86)=80,'Levantamento dutos'!$D86/0.5*1.5,0)</f>
        <v>0</v>
      </c>
      <c r="Z86" s="60">
        <f>IF(CODE('Levantamento dutos'!$E86)=76,ROUND(('Levantamento dutos'!$D86)+('Levantamento dutos'!$D86*Calculos!$G86*2)*1.1,0),0)</f>
        <v>0</v>
      </c>
      <c r="AA86" s="60">
        <f>IF(CODE('Levantamento dutos'!$G86)=80,('Levantamento dutos'!$D86/'Levantamento dutos'!$G$12)*8,0)</f>
        <v>0</v>
      </c>
      <c r="AB86" s="60">
        <f>IF(CODE('Levantamento dutos'!$G86)=80,IF('Levantamento dutos'!$B86&gt;30,('Levantamento dutos'!$D86/'Levantamento dutos'!$G$12)*4,0),0)</f>
        <v>0</v>
      </c>
      <c r="AC86" s="60">
        <f>IF('Levantamento dutos'!$B86&gt;220,('Levantamento dutos'!$D86/'Levantamento dutos'!$G$12*Calculos!$G86*2),0)</f>
        <v>0</v>
      </c>
      <c r="AD86" s="60">
        <f>IF(CODE('Levantamento dutos'!$E86)=73,((('Levantamento dutos'!$E$12/1000)+0.02)*'Levantamento dutos'!$D86)*4*1.3,0)</f>
        <v>0</v>
      </c>
      <c r="AE86" s="60">
        <f>IF(CODE('Levantamento dutos'!$E86)=80,((('Levantamento dutos'!$E$12/1000)+0.02)*'Levantamento dutos'!$D86)*4*1.3,0)</f>
        <v>0</v>
      </c>
    </row>
    <row r="87" spans="2:31" x14ac:dyDescent="0.2">
      <c r="B87" s="58">
        <f>IF('Levantamento dutos'!$B87&lt;=Calculos!$Z$3,((('Levantamento dutos'!$B87)/100+('Levantamento dutos'!$C87)/100)*2)*'Levantamento dutos'!$D87,0)</f>
        <v>0</v>
      </c>
      <c r="C87">
        <f>IF('Levantamento dutos'!$B87&gt;Calculos!$Z$3,IF('Levantamento dutos'!$B87&lt;=Calculos!$Z$4,((('Levantamento dutos'!$B87)/100+('Levantamento dutos'!$C87)/100)*2)*'Levantamento dutos'!$D87,0),0)</f>
        <v>0</v>
      </c>
      <c r="D87">
        <f>IF('Levantamento dutos'!$B87&gt;Calculos!$Z$4,IF('Levantamento dutos'!$B87&lt;=Calculos!$Z$5,((('Levantamento dutos'!$B87)/100+('Levantamento dutos'!$C87)/100)*2)*'Levantamento dutos'!$D87,0),0)</f>
        <v>0</v>
      </c>
      <c r="E87">
        <f>IF('Levantamento dutos'!$B87&gt;Calculos!$Z$5,IF('Levantamento dutos'!$B87&lt;=Calculos!$Z$6,((('Levantamento dutos'!$B87)/100+('Levantamento dutos'!$C87)/100)*2)*'Levantamento dutos'!$D87,0),0)</f>
        <v>0</v>
      </c>
      <c r="F87" s="59">
        <f>IF('Levantamento dutos'!$B87&gt;Calculos!$Z$7,((('Levantamento dutos'!$B87)/100+('Levantamento dutos'!$C87)/100)*2)*'Levantamento dutos'!$D87,0)</f>
        <v>0</v>
      </c>
      <c r="G87">
        <f>(('Levantamento dutos'!B87+'Levantamento dutos'!C87)/100)*2</f>
        <v>0</v>
      </c>
      <c r="H87" s="58">
        <f>IF(CODE('Levantamento dutos'!$E87)=76,SUM($B87:$F87),0)</f>
        <v>0</v>
      </c>
      <c r="I87">
        <f>IF(CODE('Levantamento dutos'!$E87)=73,SUM($B87:$F87),0)</f>
        <v>0</v>
      </c>
      <c r="J87">
        <f>IF(CODE('Levantamento dutos'!$E87)=80,SUM($B87:$F87),0)</f>
        <v>0</v>
      </c>
      <c r="K87">
        <f>IF(CODE('Levantamento dutos'!$F87)=66,SUM($B87:$F87),0)</f>
        <v>0</v>
      </c>
      <c r="L87">
        <f>IF(CODE('Levantamento dutos'!$F87)=70,SUM($B87:$F87),0)</f>
        <v>0</v>
      </c>
      <c r="M87" s="59">
        <f>IF(CODE('Levantamento dutos'!$E87)=84,SUM($B87:$F87),0)</f>
        <v>0</v>
      </c>
      <c r="N87" s="60">
        <f>IF(CODE('Levantamento dutos'!$G87)=80,IF('Levantamento dutos'!$B87&lt;=200,('Levantamento dutos'!$D87/'Levantamento dutos'!$G$12*Calculos!$G87*2),0),0)</f>
        <v>0</v>
      </c>
      <c r="O87" s="60">
        <f>IF(CODE('Levantamento dutos'!$G87)=80,IF('Levantamento dutos'!$B87&gt;200,('Levantamento dutos'!$D87/'Levantamento dutos'!$G$12*Calculos!$G87*2),0),0)</f>
        <v>0</v>
      </c>
      <c r="P87" s="60">
        <f>IF(CODE('Levantamento dutos'!$G87)=67,('Levantamento dutos'!$D87/'Levantamento dutos'!$G$12*Calculos!$G87*2),0)</f>
        <v>0</v>
      </c>
      <c r="Q87" s="60">
        <f>IF(CODE('Levantamento dutos'!H87)=83,((('Levantamento dutos'!B87/100)+('Levantamento dutos'!$H$12/1000))+(('Levantamento dutos'!C87/100)+('Levantamento dutos'!$H$12)/1000))*2*'Levantamento dutos'!D87,0)</f>
        <v>0</v>
      </c>
      <c r="S87" s="60">
        <f>IF(CODE('Levantamento dutos'!$I87)=83,$Q87,0)</f>
        <v>0</v>
      </c>
      <c r="T87" s="60">
        <f>IF(CODE('Levantamento dutos'!$E87)=76,ROUND((('Levantamento dutos'!$D87/5)*(Calculos!$G87+0.2)*1.2),0),0)</f>
        <v>0</v>
      </c>
      <c r="U87" s="60">
        <f>IF(CODE('Levantamento dutos'!$E87)=73,ROUND((('Levantamento dutos'!$D87/0.5)*(Calculos!$G87+0.2)*1.2),0),0)</f>
        <v>0</v>
      </c>
      <c r="V87" s="60">
        <f>IF(CODE('Levantamento dutos'!$E87)=80,ROUND((('Levantamento dutos'!$D87/0.5)*(Calculos!$G87+0.2)*1.2),0),0)</f>
        <v>0</v>
      </c>
      <c r="W87" s="60">
        <f>IF(CODE('Levantamento dutos'!$E87)=76,'Levantamento dutos'!$D87/0.5*1.5,0)</f>
        <v>0</v>
      </c>
      <c r="X87" s="60">
        <f>IF(CODE('Levantamento dutos'!$E87)=73,'Levantamento dutos'!$D87/0.5*1.5,0)</f>
        <v>0</v>
      </c>
      <c r="Y87" s="60">
        <f>IF(CODE('Levantamento dutos'!$E87)=80,'Levantamento dutos'!$D87/0.5*1.5,0)</f>
        <v>0</v>
      </c>
      <c r="Z87" s="60">
        <f>IF(CODE('Levantamento dutos'!$E87)=76,ROUND(('Levantamento dutos'!$D87)+('Levantamento dutos'!$D87*Calculos!$G87*2)*1.1,0),0)</f>
        <v>0</v>
      </c>
      <c r="AA87" s="60">
        <f>IF(CODE('Levantamento dutos'!$G87)=80,('Levantamento dutos'!$D87/'Levantamento dutos'!$G$12)*8,0)</f>
        <v>0</v>
      </c>
      <c r="AB87" s="60">
        <f>IF(CODE('Levantamento dutos'!$G87)=80,IF('Levantamento dutos'!$B87&gt;30,('Levantamento dutos'!$D87/'Levantamento dutos'!$G$12)*4,0),0)</f>
        <v>0</v>
      </c>
      <c r="AC87" s="60">
        <f>IF('Levantamento dutos'!$B87&gt;220,('Levantamento dutos'!$D87/'Levantamento dutos'!$G$12*Calculos!$G87*2),0)</f>
        <v>0</v>
      </c>
      <c r="AD87" s="60">
        <f>IF(CODE('Levantamento dutos'!$E87)=73,((('Levantamento dutos'!$E$12/1000)+0.02)*'Levantamento dutos'!$D87)*4*1.3,0)</f>
        <v>0</v>
      </c>
      <c r="AE87" s="60">
        <f>IF(CODE('Levantamento dutos'!$E87)=80,((('Levantamento dutos'!$E$12/1000)+0.02)*'Levantamento dutos'!$D87)*4*1.3,0)</f>
        <v>0</v>
      </c>
    </row>
    <row r="88" spans="2:31" x14ac:dyDescent="0.2">
      <c r="B88" s="58">
        <f>IF('Levantamento dutos'!$B88&lt;=Calculos!$Z$3,((('Levantamento dutos'!$B88)/100+('Levantamento dutos'!$C88)/100)*2)*'Levantamento dutos'!$D88,0)</f>
        <v>0</v>
      </c>
      <c r="C88">
        <f>IF('Levantamento dutos'!$B88&gt;Calculos!$Z$3,IF('Levantamento dutos'!$B88&lt;=Calculos!$Z$4,((('Levantamento dutos'!$B88)/100+('Levantamento dutos'!$C88)/100)*2)*'Levantamento dutos'!$D88,0),0)</f>
        <v>0</v>
      </c>
      <c r="D88">
        <f>IF('Levantamento dutos'!$B88&gt;Calculos!$Z$4,IF('Levantamento dutos'!$B88&lt;=Calculos!$Z$5,((('Levantamento dutos'!$B88)/100+('Levantamento dutos'!$C88)/100)*2)*'Levantamento dutos'!$D88,0),0)</f>
        <v>0</v>
      </c>
      <c r="E88">
        <f>IF('Levantamento dutos'!$B88&gt;Calculos!$Z$5,IF('Levantamento dutos'!$B88&lt;=Calculos!$Z$6,((('Levantamento dutos'!$B88)/100+('Levantamento dutos'!$C88)/100)*2)*'Levantamento dutos'!$D88,0),0)</f>
        <v>0</v>
      </c>
      <c r="F88" s="59">
        <f>IF('Levantamento dutos'!$B88&gt;Calculos!$Z$7,((('Levantamento dutos'!$B88)/100+('Levantamento dutos'!$C88)/100)*2)*'Levantamento dutos'!$D88,0)</f>
        <v>0</v>
      </c>
      <c r="G88">
        <f>(('Levantamento dutos'!B88+'Levantamento dutos'!C88)/100)*2</f>
        <v>0</v>
      </c>
      <c r="H88" s="58">
        <f>IF(CODE('Levantamento dutos'!$E88)=76,SUM($B88:$F88),0)</f>
        <v>0</v>
      </c>
      <c r="I88">
        <f>IF(CODE('Levantamento dutos'!$E88)=73,SUM($B88:$F88),0)</f>
        <v>0</v>
      </c>
      <c r="J88">
        <f>IF(CODE('Levantamento dutos'!$E88)=80,SUM($B88:$F88),0)</f>
        <v>0</v>
      </c>
      <c r="K88">
        <f>IF(CODE('Levantamento dutos'!$F88)=66,SUM($B88:$F88),0)</f>
        <v>0</v>
      </c>
      <c r="L88">
        <f>IF(CODE('Levantamento dutos'!$F88)=70,SUM($B88:$F88),0)</f>
        <v>0</v>
      </c>
      <c r="M88" s="59">
        <f>IF(CODE('Levantamento dutos'!$E88)=84,SUM($B88:$F88),0)</f>
        <v>0</v>
      </c>
      <c r="N88" s="60">
        <f>IF(CODE('Levantamento dutos'!$G88)=80,IF('Levantamento dutos'!$B88&lt;=200,('Levantamento dutos'!$D88/'Levantamento dutos'!$G$12*Calculos!$G88*2),0),0)</f>
        <v>0</v>
      </c>
      <c r="O88" s="60">
        <f>IF(CODE('Levantamento dutos'!$G88)=80,IF('Levantamento dutos'!$B88&gt;200,('Levantamento dutos'!$D88/'Levantamento dutos'!$G$12*Calculos!$G88*2),0),0)</f>
        <v>0</v>
      </c>
      <c r="P88" s="60">
        <f>IF(CODE('Levantamento dutos'!$G88)=67,('Levantamento dutos'!$D88/'Levantamento dutos'!$G$12*Calculos!$G88*2),0)</f>
        <v>0</v>
      </c>
      <c r="Q88" s="60">
        <f>IF(CODE('Levantamento dutos'!H88)=83,((('Levantamento dutos'!B88/100)+('Levantamento dutos'!$H$12/1000))+(('Levantamento dutos'!C88/100)+('Levantamento dutos'!$H$12)/1000))*2*'Levantamento dutos'!D88,0)</f>
        <v>0</v>
      </c>
      <c r="S88" s="60">
        <f>IF(CODE('Levantamento dutos'!$I88)=83,$Q88,0)</f>
        <v>0</v>
      </c>
      <c r="T88" s="60">
        <f>IF(CODE('Levantamento dutos'!$E88)=76,ROUND((('Levantamento dutos'!$D88/5)*(Calculos!$G88+0.2)*1.2),0),0)</f>
        <v>0</v>
      </c>
      <c r="U88" s="60">
        <f>IF(CODE('Levantamento dutos'!$E88)=73,ROUND((('Levantamento dutos'!$D88/0.5)*(Calculos!$G88+0.2)*1.2),0),0)</f>
        <v>0</v>
      </c>
      <c r="V88" s="60">
        <f>IF(CODE('Levantamento dutos'!$E88)=80,ROUND((('Levantamento dutos'!$D88/0.5)*(Calculos!$G88+0.2)*1.2),0),0)</f>
        <v>0</v>
      </c>
      <c r="W88" s="60">
        <f>IF(CODE('Levantamento dutos'!$E88)=76,'Levantamento dutos'!$D88/0.5*1.5,0)</f>
        <v>0</v>
      </c>
      <c r="X88" s="60">
        <f>IF(CODE('Levantamento dutos'!$E88)=73,'Levantamento dutos'!$D88/0.5*1.5,0)</f>
        <v>0</v>
      </c>
      <c r="Y88" s="60">
        <f>IF(CODE('Levantamento dutos'!$E88)=80,'Levantamento dutos'!$D88/0.5*1.5,0)</f>
        <v>0</v>
      </c>
      <c r="Z88" s="60">
        <f>IF(CODE('Levantamento dutos'!$E88)=76,ROUND(('Levantamento dutos'!$D88)+('Levantamento dutos'!$D88*Calculos!$G88*2)*1.1,0),0)</f>
        <v>0</v>
      </c>
      <c r="AA88" s="60">
        <f>IF(CODE('Levantamento dutos'!$G88)=80,('Levantamento dutos'!$D88/'Levantamento dutos'!$G$12)*8,0)</f>
        <v>0</v>
      </c>
      <c r="AB88" s="60">
        <f>IF(CODE('Levantamento dutos'!$G88)=80,IF('Levantamento dutos'!$B88&gt;30,('Levantamento dutos'!$D88/'Levantamento dutos'!$G$12)*4,0),0)</f>
        <v>0</v>
      </c>
      <c r="AC88" s="60">
        <f>IF('Levantamento dutos'!$B88&gt;220,('Levantamento dutos'!$D88/'Levantamento dutos'!$G$12*Calculos!$G88*2),0)</f>
        <v>0</v>
      </c>
      <c r="AD88" s="60">
        <f>IF(CODE('Levantamento dutos'!$E88)=73,((('Levantamento dutos'!$E$12/1000)+0.02)*'Levantamento dutos'!$D88)*4*1.3,0)</f>
        <v>0</v>
      </c>
      <c r="AE88" s="60">
        <f>IF(CODE('Levantamento dutos'!$E88)=80,((('Levantamento dutos'!$E$12/1000)+0.02)*'Levantamento dutos'!$D88)*4*1.3,0)</f>
        <v>0</v>
      </c>
    </row>
    <row r="89" spans="2:31" x14ac:dyDescent="0.2">
      <c r="B89" s="58">
        <f>IF('Levantamento dutos'!$B89&lt;=Calculos!$Z$3,((('Levantamento dutos'!$B89)/100+('Levantamento dutos'!$C89)/100)*2)*'Levantamento dutos'!$D89,0)</f>
        <v>0</v>
      </c>
      <c r="C89">
        <f>IF('Levantamento dutos'!$B89&gt;Calculos!$Z$3,IF('Levantamento dutos'!$B89&lt;=Calculos!$Z$4,((('Levantamento dutos'!$B89)/100+('Levantamento dutos'!$C89)/100)*2)*'Levantamento dutos'!$D89,0),0)</f>
        <v>0</v>
      </c>
      <c r="D89">
        <f>IF('Levantamento dutos'!$B89&gt;Calculos!$Z$4,IF('Levantamento dutos'!$B89&lt;=Calculos!$Z$5,((('Levantamento dutos'!$B89)/100+('Levantamento dutos'!$C89)/100)*2)*'Levantamento dutos'!$D89,0),0)</f>
        <v>0</v>
      </c>
      <c r="E89">
        <f>IF('Levantamento dutos'!$B89&gt;Calculos!$Z$5,IF('Levantamento dutos'!$B89&lt;=Calculos!$Z$6,((('Levantamento dutos'!$B89)/100+('Levantamento dutos'!$C89)/100)*2)*'Levantamento dutos'!$D89,0),0)</f>
        <v>0</v>
      </c>
      <c r="F89" s="59">
        <f>IF('Levantamento dutos'!$B89&gt;Calculos!$Z$7,((('Levantamento dutos'!$B89)/100+('Levantamento dutos'!$C89)/100)*2)*'Levantamento dutos'!$D89,0)</f>
        <v>0</v>
      </c>
      <c r="G89">
        <f>(('Levantamento dutos'!B89+'Levantamento dutos'!C89)/100)*2</f>
        <v>0</v>
      </c>
      <c r="H89" s="58">
        <f>IF(CODE('Levantamento dutos'!$E89)=76,SUM($B89:$F89),0)</f>
        <v>0</v>
      </c>
      <c r="I89">
        <f>IF(CODE('Levantamento dutos'!$E89)=73,SUM($B89:$F89),0)</f>
        <v>0</v>
      </c>
      <c r="J89">
        <f>IF(CODE('Levantamento dutos'!$E89)=80,SUM($B89:$F89),0)</f>
        <v>0</v>
      </c>
      <c r="K89">
        <f>IF(CODE('Levantamento dutos'!$F89)=66,SUM($B89:$F89),0)</f>
        <v>0</v>
      </c>
      <c r="L89">
        <f>IF(CODE('Levantamento dutos'!$F89)=70,SUM($B89:$F89),0)</f>
        <v>0</v>
      </c>
      <c r="M89" s="59">
        <f>IF(CODE('Levantamento dutos'!$E89)=84,SUM($B89:$F89),0)</f>
        <v>0</v>
      </c>
      <c r="N89" s="60">
        <f>IF(CODE('Levantamento dutos'!$G89)=80,IF('Levantamento dutos'!$B89&lt;=200,('Levantamento dutos'!$D89/'Levantamento dutos'!$G$12*Calculos!$G89*2),0),0)</f>
        <v>0</v>
      </c>
      <c r="O89" s="60">
        <f>IF(CODE('Levantamento dutos'!$G89)=80,IF('Levantamento dutos'!$B89&gt;200,('Levantamento dutos'!$D89/'Levantamento dutos'!$G$12*Calculos!$G89*2),0),0)</f>
        <v>0</v>
      </c>
      <c r="P89" s="60">
        <f>IF(CODE('Levantamento dutos'!$G89)=67,('Levantamento dutos'!$D89/'Levantamento dutos'!$G$12*Calculos!$G89*2),0)</f>
        <v>0</v>
      </c>
      <c r="Q89" s="60">
        <f>IF(CODE('Levantamento dutos'!H89)=83,((('Levantamento dutos'!B89/100)+('Levantamento dutos'!$H$12/1000))+(('Levantamento dutos'!C89/100)+('Levantamento dutos'!$H$12)/1000))*2*'Levantamento dutos'!D89,0)</f>
        <v>0</v>
      </c>
      <c r="S89" s="60">
        <f>IF(CODE('Levantamento dutos'!$I89)=83,$Q89,0)</f>
        <v>0</v>
      </c>
      <c r="T89" s="60">
        <f>IF(CODE('Levantamento dutos'!$E89)=76,ROUND((('Levantamento dutos'!$D89/5)*(Calculos!$G89+0.2)*1.2),0),0)</f>
        <v>0</v>
      </c>
      <c r="U89" s="60">
        <f>IF(CODE('Levantamento dutos'!$E89)=73,ROUND((('Levantamento dutos'!$D89/0.5)*(Calculos!$G89+0.2)*1.2),0),0)</f>
        <v>0</v>
      </c>
      <c r="V89" s="60">
        <f>IF(CODE('Levantamento dutos'!$E89)=80,ROUND((('Levantamento dutos'!$D89/0.5)*(Calculos!$G89+0.2)*1.2),0),0)</f>
        <v>0</v>
      </c>
      <c r="W89" s="60">
        <f>IF(CODE('Levantamento dutos'!$E89)=76,'Levantamento dutos'!$D89/0.5*1.5,0)</f>
        <v>0</v>
      </c>
      <c r="X89" s="60">
        <f>IF(CODE('Levantamento dutos'!$E89)=73,'Levantamento dutos'!$D89/0.5*1.5,0)</f>
        <v>0</v>
      </c>
      <c r="Y89" s="60">
        <f>IF(CODE('Levantamento dutos'!$E89)=80,'Levantamento dutos'!$D89/0.5*1.5,0)</f>
        <v>0</v>
      </c>
      <c r="Z89" s="60">
        <f>IF(CODE('Levantamento dutos'!$E89)=76,ROUND(('Levantamento dutos'!$D89)+('Levantamento dutos'!$D89*Calculos!$G89*2)*1.1,0),0)</f>
        <v>0</v>
      </c>
      <c r="AA89" s="60">
        <f>IF(CODE('Levantamento dutos'!$G89)=80,('Levantamento dutos'!$D89/'Levantamento dutos'!$G$12)*8,0)</f>
        <v>0</v>
      </c>
      <c r="AB89" s="60">
        <f>IF(CODE('Levantamento dutos'!$G89)=80,IF('Levantamento dutos'!$B89&gt;30,('Levantamento dutos'!$D89/'Levantamento dutos'!$G$12)*4,0),0)</f>
        <v>0</v>
      </c>
      <c r="AC89" s="60">
        <f>IF('Levantamento dutos'!$B89&gt;220,('Levantamento dutos'!$D89/'Levantamento dutos'!$G$12*Calculos!$G89*2),0)</f>
        <v>0</v>
      </c>
      <c r="AD89" s="60">
        <f>IF(CODE('Levantamento dutos'!$E89)=73,((('Levantamento dutos'!$E$12/1000)+0.02)*'Levantamento dutos'!$D89)*4*1.3,0)</f>
        <v>0</v>
      </c>
      <c r="AE89" s="60">
        <f>IF(CODE('Levantamento dutos'!$E89)=80,((('Levantamento dutos'!$E$12/1000)+0.02)*'Levantamento dutos'!$D89)*4*1.3,0)</f>
        <v>0</v>
      </c>
    </row>
    <row r="90" spans="2:31" x14ac:dyDescent="0.2">
      <c r="B90" s="58">
        <f>IF('Levantamento dutos'!$B90&lt;=Calculos!$Z$3,((('Levantamento dutos'!$B90)/100+('Levantamento dutos'!$C90)/100)*2)*'Levantamento dutos'!$D90,0)</f>
        <v>0</v>
      </c>
      <c r="C90">
        <f>IF('Levantamento dutos'!$B90&gt;Calculos!$Z$3,IF('Levantamento dutos'!$B90&lt;=Calculos!$Z$4,((('Levantamento dutos'!$B90)/100+('Levantamento dutos'!$C90)/100)*2)*'Levantamento dutos'!$D90,0),0)</f>
        <v>0</v>
      </c>
      <c r="D90">
        <f>IF('Levantamento dutos'!$B90&gt;Calculos!$Z$4,IF('Levantamento dutos'!$B90&lt;=Calculos!$Z$5,((('Levantamento dutos'!$B90)/100+('Levantamento dutos'!$C90)/100)*2)*'Levantamento dutos'!$D90,0),0)</f>
        <v>0</v>
      </c>
      <c r="E90">
        <f>IF('Levantamento dutos'!$B90&gt;Calculos!$Z$5,IF('Levantamento dutos'!$B90&lt;=Calculos!$Z$6,((('Levantamento dutos'!$B90)/100+('Levantamento dutos'!$C90)/100)*2)*'Levantamento dutos'!$D90,0),0)</f>
        <v>0</v>
      </c>
      <c r="F90" s="59">
        <f>IF('Levantamento dutos'!$B90&gt;Calculos!$Z$7,((('Levantamento dutos'!$B90)/100+('Levantamento dutos'!$C90)/100)*2)*'Levantamento dutos'!$D90,0)</f>
        <v>0</v>
      </c>
      <c r="G90">
        <f>(('Levantamento dutos'!B90+'Levantamento dutos'!C90)/100)*2</f>
        <v>0</v>
      </c>
      <c r="H90" s="58">
        <f>IF(CODE('Levantamento dutos'!$E90)=76,SUM($B90:$F90),0)</f>
        <v>0</v>
      </c>
      <c r="I90">
        <f>IF(CODE('Levantamento dutos'!$E90)=73,SUM($B90:$F90),0)</f>
        <v>0</v>
      </c>
      <c r="J90">
        <f>IF(CODE('Levantamento dutos'!$E90)=80,SUM($B90:$F90),0)</f>
        <v>0</v>
      </c>
      <c r="K90">
        <f>IF(CODE('Levantamento dutos'!$F90)=66,SUM($B90:$F90),0)</f>
        <v>0</v>
      </c>
      <c r="L90">
        <f>IF(CODE('Levantamento dutos'!$F90)=70,SUM($B90:$F90),0)</f>
        <v>0</v>
      </c>
      <c r="M90" s="59">
        <f>IF(CODE('Levantamento dutos'!$E90)=84,SUM($B90:$F90),0)</f>
        <v>0</v>
      </c>
      <c r="N90" s="60">
        <f>IF(CODE('Levantamento dutos'!$G90)=80,IF('Levantamento dutos'!$B90&lt;=200,('Levantamento dutos'!$D90/'Levantamento dutos'!$G$12*Calculos!$G90*2),0),0)</f>
        <v>0</v>
      </c>
      <c r="O90" s="60">
        <f>IF(CODE('Levantamento dutos'!$G90)=80,IF('Levantamento dutos'!$B90&gt;200,('Levantamento dutos'!$D90/'Levantamento dutos'!$G$12*Calculos!$G90*2),0),0)</f>
        <v>0</v>
      </c>
      <c r="P90" s="60">
        <f>IF(CODE('Levantamento dutos'!$G90)=67,('Levantamento dutos'!$D90/'Levantamento dutos'!$G$12*Calculos!$G90*2),0)</f>
        <v>0</v>
      </c>
      <c r="Q90" s="60">
        <f>IF(CODE('Levantamento dutos'!H90)=83,((('Levantamento dutos'!B90/100)+('Levantamento dutos'!$H$12/1000))+(('Levantamento dutos'!C90/100)+('Levantamento dutos'!$H$12)/1000))*2*'Levantamento dutos'!D90,0)</f>
        <v>0</v>
      </c>
      <c r="S90" s="60">
        <f>IF(CODE('Levantamento dutos'!$I90)=83,$Q90,0)</f>
        <v>0</v>
      </c>
      <c r="T90" s="60">
        <f>IF(CODE('Levantamento dutos'!$E90)=76,ROUND((('Levantamento dutos'!$D90/5)*(Calculos!$G90+0.2)*1.2),0),0)</f>
        <v>0</v>
      </c>
      <c r="U90" s="60">
        <f>IF(CODE('Levantamento dutos'!$E90)=73,ROUND((('Levantamento dutos'!$D90/0.5)*(Calculos!$G90+0.2)*1.2),0),0)</f>
        <v>0</v>
      </c>
      <c r="V90" s="60">
        <f>IF(CODE('Levantamento dutos'!$E90)=80,ROUND((('Levantamento dutos'!$D90/0.5)*(Calculos!$G90+0.2)*1.2),0),0)</f>
        <v>0</v>
      </c>
      <c r="W90" s="60">
        <f>IF(CODE('Levantamento dutos'!$E90)=76,'Levantamento dutos'!$D90/0.5*1.5,0)</f>
        <v>0</v>
      </c>
      <c r="X90" s="60">
        <f>IF(CODE('Levantamento dutos'!$E90)=73,'Levantamento dutos'!$D90/0.5*1.5,0)</f>
        <v>0</v>
      </c>
      <c r="Y90" s="60">
        <f>IF(CODE('Levantamento dutos'!$E90)=80,'Levantamento dutos'!$D90/0.5*1.5,0)</f>
        <v>0</v>
      </c>
      <c r="Z90" s="60">
        <f>IF(CODE('Levantamento dutos'!$E90)=76,ROUND(('Levantamento dutos'!$D90)+('Levantamento dutos'!$D90*Calculos!$G90*2)*1.1,0),0)</f>
        <v>0</v>
      </c>
      <c r="AA90" s="60">
        <f>IF(CODE('Levantamento dutos'!$G90)=80,('Levantamento dutos'!$D90/'Levantamento dutos'!$G$12)*8,0)</f>
        <v>0</v>
      </c>
      <c r="AB90" s="60">
        <f>IF(CODE('Levantamento dutos'!$G90)=80,IF('Levantamento dutos'!$B90&gt;30,('Levantamento dutos'!$D90/'Levantamento dutos'!$G$12)*4,0),0)</f>
        <v>0</v>
      </c>
      <c r="AC90" s="60">
        <f>IF('Levantamento dutos'!$B90&gt;220,('Levantamento dutos'!$D90/'Levantamento dutos'!$G$12*Calculos!$G90*2),0)</f>
        <v>0</v>
      </c>
      <c r="AD90" s="60">
        <f>IF(CODE('Levantamento dutos'!$E90)=73,((('Levantamento dutos'!$E$12/1000)+0.02)*'Levantamento dutos'!$D90)*4*1.3,0)</f>
        <v>0</v>
      </c>
      <c r="AE90" s="60">
        <f>IF(CODE('Levantamento dutos'!$E90)=80,((('Levantamento dutos'!$E$12/1000)+0.02)*'Levantamento dutos'!$D90)*4*1.3,0)</f>
        <v>0</v>
      </c>
    </row>
    <row r="91" spans="2:31" x14ac:dyDescent="0.2">
      <c r="B91" s="58">
        <f>IF('Levantamento dutos'!$B91&lt;=Calculos!$Z$3,((('Levantamento dutos'!$B91)/100+('Levantamento dutos'!$C91)/100)*2)*'Levantamento dutos'!$D91,0)</f>
        <v>0</v>
      </c>
      <c r="C91">
        <f>IF('Levantamento dutos'!$B91&gt;Calculos!$Z$3,IF('Levantamento dutos'!$B91&lt;=Calculos!$Z$4,((('Levantamento dutos'!$B91)/100+('Levantamento dutos'!$C91)/100)*2)*'Levantamento dutos'!$D91,0),0)</f>
        <v>0</v>
      </c>
      <c r="D91">
        <f>IF('Levantamento dutos'!$B91&gt;Calculos!$Z$4,IF('Levantamento dutos'!$B91&lt;=Calculos!$Z$5,((('Levantamento dutos'!$B91)/100+('Levantamento dutos'!$C91)/100)*2)*'Levantamento dutos'!$D91,0),0)</f>
        <v>0</v>
      </c>
      <c r="E91">
        <f>IF('Levantamento dutos'!$B91&gt;Calculos!$Z$5,IF('Levantamento dutos'!$B91&lt;=Calculos!$Z$6,((('Levantamento dutos'!$B91)/100+('Levantamento dutos'!$C91)/100)*2)*'Levantamento dutos'!$D91,0),0)</f>
        <v>0</v>
      </c>
      <c r="F91" s="59">
        <f>IF('Levantamento dutos'!$B91&gt;Calculos!$Z$7,((('Levantamento dutos'!$B91)/100+('Levantamento dutos'!$C91)/100)*2)*'Levantamento dutos'!$D91,0)</f>
        <v>0</v>
      </c>
      <c r="G91">
        <f>(('Levantamento dutos'!B91+'Levantamento dutos'!C91)/100)*2</f>
        <v>0</v>
      </c>
      <c r="H91" s="58">
        <f>IF(CODE('Levantamento dutos'!$E91)=76,SUM($B91:$F91),0)</f>
        <v>0</v>
      </c>
      <c r="I91">
        <f>IF(CODE('Levantamento dutos'!$E91)=73,SUM($B91:$F91),0)</f>
        <v>0</v>
      </c>
      <c r="J91">
        <f>IF(CODE('Levantamento dutos'!$E91)=80,SUM($B91:$F91),0)</f>
        <v>0</v>
      </c>
      <c r="K91">
        <f>IF(CODE('Levantamento dutos'!$F91)=66,SUM($B91:$F91),0)</f>
        <v>0</v>
      </c>
      <c r="L91">
        <f>IF(CODE('Levantamento dutos'!$F91)=70,SUM($B91:$F91),0)</f>
        <v>0</v>
      </c>
      <c r="M91" s="59">
        <f>IF(CODE('Levantamento dutos'!$E91)=84,SUM($B91:$F91),0)</f>
        <v>0</v>
      </c>
      <c r="N91" s="60">
        <f>IF(CODE('Levantamento dutos'!$G91)=80,IF('Levantamento dutos'!$B91&lt;=200,('Levantamento dutos'!$D91/'Levantamento dutos'!$G$12*Calculos!$G91*2),0),0)</f>
        <v>0</v>
      </c>
      <c r="O91" s="60">
        <f>IF(CODE('Levantamento dutos'!$G91)=80,IF('Levantamento dutos'!$B91&gt;200,('Levantamento dutos'!$D91/'Levantamento dutos'!$G$12*Calculos!$G91*2),0),0)</f>
        <v>0</v>
      </c>
      <c r="P91" s="60">
        <f>IF(CODE('Levantamento dutos'!$G91)=67,('Levantamento dutos'!$D91/'Levantamento dutos'!$G$12*Calculos!$G91*2),0)</f>
        <v>0</v>
      </c>
      <c r="Q91" s="60">
        <f>IF(CODE('Levantamento dutos'!H91)=83,((('Levantamento dutos'!B91/100)+('Levantamento dutos'!$H$12/1000))+(('Levantamento dutos'!C91/100)+('Levantamento dutos'!$H$12)/1000))*2*'Levantamento dutos'!D91,0)</f>
        <v>0</v>
      </c>
      <c r="S91" s="60">
        <f>IF(CODE('Levantamento dutos'!$I91)=83,$Q91,0)</f>
        <v>0</v>
      </c>
      <c r="T91" s="60">
        <f>IF(CODE('Levantamento dutos'!$E91)=76,ROUND((('Levantamento dutos'!$D91/5)*(Calculos!$G91+0.2)*1.2),0),0)</f>
        <v>0</v>
      </c>
      <c r="U91" s="60">
        <f>IF(CODE('Levantamento dutos'!$E91)=73,ROUND((('Levantamento dutos'!$D91/0.5)*(Calculos!$G91+0.2)*1.2),0),0)</f>
        <v>0</v>
      </c>
      <c r="V91" s="60">
        <f>IF(CODE('Levantamento dutos'!$E91)=80,ROUND((('Levantamento dutos'!$D91/0.5)*(Calculos!$G91+0.2)*1.2),0),0)</f>
        <v>0</v>
      </c>
      <c r="W91" s="60">
        <f>IF(CODE('Levantamento dutos'!$E91)=76,'Levantamento dutos'!$D91/0.5*1.5,0)</f>
        <v>0</v>
      </c>
      <c r="X91" s="60">
        <f>IF(CODE('Levantamento dutos'!$E91)=73,'Levantamento dutos'!$D91/0.5*1.5,0)</f>
        <v>0</v>
      </c>
      <c r="Y91" s="60">
        <f>IF(CODE('Levantamento dutos'!$E91)=80,'Levantamento dutos'!$D91/0.5*1.5,0)</f>
        <v>0</v>
      </c>
      <c r="Z91" s="60">
        <f>IF(CODE('Levantamento dutos'!$E91)=76,ROUND(('Levantamento dutos'!$D91)+('Levantamento dutos'!$D91*Calculos!$G91*2)*1.1,0),0)</f>
        <v>0</v>
      </c>
      <c r="AA91" s="60">
        <f>IF(CODE('Levantamento dutos'!$G91)=80,('Levantamento dutos'!$D91/'Levantamento dutos'!$G$12)*8,0)</f>
        <v>0</v>
      </c>
      <c r="AB91" s="60">
        <f>IF(CODE('Levantamento dutos'!$G91)=80,IF('Levantamento dutos'!$B91&gt;30,('Levantamento dutos'!$D91/'Levantamento dutos'!$G$12)*4,0),0)</f>
        <v>0</v>
      </c>
      <c r="AC91" s="60">
        <f>IF('Levantamento dutos'!$B91&gt;220,('Levantamento dutos'!$D91/'Levantamento dutos'!$G$12*Calculos!$G91*2),0)</f>
        <v>0</v>
      </c>
      <c r="AD91" s="60">
        <f>IF(CODE('Levantamento dutos'!$E91)=73,((('Levantamento dutos'!$E$12/1000)+0.02)*'Levantamento dutos'!$D91)*4*1.3,0)</f>
        <v>0</v>
      </c>
      <c r="AE91" s="60">
        <f>IF(CODE('Levantamento dutos'!$E91)=80,((('Levantamento dutos'!$E$12/1000)+0.02)*'Levantamento dutos'!$D91)*4*1.3,0)</f>
        <v>0</v>
      </c>
    </row>
    <row r="92" spans="2:31" x14ac:dyDescent="0.2">
      <c r="B92" s="58">
        <f>IF('Levantamento dutos'!$B92&lt;=Calculos!$Z$3,((('Levantamento dutos'!$B92)/100+('Levantamento dutos'!$C92)/100)*2)*'Levantamento dutos'!$D92,0)</f>
        <v>0</v>
      </c>
      <c r="C92">
        <f>IF('Levantamento dutos'!$B92&gt;Calculos!$Z$3,IF('Levantamento dutos'!$B92&lt;=Calculos!$Z$4,((('Levantamento dutos'!$B92)/100+('Levantamento dutos'!$C92)/100)*2)*'Levantamento dutos'!$D92,0),0)</f>
        <v>0</v>
      </c>
      <c r="D92">
        <f>IF('Levantamento dutos'!$B92&gt;Calculos!$Z$4,IF('Levantamento dutos'!$B92&lt;=Calculos!$Z$5,((('Levantamento dutos'!$B92)/100+('Levantamento dutos'!$C92)/100)*2)*'Levantamento dutos'!$D92,0),0)</f>
        <v>0</v>
      </c>
      <c r="E92">
        <f>IF('Levantamento dutos'!$B92&gt;Calculos!$Z$5,IF('Levantamento dutos'!$B92&lt;=Calculos!$Z$6,((('Levantamento dutos'!$B92)/100+('Levantamento dutos'!$C92)/100)*2)*'Levantamento dutos'!$D92,0),0)</f>
        <v>0</v>
      </c>
      <c r="F92" s="59">
        <f>IF('Levantamento dutos'!$B92&gt;Calculos!$Z$7,((('Levantamento dutos'!$B92)/100+('Levantamento dutos'!$C92)/100)*2)*'Levantamento dutos'!$D92,0)</f>
        <v>0</v>
      </c>
      <c r="G92">
        <f>(('Levantamento dutos'!B92+'Levantamento dutos'!C92)/100)*2</f>
        <v>0</v>
      </c>
      <c r="H92" s="58">
        <f>IF(CODE('Levantamento dutos'!$E92)=76,SUM($B92:$F92),0)</f>
        <v>0</v>
      </c>
      <c r="I92">
        <f>IF(CODE('Levantamento dutos'!$E92)=73,SUM($B92:$F92),0)</f>
        <v>0</v>
      </c>
      <c r="J92">
        <f>IF(CODE('Levantamento dutos'!$E92)=80,SUM($B92:$F92),0)</f>
        <v>0</v>
      </c>
      <c r="K92">
        <f>IF(CODE('Levantamento dutos'!$F92)=66,SUM($B92:$F92),0)</f>
        <v>0</v>
      </c>
      <c r="L92">
        <f>IF(CODE('Levantamento dutos'!$F92)=70,SUM($B92:$F92),0)</f>
        <v>0</v>
      </c>
      <c r="M92" s="59">
        <f>IF(CODE('Levantamento dutos'!$E92)=84,SUM($B92:$F92),0)</f>
        <v>0</v>
      </c>
      <c r="N92" s="60">
        <f>IF(CODE('Levantamento dutos'!$G92)=80,IF('Levantamento dutos'!$B92&lt;=200,('Levantamento dutos'!$D92/'Levantamento dutos'!$G$12*Calculos!$G92*2),0),0)</f>
        <v>0</v>
      </c>
      <c r="O92" s="60">
        <f>IF(CODE('Levantamento dutos'!$G92)=80,IF('Levantamento dutos'!$B92&gt;200,('Levantamento dutos'!$D92/'Levantamento dutos'!$G$12*Calculos!$G92*2),0),0)</f>
        <v>0</v>
      </c>
      <c r="P92" s="60">
        <f>IF(CODE('Levantamento dutos'!$G92)=67,('Levantamento dutos'!$D92/'Levantamento dutos'!$G$12*Calculos!$G92*2),0)</f>
        <v>0</v>
      </c>
      <c r="Q92" s="60">
        <f>IF(CODE('Levantamento dutos'!H92)=83,((('Levantamento dutos'!B92/100)+('Levantamento dutos'!$H$12/1000))+(('Levantamento dutos'!C92/100)+('Levantamento dutos'!$H$12)/1000))*2*'Levantamento dutos'!D92,0)</f>
        <v>0</v>
      </c>
      <c r="S92" s="60">
        <f>IF(CODE('Levantamento dutos'!$I92)=83,$Q92,0)</f>
        <v>0</v>
      </c>
      <c r="T92" s="60">
        <f>IF(CODE('Levantamento dutos'!$E92)=76,ROUND((('Levantamento dutos'!$D92/5)*(Calculos!$G92+0.2)*1.2),0),0)</f>
        <v>0</v>
      </c>
      <c r="U92" s="60">
        <f>IF(CODE('Levantamento dutos'!$E92)=73,ROUND((('Levantamento dutos'!$D92/0.5)*(Calculos!$G92+0.2)*1.2),0),0)</f>
        <v>0</v>
      </c>
      <c r="V92" s="60">
        <f>IF(CODE('Levantamento dutos'!$E92)=80,ROUND((('Levantamento dutos'!$D92/0.5)*(Calculos!$G92+0.2)*1.2),0),0)</f>
        <v>0</v>
      </c>
      <c r="W92" s="60">
        <f>IF(CODE('Levantamento dutos'!$E92)=76,'Levantamento dutos'!$D92/0.5*1.5,0)</f>
        <v>0</v>
      </c>
      <c r="X92" s="60">
        <f>IF(CODE('Levantamento dutos'!$E92)=73,'Levantamento dutos'!$D92/0.5*1.5,0)</f>
        <v>0</v>
      </c>
      <c r="Y92" s="60">
        <f>IF(CODE('Levantamento dutos'!$E92)=80,'Levantamento dutos'!$D92/0.5*1.5,0)</f>
        <v>0</v>
      </c>
      <c r="Z92" s="60">
        <f>IF(CODE('Levantamento dutos'!$E92)=76,ROUND(('Levantamento dutos'!$D92)+('Levantamento dutos'!$D92*Calculos!$G92*2)*1.1,0),0)</f>
        <v>0</v>
      </c>
      <c r="AA92" s="60">
        <f>IF(CODE('Levantamento dutos'!$G92)=80,('Levantamento dutos'!$D92/'Levantamento dutos'!$G$12)*8,0)</f>
        <v>0</v>
      </c>
      <c r="AB92" s="60">
        <f>IF(CODE('Levantamento dutos'!$G92)=80,IF('Levantamento dutos'!$B92&gt;30,('Levantamento dutos'!$D92/'Levantamento dutos'!$G$12)*4,0),0)</f>
        <v>0</v>
      </c>
      <c r="AC92" s="60">
        <f>IF('Levantamento dutos'!$B92&gt;220,('Levantamento dutos'!$D92/'Levantamento dutos'!$G$12*Calculos!$G92*2),0)</f>
        <v>0</v>
      </c>
      <c r="AD92" s="60">
        <f>IF(CODE('Levantamento dutos'!$E92)=73,((('Levantamento dutos'!$E$12/1000)+0.02)*'Levantamento dutos'!$D92)*4*1.3,0)</f>
        <v>0</v>
      </c>
      <c r="AE92" s="60">
        <f>IF(CODE('Levantamento dutos'!$E92)=80,((('Levantamento dutos'!$E$12/1000)+0.02)*'Levantamento dutos'!$D92)*4*1.3,0)</f>
        <v>0</v>
      </c>
    </row>
    <row r="93" spans="2:31" x14ac:dyDescent="0.2">
      <c r="B93" s="58">
        <f>IF('Levantamento dutos'!$B93&lt;=Calculos!$Z$3,((('Levantamento dutos'!$B93)/100+('Levantamento dutos'!$C93)/100)*2)*'Levantamento dutos'!$D93,0)</f>
        <v>0</v>
      </c>
      <c r="C93">
        <f>IF('Levantamento dutos'!$B93&gt;Calculos!$Z$3,IF('Levantamento dutos'!$B93&lt;=Calculos!$Z$4,((('Levantamento dutos'!$B93)/100+('Levantamento dutos'!$C93)/100)*2)*'Levantamento dutos'!$D93,0),0)</f>
        <v>0</v>
      </c>
      <c r="D93">
        <f>IF('Levantamento dutos'!$B93&gt;Calculos!$Z$4,IF('Levantamento dutos'!$B93&lt;=Calculos!$Z$5,((('Levantamento dutos'!$B93)/100+('Levantamento dutos'!$C93)/100)*2)*'Levantamento dutos'!$D93,0),0)</f>
        <v>0</v>
      </c>
      <c r="E93">
        <f>IF('Levantamento dutos'!$B93&gt;Calculos!$Z$5,IF('Levantamento dutos'!$B93&lt;=Calculos!$Z$6,((('Levantamento dutos'!$B93)/100+('Levantamento dutos'!$C93)/100)*2)*'Levantamento dutos'!$D93,0),0)</f>
        <v>0</v>
      </c>
      <c r="F93" s="59">
        <f>IF('Levantamento dutos'!$B93&gt;Calculos!$Z$7,((('Levantamento dutos'!$B93)/100+('Levantamento dutos'!$C93)/100)*2)*'Levantamento dutos'!$D93,0)</f>
        <v>0</v>
      </c>
      <c r="G93">
        <f>(('Levantamento dutos'!B93+'Levantamento dutos'!C93)/100)*2</f>
        <v>0</v>
      </c>
      <c r="H93" s="58">
        <f>IF(CODE('Levantamento dutos'!$E93)=76,SUM($B93:$F93),0)</f>
        <v>0</v>
      </c>
      <c r="I93">
        <f>IF(CODE('Levantamento dutos'!$E93)=73,SUM($B93:$F93),0)</f>
        <v>0</v>
      </c>
      <c r="J93">
        <f>IF(CODE('Levantamento dutos'!$E93)=80,SUM($B93:$F93),0)</f>
        <v>0</v>
      </c>
      <c r="K93">
        <f>IF(CODE('Levantamento dutos'!$F93)=66,SUM($B93:$F93),0)</f>
        <v>0</v>
      </c>
      <c r="L93">
        <f>IF(CODE('Levantamento dutos'!$F93)=70,SUM($B93:$F93),0)</f>
        <v>0</v>
      </c>
      <c r="M93" s="59">
        <f>IF(CODE('Levantamento dutos'!$E93)=84,SUM($B93:$F93),0)</f>
        <v>0</v>
      </c>
      <c r="N93" s="60">
        <f>IF(CODE('Levantamento dutos'!$G93)=80,IF('Levantamento dutos'!$B93&lt;=200,('Levantamento dutos'!$D93/'Levantamento dutos'!$G$12*Calculos!$G93*2),0),0)</f>
        <v>0</v>
      </c>
      <c r="O93" s="60">
        <f>IF(CODE('Levantamento dutos'!$G93)=80,IF('Levantamento dutos'!$B93&gt;200,('Levantamento dutos'!$D93/'Levantamento dutos'!$G$12*Calculos!$G93*2),0),0)</f>
        <v>0</v>
      </c>
      <c r="P93" s="60">
        <f>IF(CODE('Levantamento dutos'!$G93)=67,('Levantamento dutos'!$D93/'Levantamento dutos'!$G$12*Calculos!$G93*2),0)</f>
        <v>0</v>
      </c>
      <c r="Q93" s="60">
        <f>IF(CODE('Levantamento dutos'!H93)=83,((('Levantamento dutos'!B93/100)+('Levantamento dutos'!$H$12/1000))+(('Levantamento dutos'!C93/100)+('Levantamento dutos'!$H$12)/1000))*2*'Levantamento dutos'!D93,0)</f>
        <v>0</v>
      </c>
      <c r="S93" s="60">
        <f>IF(CODE('Levantamento dutos'!$I93)=83,$Q93,0)</f>
        <v>0</v>
      </c>
      <c r="T93" s="60">
        <f>IF(CODE('Levantamento dutos'!$E93)=76,ROUND((('Levantamento dutos'!$D93/5)*(Calculos!$G93+0.2)*1.2),0),0)</f>
        <v>0</v>
      </c>
      <c r="U93" s="60">
        <f>IF(CODE('Levantamento dutos'!$E93)=73,ROUND((('Levantamento dutos'!$D93/0.5)*(Calculos!$G93+0.2)*1.2),0),0)</f>
        <v>0</v>
      </c>
      <c r="V93" s="60">
        <f>IF(CODE('Levantamento dutos'!$E93)=80,ROUND((('Levantamento dutos'!$D93/0.5)*(Calculos!$G93+0.2)*1.2),0),0)</f>
        <v>0</v>
      </c>
      <c r="W93" s="60">
        <f>IF(CODE('Levantamento dutos'!$E93)=76,'Levantamento dutos'!$D93/0.5*1.5,0)</f>
        <v>0</v>
      </c>
      <c r="X93" s="60">
        <f>IF(CODE('Levantamento dutos'!$E93)=73,'Levantamento dutos'!$D93/0.5*1.5,0)</f>
        <v>0</v>
      </c>
      <c r="Y93" s="60">
        <f>IF(CODE('Levantamento dutos'!$E93)=80,'Levantamento dutos'!$D93/0.5*1.5,0)</f>
        <v>0</v>
      </c>
      <c r="Z93" s="60">
        <f>IF(CODE('Levantamento dutos'!$E93)=76,ROUND(('Levantamento dutos'!$D93)+('Levantamento dutos'!$D93*Calculos!$G93*2)*1.1,0),0)</f>
        <v>0</v>
      </c>
      <c r="AA93" s="60">
        <f>IF(CODE('Levantamento dutos'!$G93)=80,('Levantamento dutos'!$D93/'Levantamento dutos'!$G$12)*8,0)</f>
        <v>0</v>
      </c>
      <c r="AB93" s="60">
        <f>IF(CODE('Levantamento dutos'!$G93)=80,IF('Levantamento dutos'!$B93&gt;30,('Levantamento dutos'!$D93/'Levantamento dutos'!$G$12)*4,0),0)</f>
        <v>0</v>
      </c>
      <c r="AC93" s="60">
        <f>IF('Levantamento dutos'!$B93&gt;220,('Levantamento dutos'!$D93/'Levantamento dutos'!$G$12*Calculos!$G93*2),0)</f>
        <v>0</v>
      </c>
      <c r="AD93" s="60">
        <f>IF(CODE('Levantamento dutos'!$E93)=73,((('Levantamento dutos'!$E$12/1000)+0.02)*'Levantamento dutos'!$D93)*4*1.3,0)</f>
        <v>0</v>
      </c>
      <c r="AE93" s="60">
        <f>IF(CODE('Levantamento dutos'!$E93)=80,((('Levantamento dutos'!$E$12/1000)+0.02)*'Levantamento dutos'!$D93)*4*1.3,0)</f>
        <v>0</v>
      </c>
    </row>
    <row r="94" spans="2:31" x14ac:dyDescent="0.2">
      <c r="B94" s="58">
        <f>IF('Levantamento dutos'!$B94&lt;=Calculos!$Z$3,((('Levantamento dutos'!$B94)/100+('Levantamento dutos'!$C94)/100)*2)*'Levantamento dutos'!$D94,0)</f>
        <v>0</v>
      </c>
      <c r="C94">
        <f>IF('Levantamento dutos'!$B94&gt;Calculos!$Z$3,IF('Levantamento dutos'!$B94&lt;=Calculos!$Z$4,((('Levantamento dutos'!$B94)/100+('Levantamento dutos'!$C94)/100)*2)*'Levantamento dutos'!$D94,0),0)</f>
        <v>0</v>
      </c>
      <c r="D94">
        <f>IF('Levantamento dutos'!$B94&gt;Calculos!$Z$4,IF('Levantamento dutos'!$B94&lt;=Calculos!$Z$5,((('Levantamento dutos'!$B94)/100+('Levantamento dutos'!$C94)/100)*2)*'Levantamento dutos'!$D94,0),0)</f>
        <v>0</v>
      </c>
      <c r="E94">
        <f>IF('Levantamento dutos'!$B94&gt;Calculos!$Z$5,IF('Levantamento dutos'!$B94&lt;=Calculos!$Z$6,((('Levantamento dutos'!$B94)/100+('Levantamento dutos'!$C94)/100)*2)*'Levantamento dutos'!$D94,0),0)</f>
        <v>0</v>
      </c>
      <c r="F94" s="59">
        <f>IF('Levantamento dutos'!$B94&gt;Calculos!$Z$7,((('Levantamento dutos'!$B94)/100+('Levantamento dutos'!$C94)/100)*2)*'Levantamento dutos'!$D94,0)</f>
        <v>0</v>
      </c>
      <c r="G94">
        <f>(('Levantamento dutos'!B94+'Levantamento dutos'!C94)/100)*2</f>
        <v>0</v>
      </c>
      <c r="H94" s="58">
        <f>IF(CODE('Levantamento dutos'!$E94)=76,SUM($B94:$F94),0)</f>
        <v>0</v>
      </c>
      <c r="I94">
        <f>IF(CODE('Levantamento dutos'!$E94)=73,SUM($B94:$F94),0)</f>
        <v>0</v>
      </c>
      <c r="J94">
        <f>IF(CODE('Levantamento dutos'!$E94)=80,SUM($B94:$F94),0)</f>
        <v>0</v>
      </c>
      <c r="K94">
        <f>IF(CODE('Levantamento dutos'!$F94)=66,SUM($B94:$F94),0)</f>
        <v>0</v>
      </c>
      <c r="L94">
        <f>IF(CODE('Levantamento dutos'!$F94)=70,SUM($B94:$F94),0)</f>
        <v>0</v>
      </c>
      <c r="M94" s="59">
        <f>IF(CODE('Levantamento dutos'!$E94)=84,SUM($B94:$F94),0)</f>
        <v>0</v>
      </c>
      <c r="N94" s="60">
        <f>IF(CODE('Levantamento dutos'!$G94)=80,IF('Levantamento dutos'!$B94&lt;=200,('Levantamento dutos'!$D94/'Levantamento dutos'!$G$12*Calculos!$G94*2),0),0)</f>
        <v>0</v>
      </c>
      <c r="O94" s="60">
        <f>IF(CODE('Levantamento dutos'!$G94)=80,IF('Levantamento dutos'!$B94&gt;200,('Levantamento dutos'!$D94/'Levantamento dutos'!$G$12*Calculos!$G94*2),0),0)</f>
        <v>0</v>
      </c>
      <c r="P94" s="60">
        <f>IF(CODE('Levantamento dutos'!$G94)=67,('Levantamento dutos'!$D94/'Levantamento dutos'!$G$12*Calculos!$G94*2),0)</f>
        <v>0</v>
      </c>
      <c r="Q94" s="60">
        <f>IF(CODE('Levantamento dutos'!H94)=83,((('Levantamento dutos'!B94/100)+('Levantamento dutos'!$H$12/1000))+(('Levantamento dutos'!C94/100)+('Levantamento dutos'!$H$12)/1000))*2*'Levantamento dutos'!D94,0)</f>
        <v>0</v>
      </c>
      <c r="S94" s="60">
        <f>IF(CODE('Levantamento dutos'!$I94)=83,$Q94,0)</f>
        <v>0</v>
      </c>
      <c r="T94" s="60">
        <f>IF(CODE('Levantamento dutos'!$E94)=76,ROUND((('Levantamento dutos'!$D94/5)*(Calculos!$G94+0.2)*1.2),0),0)</f>
        <v>0</v>
      </c>
      <c r="U94" s="60">
        <f>IF(CODE('Levantamento dutos'!$E94)=73,ROUND((('Levantamento dutos'!$D94/0.5)*(Calculos!$G94+0.2)*1.2),0),0)</f>
        <v>0</v>
      </c>
      <c r="V94" s="60">
        <f>IF(CODE('Levantamento dutos'!$E94)=80,ROUND((('Levantamento dutos'!$D94/0.5)*(Calculos!$G94+0.2)*1.2),0),0)</f>
        <v>0</v>
      </c>
      <c r="W94" s="60">
        <f>IF(CODE('Levantamento dutos'!$E94)=76,'Levantamento dutos'!$D94/0.5*1.5,0)</f>
        <v>0</v>
      </c>
      <c r="X94" s="60">
        <f>IF(CODE('Levantamento dutos'!$E94)=73,'Levantamento dutos'!$D94/0.5*1.5,0)</f>
        <v>0</v>
      </c>
      <c r="Y94" s="60">
        <f>IF(CODE('Levantamento dutos'!$E94)=80,'Levantamento dutos'!$D94/0.5*1.5,0)</f>
        <v>0</v>
      </c>
      <c r="Z94" s="60">
        <f>IF(CODE('Levantamento dutos'!$E94)=76,ROUND(('Levantamento dutos'!$D94)+('Levantamento dutos'!$D94*Calculos!$G94*2)*1.1,0),0)</f>
        <v>0</v>
      </c>
      <c r="AA94" s="60">
        <f>IF(CODE('Levantamento dutos'!$G94)=80,('Levantamento dutos'!$D94/'Levantamento dutos'!$G$12)*8,0)</f>
        <v>0</v>
      </c>
      <c r="AB94" s="60">
        <f>IF(CODE('Levantamento dutos'!$G94)=80,IF('Levantamento dutos'!$B94&gt;30,('Levantamento dutos'!$D94/'Levantamento dutos'!$G$12)*4,0),0)</f>
        <v>0</v>
      </c>
      <c r="AC94" s="60">
        <f>IF('Levantamento dutos'!$B94&gt;220,('Levantamento dutos'!$D94/'Levantamento dutos'!$G$12*Calculos!$G94*2),0)</f>
        <v>0</v>
      </c>
      <c r="AD94" s="60">
        <f>IF(CODE('Levantamento dutos'!$E94)=73,((('Levantamento dutos'!$E$12/1000)+0.02)*'Levantamento dutos'!$D94)*4*1.3,0)</f>
        <v>0</v>
      </c>
      <c r="AE94" s="60">
        <f>IF(CODE('Levantamento dutos'!$E94)=80,((('Levantamento dutos'!$E$12/1000)+0.02)*'Levantamento dutos'!$D94)*4*1.3,0)</f>
        <v>0</v>
      </c>
    </row>
    <row r="95" spans="2:31" x14ac:dyDescent="0.2">
      <c r="B95" s="58">
        <f>IF('Levantamento dutos'!$B95&lt;=Calculos!$Z$3,((('Levantamento dutos'!$B95)/100+('Levantamento dutos'!$C95)/100)*2)*'Levantamento dutos'!$D95,0)</f>
        <v>0</v>
      </c>
      <c r="C95">
        <f>IF('Levantamento dutos'!$B95&gt;Calculos!$Z$3,IF('Levantamento dutos'!$B95&lt;=Calculos!$Z$4,((('Levantamento dutos'!$B95)/100+('Levantamento dutos'!$C95)/100)*2)*'Levantamento dutos'!$D95,0),0)</f>
        <v>0</v>
      </c>
      <c r="D95">
        <f>IF('Levantamento dutos'!$B95&gt;Calculos!$Z$4,IF('Levantamento dutos'!$B95&lt;=Calculos!$Z$5,((('Levantamento dutos'!$B95)/100+('Levantamento dutos'!$C95)/100)*2)*'Levantamento dutos'!$D95,0),0)</f>
        <v>0</v>
      </c>
      <c r="E95">
        <f>IF('Levantamento dutos'!$B95&gt;Calculos!$Z$5,IF('Levantamento dutos'!$B95&lt;=Calculos!$Z$6,((('Levantamento dutos'!$B95)/100+('Levantamento dutos'!$C95)/100)*2)*'Levantamento dutos'!$D95,0),0)</f>
        <v>0</v>
      </c>
      <c r="F95" s="59">
        <f>IF('Levantamento dutos'!$B95&gt;Calculos!$Z$7,((('Levantamento dutos'!$B95)/100+('Levantamento dutos'!$C95)/100)*2)*'Levantamento dutos'!$D95,0)</f>
        <v>0</v>
      </c>
      <c r="G95">
        <f>(('Levantamento dutos'!B95+'Levantamento dutos'!C95)/100)*2</f>
        <v>0</v>
      </c>
      <c r="H95" s="58">
        <f>IF(CODE('Levantamento dutos'!$E95)=76,SUM($B95:$F95),0)</f>
        <v>0</v>
      </c>
      <c r="I95">
        <f>IF(CODE('Levantamento dutos'!$E95)=73,SUM($B95:$F95),0)</f>
        <v>0</v>
      </c>
      <c r="J95">
        <f>IF(CODE('Levantamento dutos'!$E95)=80,SUM($B95:$F95),0)</f>
        <v>0</v>
      </c>
      <c r="K95">
        <f>IF(CODE('Levantamento dutos'!$F95)=66,SUM($B95:$F95),0)</f>
        <v>0</v>
      </c>
      <c r="L95">
        <f>IF(CODE('Levantamento dutos'!$F95)=70,SUM($B95:$F95),0)</f>
        <v>0</v>
      </c>
      <c r="M95" s="59">
        <f>IF(CODE('Levantamento dutos'!$E95)=84,SUM($B95:$F95),0)</f>
        <v>0</v>
      </c>
      <c r="N95" s="60">
        <f>IF(CODE('Levantamento dutos'!$G95)=80,IF('Levantamento dutos'!$B95&lt;=200,('Levantamento dutos'!$D95/'Levantamento dutos'!$G$12*Calculos!$G95*2),0),0)</f>
        <v>0</v>
      </c>
      <c r="O95" s="60">
        <f>IF(CODE('Levantamento dutos'!$G95)=80,IF('Levantamento dutos'!$B95&gt;200,('Levantamento dutos'!$D95/'Levantamento dutos'!$G$12*Calculos!$G95*2),0),0)</f>
        <v>0</v>
      </c>
      <c r="P95" s="60">
        <f>IF(CODE('Levantamento dutos'!$G95)=67,('Levantamento dutos'!$D95/'Levantamento dutos'!$G$12*Calculos!$G95*2),0)</f>
        <v>0</v>
      </c>
      <c r="Q95" s="60">
        <f>IF(CODE('Levantamento dutos'!H95)=83,((('Levantamento dutos'!B95/100)+('Levantamento dutos'!$H$12/1000))+(('Levantamento dutos'!C95/100)+('Levantamento dutos'!$H$12)/1000))*2*'Levantamento dutos'!D95,0)</f>
        <v>0</v>
      </c>
      <c r="S95" s="60">
        <f>IF(CODE('Levantamento dutos'!$I95)=83,$Q95,0)</f>
        <v>0</v>
      </c>
      <c r="T95" s="60">
        <f>IF(CODE('Levantamento dutos'!$E95)=76,ROUND((('Levantamento dutos'!$D95/5)*(Calculos!$G95+0.2)*1.2),0),0)</f>
        <v>0</v>
      </c>
      <c r="U95" s="60">
        <f>IF(CODE('Levantamento dutos'!$E95)=73,ROUND((('Levantamento dutos'!$D95/0.5)*(Calculos!$G95+0.2)*1.2),0),0)</f>
        <v>0</v>
      </c>
      <c r="V95" s="60">
        <f>IF(CODE('Levantamento dutos'!$E95)=80,ROUND((('Levantamento dutos'!$D95/0.5)*(Calculos!$G95+0.2)*1.2),0),0)</f>
        <v>0</v>
      </c>
      <c r="W95" s="60">
        <f>IF(CODE('Levantamento dutos'!$E95)=76,'Levantamento dutos'!$D95/0.5*1.5,0)</f>
        <v>0</v>
      </c>
      <c r="X95" s="60">
        <f>IF(CODE('Levantamento dutos'!$E95)=73,'Levantamento dutos'!$D95/0.5*1.5,0)</f>
        <v>0</v>
      </c>
      <c r="Y95" s="60">
        <f>IF(CODE('Levantamento dutos'!$E95)=80,'Levantamento dutos'!$D95/0.5*1.5,0)</f>
        <v>0</v>
      </c>
      <c r="Z95" s="60">
        <f>IF(CODE('Levantamento dutos'!$E95)=76,ROUND(('Levantamento dutos'!$D95)+('Levantamento dutos'!$D95*Calculos!$G95*2)*1.1,0),0)</f>
        <v>0</v>
      </c>
      <c r="AA95" s="60">
        <f>IF(CODE('Levantamento dutos'!$G95)=80,('Levantamento dutos'!$D95/'Levantamento dutos'!$G$12)*8,0)</f>
        <v>0</v>
      </c>
      <c r="AB95" s="60">
        <f>IF(CODE('Levantamento dutos'!$G95)=80,IF('Levantamento dutos'!$B95&gt;30,('Levantamento dutos'!$D95/'Levantamento dutos'!$G$12)*4,0),0)</f>
        <v>0</v>
      </c>
      <c r="AC95" s="60">
        <f>IF('Levantamento dutos'!$B95&gt;220,('Levantamento dutos'!$D95/'Levantamento dutos'!$G$12*Calculos!$G95*2),0)</f>
        <v>0</v>
      </c>
      <c r="AD95" s="60">
        <f>IF(CODE('Levantamento dutos'!$E95)=73,((('Levantamento dutos'!$E$12/1000)+0.02)*'Levantamento dutos'!$D95)*4*1.3,0)</f>
        <v>0</v>
      </c>
      <c r="AE95" s="60">
        <f>IF(CODE('Levantamento dutos'!$E95)=80,((('Levantamento dutos'!$E$12/1000)+0.02)*'Levantamento dutos'!$D95)*4*1.3,0)</f>
        <v>0</v>
      </c>
    </row>
    <row r="96" spans="2:31" x14ac:dyDescent="0.2">
      <c r="B96" s="58">
        <f>IF('Levantamento dutos'!$B96&lt;=Calculos!$Z$3,((('Levantamento dutos'!$B96)/100+('Levantamento dutos'!$C96)/100)*2)*'Levantamento dutos'!$D96,0)</f>
        <v>0</v>
      </c>
      <c r="C96">
        <f>IF('Levantamento dutos'!$B96&gt;Calculos!$Z$3,IF('Levantamento dutos'!$B96&lt;=Calculos!$Z$4,((('Levantamento dutos'!$B96)/100+('Levantamento dutos'!$C96)/100)*2)*'Levantamento dutos'!$D96,0),0)</f>
        <v>0</v>
      </c>
      <c r="D96">
        <f>IF('Levantamento dutos'!$B96&gt;Calculos!$Z$4,IF('Levantamento dutos'!$B96&lt;=Calculos!$Z$5,((('Levantamento dutos'!$B96)/100+('Levantamento dutos'!$C96)/100)*2)*'Levantamento dutos'!$D96,0),0)</f>
        <v>0</v>
      </c>
      <c r="E96">
        <f>IF('Levantamento dutos'!$B96&gt;Calculos!$Z$5,IF('Levantamento dutos'!$B96&lt;=Calculos!$Z$6,((('Levantamento dutos'!$B96)/100+('Levantamento dutos'!$C96)/100)*2)*'Levantamento dutos'!$D96,0),0)</f>
        <v>0</v>
      </c>
      <c r="F96" s="59">
        <f>IF('Levantamento dutos'!$B96&gt;Calculos!$Z$7,((('Levantamento dutos'!$B96)/100+('Levantamento dutos'!$C96)/100)*2)*'Levantamento dutos'!$D96,0)</f>
        <v>0</v>
      </c>
      <c r="G96">
        <f>(('Levantamento dutos'!B96+'Levantamento dutos'!C96)/100)*2</f>
        <v>0</v>
      </c>
      <c r="H96" s="58">
        <f>IF(CODE('Levantamento dutos'!$E96)=76,SUM($B96:$F96),0)</f>
        <v>0</v>
      </c>
      <c r="I96">
        <f>IF(CODE('Levantamento dutos'!$E96)=73,SUM($B96:$F96),0)</f>
        <v>0</v>
      </c>
      <c r="J96">
        <f>IF(CODE('Levantamento dutos'!$E96)=80,SUM($B96:$F96),0)</f>
        <v>0</v>
      </c>
      <c r="K96">
        <f>IF(CODE('Levantamento dutos'!$F96)=66,SUM($B96:$F96),0)</f>
        <v>0</v>
      </c>
      <c r="L96">
        <f>IF(CODE('Levantamento dutos'!$F96)=70,SUM($B96:$F96),0)</f>
        <v>0</v>
      </c>
      <c r="M96" s="59">
        <f>IF(CODE('Levantamento dutos'!$E96)=84,SUM($B96:$F96),0)</f>
        <v>0</v>
      </c>
      <c r="N96" s="60">
        <f>IF(CODE('Levantamento dutos'!$G96)=80,IF('Levantamento dutos'!$B96&lt;=200,('Levantamento dutos'!$D96/'Levantamento dutos'!$G$12*Calculos!$G96*2),0),0)</f>
        <v>0</v>
      </c>
      <c r="O96" s="60">
        <f>IF(CODE('Levantamento dutos'!$G96)=80,IF('Levantamento dutos'!$B96&gt;200,('Levantamento dutos'!$D96/'Levantamento dutos'!$G$12*Calculos!$G96*2),0),0)</f>
        <v>0</v>
      </c>
      <c r="P96" s="60">
        <f>IF(CODE('Levantamento dutos'!$G96)=67,('Levantamento dutos'!$D96/'Levantamento dutos'!$G$12*Calculos!$G96*2),0)</f>
        <v>0</v>
      </c>
      <c r="Q96" s="60">
        <f>IF(CODE('Levantamento dutos'!H96)=83,((('Levantamento dutos'!B96/100)+('Levantamento dutos'!$H$12/1000))+(('Levantamento dutos'!C96/100)+('Levantamento dutos'!$H$12)/1000))*2*'Levantamento dutos'!D96,0)</f>
        <v>0</v>
      </c>
      <c r="S96" s="60">
        <f>IF(CODE('Levantamento dutos'!$I96)=83,$Q96,0)</f>
        <v>0</v>
      </c>
      <c r="T96" s="60">
        <f>IF(CODE('Levantamento dutos'!$E96)=76,ROUND((('Levantamento dutos'!$D96/5)*(Calculos!$G96+0.2)*1.2),0),0)</f>
        <v>0</v>
      </c>
      <c r="U96" s="60">
        <f>IF(CODE('Levantamento dutos'!$E96)=73,ROUND((('Levantamento dutos'!$D96/0.5)*(Calculos!$G96+0.2)*1.2),0),0)</f>
        <v>0</v>
      </c>
      <c r="V96" s="60">
        <f>IF(CODE('Levantamento dutos'!$E96)=80,ROUND((('Levantamento dutos'!$D96/0.5)*(Calculos!$G96+0.2)*1.2),0),0)</f>
        <v>0</v>
      </c>
      <c r="W96" s="60">
        <f>IF(CODE('Levantamento dutos'!$E96)=76,'Levantamento dutos'!$D96/0.5*1.5,0)</f>
        <v>0</v>
      </c>
      <c r="X96" s="60">
        <f>IF(CODE('Levantamento dutos'!$E96)=73,'Levantamento dutos'!$D96/0.5*1.5,0)</f>
        <v>0</v>
      </c>
      <c r="Y96" s="60">
        <f>IF(CODE('Levantamento dutos'!$E96)=80,'Levantamento dutos'!$D96/0.5*1.5,0)</f>
        <v>0</v>
      </c>
      <c r="Z96" s="60">
        <f>IF(CODE('Levantamento dutos'!$E96)=76,ROUND(('Levantamento dutos'!$D96)+('Levantamento dutos'!$D96*Calculos!$G96*2)*1.1,0),0)</f>
        <v>0</v>
      </c>
      <c r="AA96" s="60">
        <f>IF(CODE('Levantamento dutos'!$G96)=80,('Levantamento dutos'!$D96/'Levantamento dutos'!$G$12)*8,0)</f>
        <v>0</v>
      </c>
      <c r="AB96" s="60">
        <f>IF(CODE('Levantamento dutos'!$G96)=80,IF('Levantamento dutos'!$B96&gt;30,('Levantamento dutos'!$D96/'Levantamento dutos'!$G$12)*4,0),0)</f>
        <v>0</v>
      </c>
      <c r="AC96" s="60">
        <f>IF('Levantamento dutos'!$B96&gt;220,('Levantamento dutos'!$D96/'Levantamento dutos'!$G$12*Calculos!$G96*2),0)</f>
        <v>0</v>
      </c>
      <c r="AD96" s="60">
        <f>IF(CODE('Levantamento dutos'!$E96)=73,((('Levantamento dutos'!$E$12/1000)+0.02)*'Levantamento dutos'!$D96)*4*1.3,0)</f>
        <v>0</v>
      </c>
      <c r="AE96" s="60">
        <f>IF(CODE('Levantamento dutos'!$E96)=80,((('Levantamento dutos'!$E$12/1000)+0.02)*'Levantamento dutos'!$D96)*4*1.3,0)</f>
        <v>0</v>
      </c>
    </row>
    <row r="97" spans="2:31" x14ac:dyDescent="0.2">
      <c r="B97" s="58">
        <f>IF('Levantamento dutos'!$B97&lt;=Calculos!$Z$3,((('Levantamento dutos'!$B97)/100+('Levantamento dutos'!$C97)/100)*2)*'Levantamento dutos'!$D97,0)</f>
        <v>0</v>
      </c>
      <c r="C97">
        <f>IF('Levantamento dutos'!$B97&gt;Calculos!$Z$3,IF('Levantamento dutos'!$B97&lt;=Calculos!$Z$4,((('Levantamento dutos'!$B97)/100+('Levantamento dutos'!$C97)/100)*2)*'Levantamento dutos'!$D97,0),0)</f>
        <v>0</v>
      </c>
      <c r="D97">
        <f>IF('Levantamento dutos'!$B97&gt;Calculos!$Z$4,IF('Levantamento dutos'!$B97&lt;=Calculos!$Z$5,((('Levantamento dutos'!$B97)/100+('Levantamento dutos'!$C97)/100)*2)*'Levantamento dutos'!$D97,0),0)</f>
        <v>0</v>
      </c>
      <c r="E97">
        <f>IF('Levantamento dutos'!$B97&gt;Calculos!$Z$5,IF('Levantamento dutos'!$B97&lt;=Calculos!$Z$6,((('Levantamento dutos'!$B97)/100+('Levantamento dutos'!$C97)/100)*2)*'Levantamento dutos'!$D97,0),0)</f>
        <v>0</v>
      </c>
      <c r="F97" s="59">
        <f>IF('Levantamento dutos'!$B97&gt;Calculos!$Z$7,((('Levantamento dutos'!$B97)/100+('Levantamento dutos'!$C97)/100)*2)*'Levantamento dutos'!$D97,0)</f>
        <v>0</v>
      </c>
      <c r="G97">
        <f>(('Levantamento dutos'!B97+'Levantamento dutos'!C97)/100)*2</f>
        <v>0</v>
      </c>
      <c r="H97" s="58">
        <f>IF(CODE('Levantamento dutos'!$E97)=76,SUM($B97:$F97),0)</f>
        <v>0</v>
      </c>
      <c r="I97">
        <f>IF(CODE('Levantamento dutos'!$E97)=73,SUM($B97:$F97),0)</f>
        <v>0</v>
      </c>
      <c r="J97">
        <f>IF(CODE('Levantamento dutos'!$E97)=80,SUM($B97:$F97),0)</f>
        <v>0</v>
      </c>
      <c r="K97">
        <f>IF(CODE('Levantamento dutos'!$F97)=66,SUM($B97:$F97),0)</f>
        <v>0</v>
      </c>
      <c r="L97">
        <f>IF(CODE('Levantamento dutos'!$F97)=70,SUM($B97:$F97),0)</f>
        <v>0</v>
      </c>
      <c r="M97" s="59">
        <f>IF(CODE('Levantamento dutos'!$E97)=84,SUM($B97:$F97),0)</f>
        <v>0</v>
      </c>
      <c r="N97" s="60">
        <f>IF(CODE('Levantamento dutos'!$G97)=80,IF('Levantamento dutos'!$B97&lt;=200,('Levantamento dutos'!$D97/'Levantamento dutos'!$G$12*Calculos!$G97*2),0),0)</f>
        <v>0</v>
      </c>
      <c r="O97" s="60">
        <f>IF(CODE('Levantamento dutos'!$G97)=80,IF('Levantamento dutos'!$B97&gt;200,('Levantamento dutos'!$D97/'Levantamento dutos'!$G$12*Calculos!$G97*2),0),0)</f>
        <v>0</v>
      </c>
      <c r="P97" s="60">
        <f>IF(CODE('Levantamento dutos'!$G97)=67,('Levantamento dutos'!$D97/'Levantamento dutos'!$G$12*Calculos!$G97*2),0)</f>
        <v>0</v>
      </c>
      <c r="Q97" s="60">
        <f>IF(CODE('Levantamento dutos'!H97)=83,((('Levantamento dutos'!B97/100)+('Levantamento dutos'!$H$12/1000))+(('Levantamento dutos'!C97/100)+('Levantamento dutos'!$H$12)/1000))*2*'Levantamento dutos'!D97,0)</f>
        <v>0</v>
      </c>
      <c r="S97" s="60">
        <f>IF(CODE('Levantamento dutos'!$I97)=83,$Q97,0)</f>
        <v>0</v>
      </c>
      <c r="T97" s="60">
        <f>IF(CODE('Levantamento dutos'!$E97)=76,ROUND((('Levantamento dutos'!$D97/5)*(Calculos!$G97+0.2)*1.2),0),0)</f>
        <v>0</v>
      </c>
      <c r="U97" s="60">
        <f>IF(CODE('Levantamento dutos'!$E97)=73,ROUND((('Levantamento dutos'!$D97/0.5)*(Calculos!$G97+0.2)*1.2),0),0)</f>
        <v>0</v>
      </c>
      <c r="V97" s="60">
        <f>IF(CODE('Levantamento dutos'!$E97)=80,ROUND((('Levantamento dutos'!$D97/0.5)*(Calculos!$G97+0.2)*1.2),0),0)</f>
        <v>0</v>
      </c>
      <c r="W97" s="60">
        <f>IF(CODE('Levantamento dutos'!$E97)=76,'Levantamento dutos'!$D97/0.5*1.5,0)</f>
        <v>0</v>
      </c>
      <c r="X97" s="60">
        <f>IF(CODE('Levantamento dutos'!$E97)=73,'Levantamento dutos'!$D97/0.5*1.5,0)</f>
        <v>0</v>
      </c>
      <c r="Y97" s="60">
        <f>IF(CODE('Levantamento dutos'!$E97)=80,'Levantamento dutos'!$D97/0.5*1.5,0)</f>
        <v>0</v>
      </c>
      <c r="Z97" s="60">
        <f>IF(CODE('Levantamento dutos'!$E97)=76,ROUND(('Levantamento dutos'!$D97)+('Levantamento dutos'!$D97*Calculos!$G97*2)*1.1,0),0)</f>
        <v>0</v>
      </c>
      <c r="AA97" s="60">
        <f>IF(CODE('Levantamento dutos'!$G97)=80,('Levantamento dutos'!$D97/'Levantamento dutos'!$G$12)*8,0)</f>
        <v>0</v>
      </c>
      <c r="AB97" s="60">
        <f>IF(CODE('Levantamento dutos'!$G97)=80,IF('Levantamento dutos'!$B97&gt;30,('Levantamento dutos'!$D97/'Levantamento dutos'!$G$12)*4,0),0)</f>
        <v>0</v>
      </c>
      <c r="AC97" s="60">
        <f>IF('Levantamento dutos'!$B97&gt;220,('Levantamento dutos'!$D97/'Levantamento dutos'!$G$12*Calculos!$G97*2),0)</f>
        <v>0</v>
      </c>
      <c r="AD97" s="60">
        <f>IF(CODE('Levantamento dutos'!$E97)=73,((('Levantamento dutos'!$E$12/1000)+0.02)*'Levantamento dutos'!$D97)*4*1.3,0)</f>
        <v>0</v>
      </c>
      <c r="AE97" s="60">
        <f>IF(CODE('Levantamento dutos'!$E97)=80,((('Levantamento dutos'!$E$12/1000)+0.02)*'Levantamento dutos'!$D97)*4*1.3,0)</f>
        <v>0</v>
      </c>
    </row>
    <row r="98" spans="2:31" x14ac:dyDescent="0.2">
      <c r="B98" s="58">
        <f>IF('Levantamento dutos'!$B98&lt;=Calculos!$Z$3,((('Levantamento dutos'!$B98)/100+('Levantamento dutos'!$C98)/100)*2)*'Levantamento dutos'!$D98,0)</f>
        <v>0</v>
      </c>
      <c r="C98">
        <f>IF('Levantamento dutos'!$B98&gt;Calculos!$Z$3,IF('Levantamento dutos'!$B98&lt;=Calculos!$Z$4,((('Levantamento dutos'!$B98)/100+('Levantamento dutos'!$C98)/100)*2)*'Levantamento dutos'!$D98,0),0)</f>
        <v>0</v>
      </c>
      <c r="D98">
        <f>IF('Levantamento dutos'!$B98&gt;Calculos!$Z$4,IF('Levantamento dutos'!$B98&lt;=Calculos!$Z$5,((('Levantamento dutos'!$B98)/100+('Levantamento dutos'!$C98)/100)*2)*'Levantamento dutos'!$D98,0),0)</f>
        <v>0</v>
      </c>
      <c r="E98">
        <f>IF('Levantamento dutos'!$B98&gt;Calculos!$Z$5,IF('Levantamento dutos'!$B98&lt;=Calculos!$Z$6,((('Levantamento dutos'!$B98)/100+('Levantamento dutos'!$C98)/100)*2)*'Levantamento dutos'!$D98,0),0)</f>
        <v>0</v>
      </c>
      <c r="F98" s="59">
        <f>IF('Levantamento dutos'!$B98&gt;Calculos!$Z$7,((('Levantamento dutos'!$B98)/100+('Levantamento dutos'!$C98)/100)*2)*'Levantamento dutos'!$D98,0)</f>
        <v>0</v>
      </c>
      <c r="G98">
        <f>(('Levantamento dutos'!B98+'Levantamento dutos'!C98)/100)*2</f>
        <v>0</v>
      </c>
      <c r="H98" s="58">
        <f>IF(CODE('Levantamento dutos'!$E98)=76,SUM($B98:$F98),0)</f>
        <v>0</v>
      </c>
      <c r="I98">
        <f>IF(CODE('Levantamento dutos'!$E98)=73,SUM($B98:$F98),0)</f>
        <v>0</v>
      </c>
      <c r="J98">
        <f>IF(CODE('Levantamento dutos'!$E98)=80,SUM($B98:$F98),0)</f>
        <v>0</v>
      </c>
      <c r="K98">
        <f>IF(CODE('Levantamento dutos'!$F98)=66,SUM($B98:$F98),0)</f>
        <v>0</v>
      </c>
      <c r="L98">
        <f>IF(CODE('Levantamento dutos'!$F98)=70,SUM($B98:$F98),0)</f>
        <v>0</v>
      </c>
      <c r="M98" s="59">
        <f>IF(CODE('Levantamento dutos'!$E98)=84,SUM($B98:$F98),0)</f>
        <v>0</v>
      </c>
      <c r="N98" s="60">
        <f>IF(CODE('Levantamento dutos'!$G98)=80,IF('Levantamento dutos'!$B98&lt;=200,('Levantamento dutos'!$D98/'Levantamento dutos'!$G$12*Calculos!$G98*2),0),0)</f>
        <v>0</v>
      </c>
      <c r="O98" s="60">
        <f>IF(CODE('Levantamento dutos'!$G98)=80,IF('Levantamento dutos'!$B98&gt;200,('Levantamento dutos'!$D98/'Levantamento dutos'!$G$12*Calculos!$G98*2),0),0)</f>
        <v>0</v>
      </c>
      <c r="P98" s="60">
        <f>IF(CODE('Levantamento dutos'!$G98)=67,('Levantamento dutos'!$D98/'Levantamento dutos'!$G$12*Calculos!$G98*2),0)</f>
        <v>0</v>
      </c>
      <c r="Q98" s="60">
        <f>IF(CODE('Levantamento dutos'!H98)=83,((('Levantamento dutos'!B98/100)+('Levantamento dutos'!$H$12/1000))+(('Levantamento dutos'!C98/100)+('Levantamento dutos'!$H$12)/1000))*2*'Levantamento dutos'!D98,0)</f>
        <v>0</v>
      </c>
      <c r="S98" s="60">
        <f>IF(CODE('Levantamento dutos'!$I98)=83,$Q98,0)</f>
        <v>0</v>
      </c>
      <c r="T98" s="60">
        <f>IF(CODE('Levantamento dutos'!$E98)=76,ROUND((('Levantamento dutos'!$D98/5)*(Calculos!$G98+0.2)*1.2),0),0)</f>
        <v>0</v>
      </c>
      <c r="U98" s="60">
        <f>IF(CODE('Levantamento dutos'!$E98)=73,ROUND((('Levantamento dutos'!$D98/0.5)*(Calculos!$G98+0.2)*1.2),0),0)</f>
        <v>0</v>
      </c>
      <c r="V98" s="60">
        <f>IF(CODE('Levantamento dutos'!$E98)=80,ROUND((('Levantamento dutos'!$D98/0.5)*(Calculos!$G98+0.2)*1.2),0),0)</f>
        <v>0</v>
      </c>
      <c r="W98" s="60">
        <f>IF(CODE('Levantamento dutos'!$E98)=76,'Levantamento dutos'!$D98/0.5*1.5,0)</f>
        <v>0</v>
      </c>
      <c r="X98" s="60">
        <f>IF(CODE('Levantamento dutos'!$E98)=73,'Levantamento dutos'!$D98/0.5*1.5,0)</f>
        <v>0</v>
      </c>
      <c r="Y98" s="60">
        <f>IF(CODE('Levantamento dutos'!$E98)=80,'Levantamento dutos'!$D98/0.5*1.5,0)</f>
        <v>0</v>
      </c>
      <c r="Z98" s="60">
        <f>IF(CODE('Levantamento dutos'!$E98)=76,ROUND(('Levantamento dutos'!$D98)+('Levantamento dutos'!$D98*Calculos!$G98*2)*1.1,0),0)</f>
        <v>0</v>
      </c>
      <c r="AA98" s="60">
        <f>IF(CODE('Levantamento dutos'!$G98)=80,('Levantamento dutos'!$D98/'Levantamento dutos'!$G$12)*8,0)</f>
        <v>0</v>
      </c>
      <c r="AB98" s="60">
        <f>IF(CODE('Levantamento dutos'!$G98)=80,IF('Levantamento dutos'!$B98&gt;30,('Levantamento dutos'!$D98/'Levantamento dutos'!$G$12)*4,0),0)</f>
        <v>0</v>
      </c>
      <c r="AC98" s="60">
        <f>IF('Levantamento dutos'!$B98&gt;220,('Levantamento dutos'!$D98/'Levantamento dutos'!$G$12*Calculos!$G98*2),0)</f>
        <v>0</v>
      </c>
      <c r="AD98" s="60">
        <f>IF(CODE('Levantamento dutos'!$E98)=73,((('Levantamento dutos'!$E$12/1000)+0.02)*'Levantamento dutos'!$D98)*4*1.3,0)</f>
        <v>0</v>
      </c>
      <c r="AE98" s="60">
        <f>IF(CODE('Levantamento dutos'!$E98)=80,((('Levantamento dutos'!$E$12/1000)+0.02)*'Levantamento dutos'!$D98)*4*1.3,0)</f>
        <v>0</v>
      </c>
    </row>
    <row r="99" spans="2:31" x14ac:dyDescent="0.2">
      <c r="B99" s="58">
        <f>IF('Levantamento dutos'!$B99&lt;=Calculos!$Z$3,((('Levantamento dutos'!$B99)/100+('Levantamento dutos'!$C99)/100)*2)*'Levantamento dutos'!$D99,0)</f>
        <v>0</v>
      </c>
      <c r="C99">
        <f>IF('Levantamento dutos'!$B99&gt;Calculos!$Z$3,IF('Levantamento dutos'!$B99&lt;=Calculos!$Z$4,((('Levantamento dutos'!$B99)/100+('Levantamento dutos'!$C99)/100)*2)*'Levantamento dutos'!$D99,0),0)</f>
        <v>0</v>
      </c>
      <c r="D99">
        <f>IF('Levantamento dutos'!$B99&gt;Calculos!$Z$4,IF('Levantamento dutos'!$B99&lt;=Calculos!$Z$5,((('Levantamento dutos'!$B99)/100+('Levantamento dutos'!$C99)/100)*2)*'Levantamento dutos'!$D99,0),0)</f>
        <v>0</v>
      </c>
      <c r="E99">
        <f>IF('Levantamento dutos'!$B99&gt;Calculos!$Z$5,IF('Levantamento dutos'!$B99&lt;=Calculos!$Z$6,((('Levantamento dutos'!$B99)/100+('Levantamento dutos'!$C99)/100)*2)*'Levantamento dutos'!$D99,0),0)</f>
        <v>0</v>
      </c>
      <c r="F99" s="59">
        <f>IF('Levantamento dutos'!$B99&gt;Calculos!$Z$7,((('Levantamento dutos'!$B99)/100+('Levantamento dutos'!$C99)/100)*2)*'Levantamento dutos'!$D99,0)</f>
        <v>0</v>
      </c>
      <c r="G99">
        <f>(('Levantamento dutos'!B99+'Levantamento dutos'!C99)/100)*2</f>
        <v>0</v>
      </c>
      <c r="H99" s="58">
        <f>IF(CODE('Levantamento dutos'!$E99)=76,SUM($B99:$F99),0)</f>
        <v>0</v>
      </c>
      <c r="I99">
        <f>IF(CODE('Levantamento dutos'!$E99)=73,SUM($B99:$F99),0)</f>
        <v>0</v>
      </c>
      <c r="J99">
        <f>IF(CODE('Levantamento dutos'!$E99)=80,SUM($B99:$F99),0)</f>
        <v>0</v>
      </c>
      <c r="K99">
        <f>IF(CODE('Levantamento dutos'!$F99)=66,SUM($B99:$F99),0)</f>
        <v>0</v>
      </c>
      <c r="L99">
        <f>IF(CODE('Levantamento dutos'!$F99)=70,SUM($B99:$F99),0)</f>
        <v>0</v>
      </c>
      <c r="M99" s="59">
        <f>IF(CODE('Levantamento dutos'!$E99)=84,SUM($B99:$F99),0)</f>
        <v>0</v>
      </c>
      <c r="N99" s="60">
        <f>IF(CODE('Levantamento dutos'!$G99)=80,IF('Levantamento dutos'!$B99&lt;=200,('Levantamento dutos'!$D99/'Levantamento dutos'!$G$12*Calculos!$G99*2),0),0)</f>
        <v>0</v>
      </c>
      <c r="O99" s="60">
        <f>IF(CODE('Levantamento dutos'!$G99)=80,IF('Levantamento dutos'!$B99&gt;200,('Levantamento dutos'!$D99/'Levantamento dutos'!$G$12*Calculos!$G99*2),0),0)</f>
        <v>0</v>
      </c>
      <c r="P99" s="60">
        <f>IF(CODE('Levantamento dutos'!$G99)=67,('Levantamento dutos'!$D99/'Levantamento dutos'!$G$12*Calculos!$G99*2),0)</f>
        <v>0</v>
      </c>
      <c r="Q99" s="60">
        <f>IF(CODE('Levantamento dutos'!H99)=83,((('Levantamento dutos'!B99/100)+('Levantamento dutos'!$H$12/1000))+(('Levantamento dutos'!C99/100)+('Levantamento dutos'!$H$12)/1000))*2*'Levantamento dutos'!D99,0)</f>
        <v>0</v>
      </c>
      <c r="S99" s="60">
        <f>IF(CODE('Levantamento dutos'!$I99)=83,$Q99,0)</f>
        <v>0</v>
      </c>
      <c r="T99" s="60">
        <f>IF(CODE('Levantamento dutos'!$E99)=76,ROUND((('Levantamento dutos'!$D99/5)*(Calculos!$G99+0.2)*1.2),0),0)</f>
        <v>0</v>
      </c>
      <c r="U99" s="60">
        <f>IF(CODE('Levantamento dutos'!$E99)=73,ROUND((('Levantamento dutos'!$D99/0.5)*(Calculos!$G99+0.2)*1.2),0),0)</f>
        <v>0</v>
      </c>
      <c r="V99" s="60">
        <f>IF(CODE('Levantamento dutos'!$E99)=80,ROUND((('Levantamento dutos'!$D99/0.5)*(Calculos!$G99+0.2)*1.2),0),0)</f>
        <v>0</v>
      </c>
      <c r="W99" s="60">
        <f>IF(CODE('Levantamento dutos'!$E99)=76,'Levantamento dutos'!$D99/0.5*1.5,0)</f>
        <v>0</v>
      </c>
      <c r="X99" s="60">
        <f>IF(CODE('Levantamento dutos'!$E99)=73,'Levantamento dutos'!$D99/0.5*1.5,0)</f>
        <v>0</v>
      </c>
      <c r="Y99" s="60">
        <f>IF(CODE('Levantamento dutos'!$E99)=80,'Levantamento dutos'!$D99/0.5*1.5,0)</f>
        <v>0</v>
      </c>
      <c r="Z99" s="60">
        <f>IF(CODE('Levantamento dutos'!$E99)=76,ROUND(('Levantamento dutos'!$D99)+('Levantamento dutos'!$D99*Calculos!$G99*2)*1.1,0),0)</f>
        <v>0</v>
      </c>
      <c r="AA99" s="60">
        <f>IF(CODE('Levantamento dutos'!$G99)=80,('Levantamento dutos'!$D99/'Levantamento dutos'!$G$12)*8,0)</f>
        <v>0</v>
      </c>
      <c r="AB99" s="60">
        <f>IF(CODE('Levantamento dutos'!$G99)=80,IF('Levantamento dutos'!$B99&gt;30,('Levantamento dutos'!$D99/'Levantamento dutos'!$G$12)*4,0),0)</f>
        <v>0</v>
      </c>
      <c r="AC99" s="60">
        <f>IF('Levantamento dutos'!$B99&gt;220,('Levantamento dutos'!$D99/'Levantamento dutos'!$G$12*Calculos!$G99*2),0)</f>
        <v>0</v>
      </c>
      <c r="AD99" s="60">
        <f>IF(CODE('Levantamento dutos'!$E99)=73,((('Levantamento dutos'!$E$12/1000)+0.02)*'Levantamento dutos'!$D99)*4*1.3,0)</f>
        <v>0</v>
      </c>
      <c r="AE99" s="60">
        <f>IF(CODE('Levantamento dutos'!$E99)=80,((('Levantamento dutos'!$E$12/1000)+0.02)*'Levantamento dutos'!$D99)*4*1.3,0)</f>
        <v>0</v>
      </c>
    </row>
    <row r="100" spans="2:31" x14ac:dyDescent="0.2">
      <c r="B100" s="58">
        <f>IF('Levantamento dutos'!$B100&lt;=Calculos!$Z$3,((('Levantamento dutos'!$B100)/100+('Levantamento dutos'!$C100)/100)*2)*'Levantamento dutos'!$D100,0)</f>
        <v>0</v>
      </c>
      <c r="C100">
        <f>IF('Levantamento dutos'!$B100&gt;Calculos!$Z$3,IF('Levantamento dutos'!$B100&lt;=Calculos!$Z$4,((('Levantamento dutos'!$B100)/100+('Levantamento dutos'!$C100)/100)*2)*'Levantamento dutos'!$D100,0),0)</f>
        <v>0</v>
      </c>
      <c r="D100">
        <f>IF('Levantamento dutos'!$B100&gt;Calculos!$Z$4,IF('Levantamento dutos'!$B100&lt;=Calculos!$Z$5,((('Levantamento dutos'!$B100)/100+('Levantamento dutos'!$C100)/100)*2)*'Levantamento dutos'!$D100,0),0)</f>
        <v>0</v>
      </c>
      <c r="E100">
        <f>IF('Levantamento dutos'!$B100&gt;Calculos!$Z$5,IF('Levantamento dutos'!$B100&lt;=Calculos!$Z$6,((('Levantamento dutos'!$B100)/100+('Levantamento dutos'!$C100)/100)*2)*'Levantamento dutos'!$D100,0),0)</f>
        <v>0</v>
      </c>
      <c r="F100" s="59">
        <f>IF('Levantamento dutos'!$B100&gt;Calculos!$Z$7,((('Levantamento dutos'!$B100)/100+('Levantamento dutos'!$C100)/100)*2)*'Levantamento dutos'!$D100,0)</f>
        <v>0</v>
      </c>
      <c r="G100">
        <f>(('Levantamento dutos'!B100+'Levantamento dutos'!C100)/100)*2</f>
        <v>0</v>
      </c>
      <c r="H100" s="58">
        <f>IF(CODE('Levantamento dutos'!$E100)=76,SUM($B100:$F100),0)</f>
        <v>0</v>
      </c>
      <c r="I100">
        <f>IF(CODE('Levantamento dutos'!$E100)=73,SUM($B100:$F100),0)</f>
        <v>0</v>
      </c>
      <c r="J100">
        <f>IF(CODE('Levantamento dutos'!$E100)=80,SUM($B100:$F100),0)</f>
        <v>0</v>
      </c>
      <c r="K100">
        <f>IF(CODE('Levantamento dutos'!$F100)=66,SUM($B100:$F100),0)</f>
        <v>0</v>
      </c>
      <c r="L100">
        <f>IF(CODE('Levantamento dutos'!$F100)=70,SUM($B100:$F100),0)</f>
        <v>0</v>
      </c>
      <c r="M100" s="59">
        <f>IF(CODE('Levantamento dutos'!$E100)=84,SUM($B100:$F100),0)</f>
        <v>0</v>
      </c>
      <c r="N100" s="60">
        <f>IF(CODE('Levantamento dutos'!$G100)=80,IF('Levantamento dutos'!$B100&lt;=200,('Levantamento dutos'!$D100/'Levantamento dutos'!$G$12*Calculos!$G100*2),0),0)</f>
        <v>0</v>
      </c>
      <c r="O100" s="60">
        <f>IF(CODE('Levantamento dutos'!$G100)=80,IF('Levantamento dutos'!$B100&gt;200,('Levantamento dutos'!$D100/'Levantamento dutos'!$G$12*Calculos!$G100*2),0),0)</f>
        <v>0</v>
      </c>
      <c r="P100" s="60">
        <f>IF(CODE('Levantamento dutos'!$G100)=67,('Levantamento dutos'!$D100/'Levantamento dutos'!$G$12*Calculos!$G100*2),0)</f>
        <v>0</v>
      </c>
      <c r="Q100" s="60">
        <f>IF(CODE('Levantamento dutos'!H100)=83,((('Levantamento dutos'!B100/100)+('Levantamento dutos'!$H$12/1000))+(('Levantamento dutos'!C100/100)+('Levantamento dutos'!$H$12)/1000))*2*'Levantamento dutos'!D100,0)</f>
        <v>0</v>
      </c>
      <c r="S100" s="60">
        <f>IF(CODE('Levantamento dutos'!$I100)=83,$Q100,0)</f>
        <v>0</v>
      </c>
      <c r="T100" s="60">
        <f>IF(CODE('Levantamento dutos'!$E100)=76,ROUND((('Levantamento dutos'!$D100/5)*(Calculos!$G100+0.2)*1.2),0),0)</f>
        <v>0</v>
      </c>
      <c r="U100" s="60">
        <f>IF(CODE('Levantamento dutos'!$E100)=73,ROUND((('Levantamento dutos'!$D100/0.5)*(Calculos!$G100+0.2)*1.2),0),0)</f>
        <v>0</v>
      </c>
      <c r="V100" s="60">
        <f>IF(CODE('Levantamento dutos'!$E100)=80,ROUND((('Levantamento dutos'!$D100/0.5)*(Calculos!$G100+0.2)*1.2),0),0)</f>
        <v>0</v>
      </c>
      <c r="W100" s="60">
        <f>IF(CODE('Levantamento dutos'!$E100)=76,'Levantamento dutos'!$D100/0.5*1.5,0)</f>
        <v>0</v>
      </c>
      <c r="X100" s="60">
        <f>IF(CODE('Levantamento dutos'!$E100)=73,'Levantamento dutos'!$D100/0.5*1.5,0)</f>
        <v>0</v>
      </c>
      <c r="Y100" s="60">
        <f>IF(CODE('Levantamento dutos'!$E100)=80,'Levantamento dutos'!$D100/0.5*1.5,0)</f>
        <v>0</v>
      </c>
      <c r="Z100" s="60">
        <f>IF(CODE('Levantamento dutos'!$E100)=76,ROUND(('Levantamento dutos'!$D100)+('Levantamento dutos'!$D100*Calculos!$G100*2)*1.1,0),0)</f>
        <v>0</v>
      </c>
      <c r="AA100" s="60">
        <f>IF(CODE('Levantamento dutos'!$G100)=80,('Levantamento dutos'!$D100/'Levantamento dutos'!$G$12)*8,0)</f>
        <v>0</v>
      </c>
      <c r="AB100" s="60">
        <f>IF(CODE('Levantamento dutos'!$G100)=80,IF('Levantamento dutos'!$B100&gt;30,('Levantamento dutos'!$D100/'Levantamento dutos'!$G$12)*4,0),0)</f>
        <v>0</v>
      </c>
      <c r="AC100" s="60">
        <f>IF('Levantamento dutos'!$B100&gt;220,('Levantamento dutos'!$D100/'Levantamento dutos'!$G$12*Calculos!$G100*2),0)</f>
        <v>0</v>
      </c>
      <c r="AD100" s="60">
        <f>IF(CODE('Levantamento dutos'!$E100)=73,((('Levantamento dutos'!$E$12/1000)+0.02)*'Levantamento dutos'!$D100)*4*1.3,0)</f>
        <v>0</v>
      </c>
      <c r="AE100" s="60">
        <f>IF(CODE('Levantamento dutos'!$E100)=80,((('Levantamento dutos'!$E$12/1000)+0.02)*'Levantamento dutos'!$D100)*4*1.3,0)</f>
        <v>0</v>
      </c>
    </row>
    <row r="101" spans="2:31" x14ac:dyDescent="0.2">
      <c r="B101" s="58">
        <f>IF('Levantamento dutos'!$B101&lt;=Calculos!$Z$3,((('Levantamento dutos'!$B101)/100+('Levantamento dutos'!$C101)/100)*2)*'Levantamento dutos'!$D101,0)</f>
        <v>0</v>
      </c>
      <c r="C101">
        <f>IF('Levantamento dutos'!$B101&gt;Calculos!$Z$3,IF('Levantamento dutos'!$B101&lt;=Calculos!$Z$4,((('Levantamento dutos'!$B101)/100+('Levantamento dutos'!$C101)/100)*2)*'Levantamento dutos'!$D101,0),0)</f>
        <v>0</v>
      </c>
      <c r="D101">
        <f>IF('Levantamento dutos'!$B101&gt;Calculos!$Z$4,IF('Levantamento dutos'!$B101&lt;=Calculos!$Z$5,((('Levantamento dutos'!$B101)/100+('Levantamento dutos'!$C101)/100)*2)*'Levantamento dutos'!$D101,0),0)</f>
        <v>0</v>
      </c>
      <c r="E101">
        <f>IF('Levantamento dutos'!$B101&gt;Calculos!$Z$5,IF('Levantamento dutos'!$B101&lt;=Calculos!$Z$6,((('Levantamento dutos'!$B101)/100+('Levantamento dutos'!$C101)/100)*2)*'Levantamento dutos'!$D101,0),0)</f>
        <v>0</v>
      </c>
      <c r="F101" s="59">
        <f>IF('Levantamento dutos'!$B101&gt;Calculos!$Z$7,((('Levantamento dutos'!$B101)/100+('Levantamento dutos'!$C101)/100)*2)*'Levantamento dutos'!$D101,0)</f>
        <v>0</v>
      </c>
      <c r="G101">
        <f>(('Levantamento dutos'!B101+'Levantamento dutos'!C101)/100)*2</f>
        <v>0</v>
      </c>
      <c r="H101" s="58">
        <f>IF(CODE('Levantamento dutos'!$E101)=76,SUM($B101:$F101),0)</f>
        <v>0</v>
      </c>
      <c r="I101">
        <f>IF(CODE('Levantamento dutos'!$E101)=73,SUM($B101:$F101),0)</f>
        <v>0</v>
      </c>
      <c r="J101">
        <f>IF(CODE('Levantamento dutos'!$E101)=80,SUM($B101:$F101),0)</f>
        <v>0</v>
      </c>
      <c r="K101">
        <f>IF(CODE('Levantamento dutos'!$F101)=66,SUM($B101:$F101),0)</f>
        <v>0</v>
      </c>
      <c r="L101">
        <f>IF(CODE('Levantamento dutos'!$F101)=70,SUM($B101:$F101),0)</f>
        <v>0</v>
      </c>
      <c r="M101" s="59">
        <f>IF(CODE('Levantamento dutos'!$E101)=84,SUM($B101:$F101),0)</f>
        <v>0</v>
      </c>
      <c r="N101" s="60">
        <f>IF(CODE('Levantamento dutos'!$G101)=80,IF('Levantamento dutos'!$B101&lt;=200,('Levantamento dutos'!$D101/'Levantamento dutos'!$G$12*Calculos!$G101*2),0),0)</f>
        <v>0</v>
      </c>
      <c r="O101" s="60">
        <f>IF(CODE('Levantamento dutos'!$G101)=80,IF('Levantamento dutos'!$B101&gt;200,('Levantamento dutos'!$D101/'Levantamento dutos'!$G$12*Calculos!$G101*2),0),0)</f>
        <v>0</v>
      </c>
      <c r="P101" s="60">
        <f>IF(CODE('Levantamento dutos'!$G101)=67,('Levantamento dutos'!$D101/'Levantamento dutos'!$G$12*Calculos!$G101*2),0)</f>
        <v>0</v>
      </c>
      <c r="Q101" s="60">
        <f>IF(CODE('Levantamento dutos'!H101)=83,((('Levantamento dutos'!B101/100)+('Levantamento dutos'!$H$12/1000))+(('Levantamento dutos'!C101/100)+('Levantamento dutos'!$H$12)/1000))*2*'Levantamento dutos'!D101,0)</f>
        <v>0</v>
      </c>
      <c r="S101" s="60">
        <f>IF(CODE('Levantamento dutos'!$I101)=83,$Q101,0)</f>
        <v>0</v>
      </c>
      <c r="T101" s="60">
        <f>IF(CODE('Levantamento dutos'!$E101)=76,ROUND((('Levantamento dutos'!$D101/5)*(Calculos!$G101+0.2)*1.2),0),0)</f>
        <v>0</v>
      </c>
      <c r="U101" s="60">
        <f>IF(CODE('Levantamento dutos'!$E101)=73,ROUND((('Levantamento dutos'!$D101/0.5)*(Calculos!$G101+0.2)*1.2),0),0)</f>
        <v>0</v>
      </c>
      <c r="V101" s="60">
        <f>IF(CODE('Levantamento dutos'!$E101)=80,ROUND((('Levantamento dutos'!$D101/0.5)*(Calculos!$G101+0.2)*1.2),0),0)</f>
        <v>0</v>
      </c>
      <c r="W101" s="60">
        <f>IF(CODE('Levantamento dutos'!$E101)=76,'Levantamento dutos'!$D101/0.5*1.5,0)</f>
        <v>0</v>
      </c>
      <c r="X101" s="60">
        <f>IF(CODE('Levantamento dutos'!$E101)=73,'Levantamento dutos'!$D101/0.5*1.5,0)</f>
        <v>0</v>
      </c>
      <c r="Y101" s="60">
        <f>IF(CODE('Levantamento dutos'!$E101)=80,'Levantamento dutos'!$D101/0.5*1.5,0)</f>
        <v>0</v>
      </c>
      <c r="Z101" s="60">
        <f>IF(CODE('Levantamento dutos'!$E101)=76,ROUND(('Levantamento dutos'!$D101)+('Levantamento dutos'!$D101*Calculos!$G101*2)*1.1,0),0)</f>
        <v>0</v>
      </c>
      <c r="AA101" s="60">
        <f>IF(CODE('Levantamento dutos'!$G101)=80,('Levantamento dutos'!$D101/'Levantamento dutos'!$G$12)*8,0)</f>
        <v>0</v>
      </c>
      <c r="AB101" s="60">
        <f>IF(CODE('Levantamento dutos'!$G101)=80,IF('Levantamento dutos'!$B101&gt;30,('Levantamento dutos'!$D101/'Levantamento dutos'!$G$12)*4,0),0)</f>
        <v>0</v>
      </c>
      <c r="AC101" s="60">
        <f>IF('Levantamento dutos'!$B101&gt;220,('Levantamento dutos'!$D101/'Levantamento dutos'!$G$12*Calculos!$G101*2),0)</f>
        <v>0</v>
      </c>
      <c r="AD101" s="60">
        <f>IF(CODE('Levantamento dutos'!$E101)=73,((('Levantamento dutos'!$E$12/1000)+0.02)*'Levantamento dutos'!$D101)*4*1.3,0)</f>
        <v>0</v>
      </c>
      <c r="AE101" s="60">
        <f>IF(CODE('Levantamento dutos'!$E101)=80,((('Levantamento dutos'!$E$12/1000)+0.02)*'Levantamento dutos'!$D101)*4*1.3,0)</f>
        <v>0</v>
      </c>
    </row>
    <row r="102" spans="2:31" x14ac:dyDescent="0.2">
      <c r="B102" s="58">
        <f>IF('Levantamento dutos'!$B102&lt;=Calculos!$Z$3,((('Levantamento dutos'!$B102)/100+('Levantamento dutos'!$C102)/100)*2)*'Levantamento dutos'!$D102,0)</f>
        <v>0</v>
      </c>
      <c r="C102">
        <f>IF('Levantamento dutos'!$B102&gt;Calculos!$Z$3,IF('Levantamento dutos'!$B102&lt;=Calculos!$Z$4,((('Levantamento dutos'!$B102)/100+('Levantamento dutos'!$C102)/100)*2)*'Levantamento dutos'!$D102,0),0)</f>
        <v>0</v>
      </c>
      <c r="D102">
        <f>IF('Levantamento dutos'!$B102&gt;Calculos!$Z$4,IF('Levantamento dutos'!$B102&lt;=Calculos!$Z$5,((('Levantamento dutos'!$B102)/100+('Levantamento dutos'!$C102)/100)*2)*'Levantamento dutos'!$D102,0),0)</f>
        <v>0</v>
      </c>
      <c r="E102">
        <f>IF('Levantamento dutos'!$B102&gt;Calculos!$Z$5,IF('Levantamento dutos'!$B102&lt;=Calculos!$Z$6,((('Levantamento dutos'!$B102)/100+('Levantamento dutos'!$C102)/100)*2)*'Levantamento dutos'!$D102,0),0)</f>
        <v>0</v>
      </c>
      <c r="F102" s="59">
        <f>IF('Levantamento dutos'!$B102&gt;Calculos!$Z$7,((('Levantamento dutos'!$B102)/100+('Levantamento dutos'!$C102)/100)*2)*'Levantamento dutos'!$D102,0)</f>
        <v>0</v>
      </c>
      <c r="G102">
        <f>(('Levantamento dutos'!B102+'Levantamento dutos'!C102)/100)*2</f>
        <v>0</v>
      </c>
      <c r="H102" s="58">
        <f>IF(CODE('Levantamento dutos'!$E102)=76,SUM($B102:$F102),0)</f>
        <v>0</v>
      </c>
      <c r="I102">
        <f>IF(CODE('Levantamento dutos'!$E102)=73,SUM($B102:$F102),0)</f>
        <v>0</v>
      </c>
      <c r="J102">
        <f>IF(CODE('Levantamento dutos'!$E102)=80,SUM($B102:$F102),0)</f>
        <v>0</v>
      </c>
      <c r="K102">
        <f>IF(CODE('Levantamento dutos'!$F102)=66,SUM($B102:$F102),0)</f>
        <v>0</v>
      </c>
      <c r="L102">
        <f>IF(CODE('Levantamento dutos'!$F102)=70,SUM($B102:$F102),0)</f>
        <v>0</v>
      </c>
      <c r="M102" s="59">
        <f>IF(CODE('Levantamento dutos'!$E102)=84,SUM($B102:$F102),0)</f>
        <v>0</v>
      </c>
      <c r="N102" s="60">
        <f>IF(CODE('Levantamento dutos'!$G102)=80,IF('Levantamento dutos'!$B102&lt;=200,('Levantamento dutos'!$D102/'Levantamento dutos'!$G$12*Calculos!$G102*2),0),0)</f>
        <v>0</v>
      </c>
      <c r="O102" s="60">
        <f>IF(CODE('Levantamento dutos'!$G102)=80,IF('Levantamento dutos'!$B102&gt;200,('Levantamento dutos'!$D102/'Levantamento dutos'!$G$12*Calculos!$G102*2),0),0)</f>
        <v>0</v>
      </c>
      <c r="P102" s="60">
        <f>IF(CODE('Levantamento dutos'!$G102)=67,('Levantamento dutos'!$D102/'Levantamento dutos'!$G$12*Calculos!$G102*2),0)</f>
        <v>0</v>
      </c>
      <c r="Q102" s="60">
        <f>IF(CODE('Levantamento dutos'!H102)=83,((('Levantamento dutos'!B102/100)+('Levantamento dutos'!$H$12/1000))+(('Levantamento dutos'!C102/100)+('Levantamento dutos'!$H$12)/1000))*2*'Levantamento dutos'!D102,0)</f>
        <v>0</v>
      </c>
      <c r="S102" s="60">
        <f>IF(CODE('Levantamento dutos'!$I102)=83,$Q102,0)</f>
        <v>0</v>
      </c>
      <c r="T102" s="60">
        <f>IF(CODE('Levantamento dutos'!$E102)=76,ROUND((('Levantamento dutos'!$D102/5)*(Calculos!$G102+0.2)*1.2),0),0)</f>
        <v>0</v>
      </c>
      <c r="U102" s="60">
        <f>IF(CODE('Levantamento dutos'!$E102)=73,ROUND((('Levantamento dutos'!$D102/0.5)*(Calculos!$G102+0.2)*1.2),0),0)</f>
        <v>0</v>
      </c>
      <c r="V102" s="60">
        <f>IF(CODE('Levantamento dutos'!$E102)=80,ROUND((('Levantamento dutos'!$D102/0.5)*(Calculos!$G102+0.2)*1.2),0),0)</f>
        <v>0</v>
      </c>
      <c r="W102" s="60">
        <f>IF(CODE('Levantamento dutos'!$E102)=76,'Levantamento dutos'!$D102/0.5*1.5,0)</f>
        <v>0</v>
      </c>
      <c r="X102" s="60">
        <f>IF(CODE('Levantamento dutos'!$E102)=73,'Levantamento dutos'!$D102/0.5*1.5,0)</f>
        <v>0</v>
      </c>
      <c r="Y102" s="60">
        <f>IF(CODE('Levantamento dutos'!$E102)=80,'Levantamento dutos'!$D102/0.5*1.5,0)</f>
        <v>0</v>
      </c>
      <c r="Z102" s="60">
        <f>IF(CODE('Levantamento dutos'!$E102)=76,ROUND(('Levantamento dutos'!$D102)+('Levantamento dutos'!$D102*Calculos!$G102*2)*1.1,0),0)</f>
        <v>0</v>
      </c>
      <c r="AA102" s="60">
        <f>IF(CODE('Levantamento dutos'!$G102)=80,('Levantamento dutos'!$D102/'Levantamento dutos'!$G$12)*8,0)</f>
        <v>0</v>
      </c>
      <c r="AB102" s="60">
        <f>IF(CODE('Levantamento dutos'!$G102)=80,IF('Levantamento dutos'!$B102&gt;30,('Levantamento dutos'!$D102/'Levantamento dutos'!$G$12)*4,0),0)</f>
        <v>0</v>
      </c>
      <c r="AC102" s="60">
        <f>IF('Levantamento dutos'!$B102&gt;220,('Levantamento dutos'!$D102/'Levantamento dutos'!$G$12*Calculos!$G102*2),0)</f>
        <v>0</v>
      </c>
      <c r="AD102" s="60">
        <f>IF(CODE('Levantamento dutos'!$E102)=73,((('Levantamento dutos'!$E$12/1000)+0.02)*'Levantamento dutos'!$D102)*4*1.3,0)</f>
        <v>0</v>
      </c>
      <c r="AE102" s="60">
        <f>IF(CODE('Levantamento dutos'!$E102)=80,((('Levantamento dutos'!$E$12/1000)+0.02)*'Levantamento dutos'!$D102)*4*1.3,0)</f>
        <v>0</v>
      </c>
    </row>
    <row r="103" spans="2:31" x14ac:dyDescent="0.2">
      <c r="B103" s="58">
        <f>IF('Levantamento dutos'!$B103&lt;=Calculos!$Z$3,((('Levantamento dutos'!$B103)/100+('Levantamento dutos'!$C103)/100)*2)*'Levantamento dutos'!$D103,0)</f>
        <v>0</v>
      </c>
      <c r="C103">
        <f>IF('Levantamento dutos'!$B103&gt;Calculos!$Z$3,IF('Levantamento dutos'!$B103&lt;=Calculos!$Z$4,((('Levantamento dutos'!$B103)/100+('Levantamento dutos'!$C103)/100)*2)*'Levantamento dutos'!$D103,0),0)</f>
        <v>0</v>
      </c>
      <c r="D103">
        <f>IF('Levantamento dutos'!$B103&gt;Calculos!$Z$4,IF('Levantamento dutos'!$B103&lt;=Calculos!$Z$5,((('Levantamento dutos'!$B103)/100+('Levantamento dutos'!$C103)/100)*2)*'Levantamento dutos'!$D103,0),0)</f>
        <v>0</v>
      </c>
      <c r="E103">
        <f>IF('Levantamento dutos'!$B103&gt;Calculos!$Z$5,IF('Levantamento dutos'!$B103&lt;=Calculos!$Z$6,((('Levantamento dutos'!$B103)/100+('Levantamento dutos'!$C103)/100)*2)*'Levantamento dutos'!$D103,0),0)</f>
        <v>0</v>
      </c>
      <c r="F103" s="59">
        <f>IF('Levantamento dutos'!$B103&gt;Calculos!$Z$7,((('Levantamento dutos'!$B103)/100+('Levantamento dutos'!$C103)/100)*2)*'Levantamento dutos'!$D103,0)</f>
        <v>0</v>
      </c>
      <c r="G103">
        <f>(('Levantamento dutos'!B103+'Levantamento dutos'!C103)/100)*2</f>
        <v>0</v>
      </c>
      <c r="H103" s="58">
        <f>IF(CODE('Levantamento dutos'!$E103)=76,SUM($B103:$F103),0)</f>
        <v>0</v>
      </c>
      <c r="I103">
        <f>IF(CODE('Levantamento dutos'!$E103)=73,SUM($B103:$F103),0)</f>
        <v>0</v>
      </c>
      <c r="J103">
        <f>IF(CODE('Levantamento dutos'!$E103)=80,SUM($B103:$F103),0)</f>
        <v>0</v>
      </c>
      <c r="K103">
        <f>IF(CODE('Levantamento dutos'!$F103)=66,SUM($B103:$F103),0)</f>
        <v>0</v>
      </c>
      <c r="L103">
        <f>IF(CODE('Levantamento dutos'!$F103)=70,SUM($B103:$F103),0)</f>
        <v>0</v>
      </c>
      <c r="M103" s="59">
        <f>IF(CODE('Levantamento dutos'!$E103)=84,SUM($B103:$F103),0)</f>
        <v>0</v>
      </c>
      <c r="N103" s="60">
        <f>IF(CODE('Levantamento dutos'!$G103)=80,IF('Levantamento dutos'!$B103&lt;=200,('Levantamento dutos'!$D103/'Levantamento dutos'!$G$12*Calculos!$G103*2),0),0)</f>
        <v>0</v>
      </c>
      <c r="O103" s="60">
        <f>IF(CODE('Levantamento dutos'!$G103)=80,IF('Levantamento dutos'!$B103&gt;200,('Levantamento dutos'!$D103/'Levantamento dutos'!$G$12*Calculos!$G103*2),0),0)</f>
        <v>0</v>
      </c>
      <c r="P103" s="60">
        <f>IF(CODE('Levantamento dutos'!$G103)=67,('Levantamento dutos'!$D103/'Levantamento dutos'!$G$12*Calculos!$G103*2),0)</f>
        <v>0</v>
      </c>
      <c r="Q103" s="60">
        <f>IF(CODE('Levantamento dutos'!H103)=83,((('Levantamento dutos'!B103/100)+('Levantamento dutos'!$H$12/1000))+(('Levantamento dutos'!C103/100)+('Levantamento dutos'!$H$12)/1000))*2*'Levantamento dutos'!D103,0)</f>
        <v>0</v>
      </c>
      <c r="S103" s="60">
        <f>IF(CODE('Levantamento dutos'!$I103)=83,$Q103,0)</f>
        <v>0</v>
      </c>
      <c r="T103" s="60">
        <f>IF(CODE('Levantamento dutos'!$E103)=76,ROUND((('Levantamento dutos'!$D103/5)*(Calculos!$G103+0.2)*1.2),0),0)</f>
        <v>0</v>
      </c>
      <c r="U103" s="60">
        <f>IF(CODE('Levantamento dutos'!$E103)=73,ROUND((('Levantamento dutos'!$D103/0.5)*(Calculos!$G103+0.2)*1.2),0),0)</f>
        <v>0</v>
      </c>
      <c r="V103" s="60">
        <f>IF(CODE('Levantamento dutos'!$E103)=80,ROUND((('Levantamento dutos'!$D103/0.5)*(Calculos!$G103+0.2)*1.2),0),0)</f>
        <v>0</v>
      </c>
      <c r="W103" s="60">
        <f>IF(CODE('Levantamento dutos'!$E103)=76,'Levantamento dutos'!$D103/0.5*1.5,0)</f>
        <v>0</v>
      </c>
      <c r="X103" s="60">
        <f>IF(CODE('Levantamento dutos'!$E103)=73,'Levantamento dutos'!$D103/0.5*1.5,0)</f>
        <v>0</v>
      </c>
      <c r="Y103" s="60">
        <f>IF(CODE('Levantamento dutos'!$E103)=80,'Levantamento dutos'!$D103/0.5*1.5,0)</f>
        <v>0</v>
      </c>
      <c r="Z103" s="60">
        <f>IF(CODE('Levantamento dutos'!$E103)=76,ROUND(('Levantamento dutos'!$D103)+('Levantamento dutos'!$D103*Calculos!$G103*2)*1.1,0),0)</f>
        <v>0</v>
      </c>
      <c r="AA103" s="60">
        <f>IF(CODE('Levantamento dutos'!$G103)=80,('Levantamento dutos'!$D103/'Levantamento dutos'!$G$12)*8,0)</f>
        <v>0</v>
      </c>
      <c r="AB103" s="60">
        <f>IF(CODE('Levantamento dutos'!$G103)=80,IF('Levantamento dutos'!$B103&gt;30,('Levantamento dutos'!$D103/'Levantamento dutos'!$G$12)*4,0),0)</f>
        <v>0</v>
      </c>
      <c r="AC103" s="60">
        <f>IF('Levantamento dutos'!$B103&gt;220,('Levantamento dutos'!$D103/'Levantamento dutos'!$G$12*Calculos!$G103*2),0)</f>
        <v>0</v>
      </c>
      <c r="AD103" s="60">
        <f>IF(CODE('Levantamento dutos'!$E103)=73,((('Levantamento dutos'!$E$12/1000)+0.02)*'Levantamento dutos'!$D103)*4*1.3,0)</f>
        <v>0</v>
      </c>
      <c r="AE103" s="60">
        <f>IF(CODE('Levantamento dutos'!$E103)=80,((('Levantamento dutos'!$E$12/1000)+0.02)*'Levantamento dutos'!$D103)*4*1.3,0)</f>
        <v>0</v>
      </c>
    </row>
    <row r="104" spans="2:31" x14ac:dyDescent="0.2">
      <c r="B104" s="58">
        <f>IF('Levantamento dutos'!$B104&lt;=Calculos!$Z$3,((('Levantamento dutos'!$B104)/100+('Levantamento dutos'!$C104)/100)*2)*'Levantamento dutos'!$D104,0)</f>
        <v>0</v>
      </c>
      <c r="C104">
        <f>IF('Levantamento dutos'!$B104&gt;Calculos!$Z$3,IF('Levantamento dutos'!$B104&lt;=Calculos!$Z$4,((('Levantamento dutos'!$B104)/100+('Levantamento dutos'!$C104)/100)*2)*'Levantamento dutos'!$D104,0),0)</f>
        <v>0</v>
      </c>
      <c r="D104">
        <f>IF('Levantamento dutos'!$B104&gt;Calculos!$Z$4,IF('Levantamento dutos'!$B104&lt;=Calculos!$Z$5,((('Levantamento dutos'!$B104)/100+('Levantamento dutos'!$C104)/100)*2)*'Levantamento dutos'!$D104,0),0)</f>
        <v>0</v>
      </c>
      <c r="E104">
        <f>IF('Levantamento dutos'!$B104&gt;Calculos!$Z$5,IF('Levantamento dutos'!$B104&lt;=Calculos!$Z$6,((('Levantamento dutos'!$B104)/100+('Levantamento dutos'!$C104)/100)*2)*'Levantamento dutos'!$D104,0),0)</f>
        <v>0</v>
      </c>
      <c r="F104" s="59">
        <f>IF('Levantamento dutos'!$B104&gt;Calculos!$Z$7,((('Levantamento dutos'!$B104)/100+('Levantamento dutos'!$C104)/100)*2)*'Levantamento dutos'!$D104,0)</f>
        <v>0</v>
      </c>
      <c r="G104">
        <f>(('Levantamento dutos'!B104+'Levantamento dutos'!C104)/100)*2</f>
        <v>0</v>
      </c>
      <c r="H104" s="58">
        <f>IF(CODE('Levantamento dutos'!$E104)=76,SUM($B104:$F104),0)</f>
        <v>0</v>
      </c>
      <c r="I104">
        <f>IF(CODE('Levantamento dutos'!$E104)=73,SUM($B104:$F104),0)</f>
        <v>0</v>
      </c>
      <c r="J104">
        <f>IF(CODE('Levantamento dutos'!$E104)=80,SUM($B104:$F104),0)</f>
        <v>0</v>
      </c>
      <c r="K104">
        <f>IF(CODE('Levantamento dutos'!$F104)=66,SUM($B104:$F104),0)</f>
        <v>0</v>
      </c>
      <c r="L104">
        <f>IF(CODE('Levantamento dutos'!$F104)=70,SUM($B104:$F104),0)</f>
        <v>0</v>
      </c>
      <c r="M104" s="59">
        <f>IF(CODE('Levantamento dutos'!$E104)=84,SUM($B104:$F104),0)</f>
        <v>0</v>
      </c>
      <c r="N104" s="60">
        <f>IF(CODE('Levantamento dutos'!$G104)=80,IF('Levantamento dutos'!$B104&lt;=200,('Levantamento dutos'!$D104/'Levantamento dutos'!$G$12*Calculos!$G104*2),0),0)</f>
        <v>0</v>
      </c>
      <c r="O104" s="60">
        <f>IF(CODE('Levantamento dutos'!$G104)=80,IF('Levantamento dutos'!$B104&gt;200,('Levantamento dutos'!$D104/'Levantamento dutos'!$G$12*Calculos!$G104*2),0),0)</f>
        <v>0</v>
      </c>
      <c r="P104" s="60">
        <f>IF(CODE('Levantamento dutos'!$G104)=67,('Levantamento dutos'!$D104/'Levantamento dutos'!$G$12*Calculos!$G104*2),0)</f>
        <v>0</v>
      </c>
      <c r="Q104" s="60">
        <f>IF(CODE('Levantamento dutos'!H104)=83,((('Levantamento dutos'!B104/100)+('Levantamento dutos'!$H$12/1000))+(('Levantamento dutos'!C104/100)+('Levantamento dutos'!$H$12)/1000))*2*'Levantamento dutos'!D104,0)</f>
        <v>0</v>
      </c>
      <c r="S104" s="60">
        <f>IF(CODE('Levantamento dutos'!$I104)=83,$Q104,0)</f>
        <v>0</v>
      </c>
      <c r="T104" s="60">
        <f>IF(CODE('Levantamento dutos'!$E104)=76,ROUND((('Levantamento dutos'!$D104/5)*(Calculos!$G104+0.2)*1.2),0),0)</f>
        <v>0</v>
      </c>
      <c r="U104" s="60">
        <f>IF(CODE('Levantamento dutos'!$E104)=73,ROUND((('Levantamento dutos'!$D104/0.5)*(Calculos!$G104+0.2)*1.2),0),0)</f>
        <v>0</v>
      </c>
      <c r="V104" s="60">
        <f>IF(CODE('Levantamento dutos'!$E104)=80,ROUND((('Levantamento dutos'!$D104/0.5)*(Calculos!$G104+0.2)*1.2),0),0)</f>
        <v>0</v>
      </c>
      <c r="W104" s="60">
        <f>IF(CODE('Levantamento dutos'!$E104)=76,'Levantamento dutos'!$D104/0.5*1.5,0)</f>
        <v>0</v>
      </c>
      <c r="X104" s="60">
        <f>IF(CODE('Levantamento dutos'!$E104)=73,'Levantamento dutos'!$D104/0.5*1.5,0)</f>
        <v>0</v>
      </c>
      <c r="Y104" s="60">
        <f>IF(CODE('Levantamento dutos'!$E104)=80,'Levantamento dutos'!$D104/0.5*1.5,0)</f>
        <v>0</v>
      </c>
      <c r="Z104" s="60">
        <f>IF(CODE('Levantamento dutos'!$E104)=76,ROUND(('Levantamento dutos'!$D104)+('Levantamento dutos'!$D104*Calculos!$G104*2)*1.1,0),0)</f>
        <v>0</v>
      </c>
      <c r="AA104" s="60">
        <f>IF(CODE('Levantamento dutos'!$G104)=80,('Levantamento dutos'!$D104/'Levantamento dutos'!$G$12)*8,0)</f>
        <v>0</v>
      </c>
      <c r="AB104" s="60">
        <f>IF(CODE('Levantamento dutos'!$G104)=80,IF('Levantamento dutos'!$B104&gt;30,('Levantamento dutos'!$D104/'Levantamento dutos'!$G$12)*4,0),0)</f>
        <v>0</v>
      </c>
      <c r="AC104" s="60">
        <f>IF('Levantamento dutos'!$B104&gt;220,('Levantamento dutos'!$D104/'Levantamento dutos'!$G$12*Calculos!$G104*2),0)</f>
        <v>0</v>
      </c>
      <c r="AD104" s="60">
        <f>IF(CODE('Levantamento dutos'!$E104)=73,((('Levantamento dutos'!$E$12/1000)+0.02)*'Levantamento dutos'!$D104)*4*1.3,0)</f>
        <v>0</v>
      </c>
      <c r="AE104" s="60">
        <f>IF(CODE('Levantamento dutos'!$E104)=80,((('Levantamento dutos'!$E$12/1000)+0.02)*'Levantamento dutos'!$D104)*4*1.3,0)</f>
        <v>0</v>
      </c>
    </row>
    <row r="105" spans="2:31" x14ac:dyDescent="0.2">
      <c r="B105" s="58">
        <f>IF('Levantamento dutos'!$B105&lt;=Calculos!$Z$3,((('Levantamento dutos'!$B105)/100+('Levantamento dutos'!$C105)/100)*2)*'Levantamento dutos'!$D105,0)</f>
        <v>0</v>
      </c>
      <c r="C105">
        <f>IF('Levantamento dutos'!$B105&gt;Calculos!$Z$3,IF('Levantamento dutos'!$B105&lt;=Calculos!$Z$4,((('Levantamento dutos'!$B105)/100+('Levantamento dutos'!$C105)/100)*2)*'Levantamento dutos'!$D105,0),0)</f>
        <v>0</v>
      </c>
      <c r="D105">
        <f>IF('Levantamento dutos'!$B105&gt;Calculos!$Z$4,IF('Levantamento dutos'!$B105&lt;=Calculos!$Z$5,((('Levantamento dutos'!$B105)/100+('Levantamento dutos'!$C105)/100)*2)*'Levantamento dutos'!$D105,0),0)</f>
        <v>0</v>
      </c>
      <c r="E105">
        <f>IF('Levantamento dutos'!$B105&gt;Calculos!$Z$5,IF('Levantamento dutos'!$B105&lt;=Calculos!$Z$6,((('Levantamento dutos'!$B105)/100+('Levantamento dutos'!$C105)/100)*2)*'Levantamento dutos'!$D105,0),0)</f>
        <v>0</v>
      </c>
      <c r="F105" s="59">
        <f>IF('Levantamento dutos'!$B105&gt;Calculos!$Z$7,((('Levantamento dutos'!$B105)/100+('Levantamento dutos'!$C105)/100)*2)*'Levantamento dutos'!$D105,0)</f>
        <v>0</v>
      </c>
      <c r="G105">
        <f>(('Levantamento dutos'!B105+'Levantamento dutos'!C105)/100)*2</f>
        <v>0</v>
      </c>
      <c r="H105" s="58">
        <f>IF(CODE('Levantamento dutos'!$E105)=76,SUM($B105:$F105),0)</f>
        <v>0</v>
      </c>
      <c r="I105">
        <f>IF(CODE('Levantamento dutos'!$E105)=73,SUM($B105:$F105),0)</f>
        <v>0</v>
      </c>
      <c r="J105">
        <f>IF(CODE('Levantamento dutos'!$E105)=80,SUM($B105:$F105),0)</f>
        <v>0</v>
      </c>
      <c r="K105">
        <f>IF(CODE('Levantamento dutos'!$F105)=66,SUM($B105:$F105),0)</f>
        <v>0</v>
      </c>
      <c r="L105">
        <f>IF(CODE('Levantamento dutos'!$F105)=70,SUM($B105:$F105),0)</f>
        <v>0</v>
      </c>
      <c r="M105" s="59">
        <f>IF(CODE('Levantamento dutos'!$E105)=84,SUM($B105:$F105),0)</f>
        <v>0</v>
      </c>
      <c r="N105" s="60">
        <f>IF(CODE('Levantamento dutos'!$G105)=80,IF('Levantamento dutos'!$B105&lt;=200,('Levantamento dutos'!$D105/'Levantamento dutos'!$G$12*Calculos!$G105*2),0),0)</f>
        <v>0</v>
      </c>
      <c r="O105" s="60">
        <f>IF(CODE('Levantamento dutos'!$G105)=80,IF('Levantamento dutos'!$B105&gt;200,('Levantamento dutos'!$D105/'Levantamento dutos'!$G$12*Calculos!$G105*2),0),0)</f>
        <v>0</v>
      </c>
      <c r="P105" s="60">
        <f>IF(CODE('Levantamento dutos'!$G105)=67,('Levantamento dutos'!$D105/'Levantamento dutos'!$G$12*Calculos!$G105*2),0)</f>
        <v>0</v>
      </c>
      <c r="Q105" s="60">
        <f>IF(CODE('Levantamento dutos'!H105)=83,((('Levantamento dutos'!B105/100)+('Levantamento dutos'!$H$12/1000))+(('Levantamento dutos'!C105/100)+('Levantamento dutos'!$H$12)/1000))*2*'Levantamento dutos'!D105,0)</f>
        <v>0</v>
      </c>
      <c r="S105" s="60">
        <f>IF(CODE('Levantamento dutos'!$I105)=83,$Q105,0)</f>
        <v>0</v>
      </c>
      <c r="T105" s="60">
        <f>IF(CODE('Levantamento dutos'!$E105)=76,ROUND((('Levantamento dutos'!$D105/5)*(Calculos!$G105+0.2)*1.2),0),0)</f>
        <v>0</v>
      </c>
      <c r="U105" s="60">
        <f>IF(CODE('Levantamento dutos'!$E105)=73,ROUND((('Levantamento dutos'!$D105/0.5)*(Calculos!$G105+0.2)*1.2),0),0)</f>
        <v>0</v>
      </c>
      <c r="V105" s="60">
        <f>IF(CODE('Levantamento dutos'!$E105)=80,ROUND((('Levantamento dutos'!$D105/0.5)*(Calculos!$G105+0.2)*1.2),0),0)</f>
        <v>0</v>
      </c>
      <c r="W105" s="60">
        <f>IF(CODE('Levantamento dutos'!$E105)=76,'Levantamento dutos'!$D105/0.5*1.5,0)</f>
        <v>0</v>
      </c>
      <c r="X105" s="60">
        <f>IF(CODE('Levantamento dutos'!$E105)=73,'Levantamento dutos'!$D105/0.5*1.5,0)</f>
        <v>0</v>
      </c>
      <c r="Y105" s="60">
        <f>IF(CODE('Levantamento dutos'!$E105)=80,'Levantamento dutos'!$D105/0.5*1.5,0)</f>
        <v>0</v>
      </c>
      <c r="Z105" s="60">
        <f>IF(CODE('Levantamento dutos'!$E105)=76,ROUND(('Levantamento dutos'!$D105)+('Levantamento dutos'!$D105*Calculos!$G105*2)*1.1,0),0)</f>
        <v>0</v>
      </c>
      <c r="AA105" s="60">
        <f>IF(CODE('Levantamento dutos'!$G105)=80,('Levantamento dutos'!$D105/'Levantamento dutos'!$G$12)*8,0)</f>
        <v>0</v>
      </c>
      <c r="AB105" s="60">
        <f>IF(CODE('Levantamento dutos'!$G105)=80,IF('Levantamento dutos'!$B105&gt;30,('Levantamento dutos'!$D105/'Levantamento dutos'!$G$12)*4,0),0)</f>
        <v>0</v>
      </c>
      <c r="AC105" s="60">
        <f>IF('Levantamento dutos'!$B105&gt;220,('Levantamento dutos'!$D105/'Levantamento dutos'!$G$12*Calculos!$G105*2),0)</f>
        <v>0</v>
      </c>
      <c r="AD105" s="60">
        <f>IF(CODE('Levantamento dutos'!$E105)=73,((('Levantamento dutos'!$E$12/1000)+0.02)*'Levantamento dutos'!$D105)*4*1.3,0)</f>
        <v>0</v>
      </c>
      <c r="AE105" s="60">
        <f>IF(CODE('Levantamento dutos'!$E105)=80,((('Levantamento dutos'!$E$12/1000)+0.02)*'Levantamento dutos'!$D105)*4*1.3,0)</f>
        <v>0</v>
      </c>
    </row>
    <row r="106" spans="2:31" x14ac:dyDescent="0.2">
      <c r="B106" s="58">
        <f>IF('Levantamento dutos'!$B106&lt;=Calculos!$Z$3,((('Levantamento dutos'!$B106)/100+('Levantamento dutos'!$C106)/100)*2)*'Levantamento dutos'!$D106,0)</f>
        <v>0</v>
      </c>
      <c r="C106">
        <f>IF('Levantamento dutos'!$B106&gt;Calculos!$Z$3,IF('Levantamento dutos'!$B106&lt;=Calculos!$Z$4,((('Levantamento dutos'!$B106)/100+('Levantamento dutos'!$C106)/100)*2)*'Levantamento dutos'!$D106,0),0)</f>
        <v>0</v>
      </c>
      <c r="D106">
        <f>IF('Levantamento dutos'!$B106&gt;Calculos!$Z$4,IF('Levantamento dutos'!$B106&lt;=Calculos!$Z$5,((('Levantamento dutos'!$B106)/100+('Levantamento dutos'!$C106)/100)*2)*'Levantamento dutos'!$D106,0),0)</f>
        <v>0</v>
      </c>
      <c r="E106">
        <f>IF('Levantamento dutos'!$B106&gt;Calculos!$Z$5,IF('Levantamento dutos'!$B106&lt;=Calculos!$Z$6,((('Levantamento dutos'!$B106)/100+('Levantamento dutos'!$C106)/100)*2)*'Levantamento dutos'!$D106,0),0)</f>
        <v>0</v>
      </c>
      <c r="F106" s="59">
        <f>IF('Levantamento dutos'!$B106&gt;Calculos!$Z$7,((('Levantamento dutos'!$B106)/100+('Levantamento dutos'!$C106)/100)*2)*'Levantamento dutos'!$D106,0)</f>
        <v>0</v>
      </c>
      <c r="G106">
        <f>(('Levantamento dutos'!B106+'Levantamento dutos'!C106)/100)*2</f>
        <v>0</v>
      </c>
      <c r="H106" s="58">
        <f>IF(CODE('Levantamento dutos'!$E106)=76,SUM($B106:$F106),0)</f>
        <v>0</v>
      </c>
      <c r="I106">
        <f>IF(CODE('Levantamento dutos'!$E106)=73,SUM($B106:$F106),0)</f>
        <v>0</v>
      </c>
      <c r="J106">
        <f>IF(CODE('Levantamento dutos'!$E106)=80,SUM($B106:$F106),0)</f>
        <v>0</v>
      </c>
      <c r="K106">
        <f>IF(CODE('Levantamento dutos'!$F106)=66,SUM($B106:$F106),0)</f>
        <v>0</v>
      </c>
      <c r="L106">
        <f>IF(CODE('Levantamento dutos'!$F106)=70,SUM($B106:$F106),0)</f>
        <v>0</v>
      </c>
      <c r="M106" s="59">
        <f>IF(CODE('Levantamento dutos'!$E106)=84,SUM($B106:$F106),0)</f>
        <v>0</v>
      </c>
      <c r="N106" s="60">
        <f>IF(CODE('Levantamento dutos'!$G106)=80,IF('Levantamento dutos'!$B106&lt;=200,('Levantamento dutos'!$D106/'Levantamento dutos'!$G$12*Calculos!$G106*2),0),0)</f>
        <v>0</v>
      </c>
      <c r="O106" s="60">
        <f>IF(CODE('Levantamento dutos'!$G106)=80,IF('Levantamento dutos'!$B106&gt;200,('Levantamento dutos'!$D106/'Levantamento dutos'!$G$12*Calculos!$G106*2),0),0)</f>
        <v>0</v>
      </c>
      <c r="P106" s="60">
        <f>IF(CODE('Levantamento dutos'!$G106)=67,('Levantamento dutos'!$D106/'Levantamento dutos'!$G$12*Calculos!$G106*2),0)</f>
        <v>0</v>
      </c>
      <c r="Q106" s="60">
        <f>IF(CODE('Levantamento dutos'!H106)=83,((('Levantamento dutos'!B106/100)+('Levantamento dutos'!$H$12/1000))+(('Levantamento dutos'!C106/100)+('Levantamento dutos'!$H$12)/1000))*2*'Levantamento dutos'!D106,0)</f>
        <v>0</v>
      </c>
      <c r="S106" s="60">
        <f>IF(CODE('Levantamento dutos'!$I106)=83,$Q106,0)</f>
        <v>0</v>
      </c>
      <c r="T106" s="60">
        <f>IF(CODE('Levantamento dutos'!$E106)=76,ROUND((('Levantamento dutos'!$D106/5)*(Calculos!$G106+0.2)*1.2),0),0)</f>
        <v>0</v>
      </c>
      <c r="U106" s="60">
        <f>IF(CODE('Levantamento dutos'!$E106)=73,ROUND((('Levantamento dutos'!$D106/0.5)*(Calculos!$G106+0.2)*1.2),0),0)</f>
        <v>0</v>
      </c>
      <c r="V106" s="60">
        <f>IF(CODE('Levantamento dutos'!$E106)=80,ROUND((('Levantamento dutos'!$D106/0.5)*(Calculos!$G106+0.2)*1.2),0),0)</f>
        <v>0</v>
      </c>
      <c r="W106" s="60">
        <f>IF(CODE('Levantamento dutos'!$E106)=76,'Levantamento dutos'!$D106/0.5*1.5,0)</f>
        <v>0</v>
      </c>
      <c r="X106" s="60">
        <f>IF(CODE('Levantamento dutos'!$E106)=73,'Levantamento dutos'!$D106/0.5*1.5,0)</f>
        <v>0</v>
      </c>
      <c r="Y106" s="60">
        <f>IF(CODE('Levantamento dutos'!$E106)=80,'Levantamento dutos'!$D106/0.5*1.5,0)</f>
        <v>0</v>
      </c>
      <c r="Z106" s="60">
        <f>IF(CODE('Levantamento dutos'!$E106)=76,ROUND(('Levantamento dutos'!$D106)+('Levantamento dutos'!$D106*Calculos!$G106*2)*1.1,0),0)</f>
        <v>0</v>
      </c>
      <c r="AA106" s="60">
        <f>IF(CODE('Levantamento dutos'!$G106)=80,('Levantamento dutos'!$D106/'Levantamento dutos'!$G$12)*8,0)</f>
        <v>0</v>
      </c>
      <c r="AB106" s="60">
        <f>IF(CODE('Levantamento dutos'!$G106)=80,IF('Levantamento dutos'!$B106&gt;30,('Levantamento dutos'!$D106/'Levantamento dutos'!$G$12)*4,0),0)</f>
        <v>0</v>
      </c>
      <c r="AC106" s="60">
        <f>IF('Levantamento dutos'!$B106&gt;220,('Levantamento dutos'!$D106/'Levantamento dutos'!$G$12*Calculos!$G106*2),0)</f>
        <v>0</v>
      </c>
      <c r="AD106" s="60">
        <f>IF(CODE('Levantamento dutos'!$E106)=73,((('Levantamento dutos'!$E$12/1000)+0.02)*'Levantamento dutos'!$D106)*4*1.3,0)</f>
        <v>0</v>
      </c>
      <c r="AE106" s="60">
        <f>IF(CODE('Levantamento dutos'!$E106)=80,((('Levantamento dutos'!$E$12/1000)+0.02)*'Levantamento dutos'!$D106)*4*1.3,0)</f>
        <v>0</v>
      </c>
    </row>
    <row r="107" spans="2:31" x14ac:dyDescent="0.2">
      <c r="B107" s="58">
        <f>IF('Levantamento dutos'!$B107&lt;=Calculos!$Z$3,((('Levantamento dutos'!$B107)/100+('Levantamento dutos'!$C107)/100)*2)*'Levantamento dutos'!$D107,0)</f>
        <v>0</v>
      </c>
      <c r="C107">
        <f>IF('Levantamento dutos'!$B107&gt;Calculos!$Z$3,IF('Levantamento dutos'!$B107&lt;=Calculos!$Z$4,((('Levantamento dutos'!$B107)/100+('Levantamento dutos'!$C107)/100)*2)*'Levantamento dutos'!$D107,0),0)</f>
        <v>0</v>
      </c>
      <c r="D107">
        <f>IF('Levantamento dutos'!$B107&gt;Calculos!$Z$4,IF('Levantamento dutos'!$B107&lt;=Calculos!$Z$5,((('Levantamento dutos'!$B107)/100+('Levantamento dutos'!$C107)/100)*2)*'Levantamento dutos'!$D107,0),0)</f>
        <v>0</v>
      </c>
      <c r="E107">
        <f>IF('Levantamento dutos'!$B107&gt;Calculos!$Z$5,IF('Levantamento dutos'!$B107&lt;=Calculos!$Z$6,((('Levantamento dutos'!$B107)/100+('Levantamento dutos'!$C107)/100)*2)*'Levantamento dutos'!$D107,0),0)</f>
        <v>0</v>
      </c>
      <c r="F107" s="59">
        <f>IF('Levantamento dutos'!$B107&gt;Calculos!$Z$7,((('Levantamento dutos'!$B107)/100+('Levantamento dutos'!$C107)/100)*2)*'Levantamento dutos'!$D107,0)</f>
        <v>0</v>
      </c>
      <c r="G107">
        <f>(('Levantamento dutos'!B107+'Levantamento dutos'!C107)/100)*2</f>
        <v>0</v>
      </c>
      <c r="H107" s="58">
        <f>IF(CODE('Levantamento dutos'!$E107)=76,SUM($B107:$F107),0)</f>
        <v>0</v>
      </c>
      <c r="I107">
        <f>IF(CODE('Levantamento dutos'!$E107)=73,SUM($B107:$F107),0)</f>
        <v>0</v>
      </c>
      <c r="J107">
        <f>IF(CODE('Levantamento dutos'!$E107)=80,SUM($B107:$F107),0)</f>
        <v>0</v>
      </c>
      <c r="K107">
        <f>IF(CODE('Levantamento dutos'!$F107)=66,SUM($B107:$F107),0)</f>
        <v>0</v>
      </c>
      <c r="L107">
        <f>IF(CODE('Levantamento dutos'!$F107)=70,SUM($B107:$F107),0)</f>
        <v>0</v>
      </c>
      <c r="M107" s="59">
        <f>IF(CODE('Levantamento dutos'!$E107)=84,SUM($B107:$F107),0)</f>
        <v>0</v>
      </c>
      <c r="N107" s="60">
        <f>IF(CODE('Levantamento dutos'!$G107)=80,IF('Levantamento dutos'!$B107&lt;=200,('Levantamento dutos'!$D107/'Levantamento dutos'!$G$12*Calculos!$G107*2),0),0)</f>
        <v>0</v>
      </c>
      <c r="O107" s="60">
        <f>IF(CODE('Levantamento dutos'!$G107)=80,IF('Levantamento dutos'!$B107&gt;200,('Levantamento dutos'!$D107/'Levantamento dutos'!$G$12*Calculos!$G107*2),0),0)</f>
        <v>0</v>
      </c>
      <c r="P107" s="60">
        <f>IF(CODE('Levantamento dutos'!$G107)=67,('Levantamento dutos'!$D107/'Levantamento dutos'!$G$12*Calculos!$G107*2),0)</f>
        <v>0</v>
      </c>
      <c r="Q107" s="60">
        <f>IF(CODE('Levantamento dutos'!H107)=83,((('Levantamento dutos'!B107/100)+('Levantamento dutos'!$H$12/1000))+(('Levantamento dutos'!C107/100)+('Levantamento dutos'!$H$12)/1000))*2*'Levantamento dutos'!D107,0)</f>
        <v>0</v>
      </c>
      <c r="S107" s="60">
        <f>IF(CODE('Levantamento dutos'!$I107)=83,$Q107,0)</f>
        <v>0</v>
      </c>
      <c r="T107" s="60">
        <f>IF(CODE('Levantamento dutos'!$E107)=76,ROUND((('Levantamento dutos'!$D107/5)*(Calculos!$G107+0.2)*1.2),0),0)</f>
        <v>0</v>
      </c>
      <c r="U107" s="60">
        <f>IF(CODE('Levantamento dutos'!$E107)=73,ROUND((('Levantamento dutos'!$D107/0.5)*(Calculos!$G107+0.2)*1.2),0),0)</f>
        <v>0</v>
      </c>
      <c r="V107" s="60">
        <f>IF(CODE('Levantamento dutos'!$E107)=80,ROUND((('Levantamento dutos'!$D107/0.5)*(Calculos!$G107+0.2)*1.2),0),0)</f>
        <v>0</v>
      </c>
      <c r="W107" s="60">
        <f>IF(CODE('Levantamento dutos'!$E107)=76,'Levantamento dutos'!$D107/0.5*1.5,0)</f>
        <v>0</v>
      </c>
      <c r="X107" s="60">
        <f>IF(CODE('Levantamento dutos'!$E107)=73,'Levantamento dutos'!$D107/0.5*1.5,0)</f>
        <v>0</v>
      </c>
      <c r="Y107" s="60">
        <f>IF(CODE('Levantamento dutos'!$E107)=80,'Levantamento dutos'!$D107/0.5*1.5,0)</f>
        <v>0</v>
      </c>
      <c r="Z107" s="60">
        <f>IF(CODE('Levantamento dutos'!$E107)=76,ROUND(('Levantamento dutos'!$D107)+('Levantamento dutos'!$D107*Calculos!$G107*2)*1.1,0),0)</f>
        <v>0</v>
      </c>
      <c r="AA107" s="60">
        <f>IF(CODE('Levantamento dutos'!$G107)=80,('Levantamento dutos'!$D107/'Levantamento dutos'!$G$12)*8,0)</f>
        <v>0</v>
      </c>
      <c r="AB107" s="60">
        <f>IF(CODE('Levantamento dutos'!$G107)=80,IF('Levantamento dutos'!$B107&gt;30,('Levantamento dutos'!$D107/'Levantamento dutos'!$G$12)*4,0),0)</f>
        <v>0</v>
      </c>
      <c r="AC107" s="60">
        <f>IF('Levantamento dutos'!$B107&gt;220,('Levantamento dutos'!$D107/'Levantamento dutos'!$G$12*Calculos!$G107*2),0)</f>
        <v>0</v>
      </c>
      <c r="AD107" s="60">
        <f>IF(CODE('Levantamento dutos'!$E107)=73,((('Levantamento dutos'!$E$12/1000)+0.02)*'Levantamento dutos'!$D107)*4*1.3,0)</f>
        <v>0</v>
      </c>
      <c r="AE107" s="60">
        <f>IF(CODE('Levantamento dutos'!$E107)=80,((('Levantamento dutos'!$E$12/1000)+0.02)*'Levantamento dutos'!$D107)*4*1.3,0)</f>
        <v>0</v>
      </c>
    </row>
    <row r="108" spans="2:31" x14ac:dyDescent="0.2">
      <c r="B108" s="58">
        <f>IF('Levantamento dutos'!$B108&lt;=Calculos!$Z$3,((('Levantamento dutos'!$B108)/100+('Levantamento dutos'!$C108)/100)*2)*'Levantamento dutos'!$D108,0)</f>
        <v>0</v>
      </c>
      <c r="C108">
        <f>IF('Levantamento dutos'!$B108&gt;Calculos!$Z$3,IF('Levantamento dutos'!$B108&lt;=Calculos!$Z$4,((('Levantamento dutos'!$B108)/100+('Levantamento dutos'!$C108)/100)*2)*'Levantamento dutos'!$D108,0),0)</f>
        <v>0</v>
      </c>
      <c r="D108">
        <f>IF('Levantamento dutos'!$B108&gt;Calculos!$Z$4,IF('Levantamento dutos'!$B108&lt;=Calculos!$Z$5,((('Levantamento dutos'!$B108)/100+('Levantamento dutos'!$C108)/100)*2)*'Levantamento dutos'!$D108,0),0)</f>
        <v>0</v>
      </c>
      <c r="E108">
        <f>IF('Levantamento dutos'!$B108&gt;Calculos!$Z$5,IF('Levantamento dutos'!$B108&lt;=Calculos!$Z$6,((('Levantamento dutos'!$B108)/100+('Levantamento dutos'!$C108)/100)*2)*'Levantamento dutos'!$D108,0),0)</f>
        <v>0</v>
      </c>
      <c r="F108" s="59">
        <f>IF('Levantamento dutos'!$B108&gt;Calculos!$Z$7,((('Levantamento dutos'!$B108)/100+('Levantamento dutos'!$C108)/100)*2)*'Levantamento dutos'!$D108,0)</f>
        <v>0</v>
      </c>
      <c r="G108">
        <f>(('Levantamento dutos'!B108+'Levantamento dutos'!C108)/100)*2</f>
        <v>0</v>
      </c>
      <c r="H108" s="58">
        <f>IF(CODE('Levantamento dutos'!$E108)=76,SUM($B108:$F108),0)</f>
        <v>0</v>
      </c>
      <c r="I108">
        <f>IF(CODE('Levantamento dutos'!$E108)=73,SUM($B108:$F108),0)</f>
        <v>0</v>
      </c>
      <c r="J108">
        <f>IF(CODE('Levantamento dutos'!$E108)=80,SUM($B108:$F108),0)</f>
        <v>0</v>
      </c>
      <c r="K108">
        <f>IF(CODE('Levantamento dutos'!$F108)=66,SUM($B108:$F108),0)</f>
        <v>0</v>
      </c>
      <c r="L108">
        <f>IF(CODE('Levantamento dutos'!$F108)=70,SUM($B108:$F108),0)</f>
        <v>0</v>
      </c>
      <c r="M108" s="59">
        <f>IF(CODE('Levantamento dutos'!$E108)=84,SUM($B108:$F108),0)</f>
        <v>0</v>
      </c>
      <c r="N108" s="60">
        <f>IF(CODE('Levantamento dutos'!$G108)=80,IF('Levantamento dutos'!$B108&lt;=200,('Levantamento dutos'!$D108/'Levantamento dutos'!$G$12*Calculos!$G108*2),0),0)</f>
        <v>0</v>
      </c>
      <c r="O108" s="60">
        <f>IF(CODE('Levantamento dutos'!$G108)=80,IF('Levantamento dutos'!$B108&gt;200,('Levantamento dutos'!$D108/'Levantamento dutos'!$G$12*Calculos!$G108*2),0),0)</f>
        <v>0</v>
      </c>
      <c r="P108" s="60">
        <f>IF(CODE('Levantamento dutos'!$G108)=67,('Levantamento dutos'!$D108/'Levantamento dutos'!$G$12*Calculos!$G108*2),0)</f>
        <v>0</v>
      </c>
      <c r="Q108" s="60">
        <f>IF(CODE('Levantamento dutos'!H108)=83,((('Levantamento dutos'!B108/100)+('Levantamento dutos'!$H$12/1000))+(('Levantamento dutos'!C108/100)+('Levantamento dutos'!$H$12)/1000))*2*'Levantamento dutos'!D108,0)</f>
        <v>0</v>
      </c>
      <c r="S108" s="60">
        <f>IF(CODE('Levantamento dutos'!$I108)=83,$Q108,0)</f>
        <v>0</v>
      </c>
      <c r="T108" s="60">
        <f>IF(CODE('Levantamento dutos'!$E108)=76,ROUND((('Levantamento dutos'!$D108/5)*(Calculos!$G108+0.2)*1.2),0),0)</f>
        <v>0</v>
      </c>
      <c r="U108" s="60">
        <f>IF(CODE('Levantamento dutos'!$E108)=73,ROUND((('Levantamento dutos'!$D108/0.5)*(Calculos!$G108+0.2)*1.2),0),0)</f>
        <v>0</v>
      </c>
      <c r="V108" s="60">
        <f>IF(CODE('Levantamento dutos'!$E108)=80,ROUND((('Levantamento dutos'!$D108/0.5)*(Calculos!$G108+0.2)*1.2),0),0)</f>
        <v>0</v>
      </c>
      <c r="W108" s="60">
        <f>IF(CODE('Levantamento dutos'!$E108)=76,'Levantamento dutos'!$D108/0.5*1.5,0)</f>
        <v>0</v>
      </c>
      <c r="X108" s="60">
        <f>IF(CODE('Levantamento dutos'!$E108)=73,'Levantamento dutos'!$D108/0.5*1.5,0)</f>
        <v>0</v>
      </c>
      <c r="Y108" s="60">
        <f>IF(CODE('Levantamento dutos'!$E108)=80,'Levantamento dutos'!$D108/0.5*1.5,0)</f>
        <v>0</v>
      </c>
      <c r="Z108" s="60">
        <f>IF(CODE('Levantamento dutos'!$E108)=76,ROUND(('Levantamento dutos'!$D108)+('Levantamento dutos'!$D108*Calculos!$G108*2)*1.1,0),0)</f>
        <v>0</v>
      </c>
      <c r="AA108" s="60">
        <f>IF(CODE('Levantamento dutos'!$G108)=80,('Levantamento dutos'!$D108/'Levantamento dutos'!$G$12)*8,0)</f>
        <v>0</v>
      </c>
      <c r="AB108" s="60">
        <f>IF(CODE('Levantamento dutos'!$G108)=80,IF('Levantamento dutos'!$B108&gt;30,('Levantamento dutos'!$D108/'Levantamento dutos'!$G$12)*4,0),0)</f>
        <v>0</v>
      </c>
      <c r="AC108" s="60">
        <f>IF('Levantamento dutos'!$B108&gt;220,('Levantamento dutos'!$D108/'Levantamento dutos'!$G$12*Calculos!$G108*2),0)</f>
        <v>0</v>
      </c>
      <c r="AD108" s="60">
        <f>IF(CODE('Levantamento dutos'!$E108)=73,((('Levantamento dutos'!$E$12/1000)+0.02)*'Levantamento dutos'!$D108)*4*1.3,0)</f>
        <v>0</v>
      </c>
      <c r="AE108" s="60">
        <f>IF(CODE('Levantamento dutos'!$E108)=80,((('Levantamento dutos'!$E$12/1000)+0.02)*'Levantamento dutos'!$D108)*4*1.3,0)</f>
        <v>0</v>
      </c>
    </row>
    <row r="109" spans="2:31" x14ac:dyDescent="0.2">
      <c r="B109" s="58">
        <f>IF('Levantamento dutos'!$B109&lt;=Calculos!$Z$3,((('Levantamento dutos'!$B109)/100+('Levantamento dutos'!$C109)/100)*2)*'Levantamento dutos'!$D109,0)</f>
        <v>0</v>
      </c>
      <c r="C109">
        <f>IF('Levantamento dutos'!$B109&gt;Calculos!$Z$3,IF('Levantamento dutos'!$B109&lt;=Calculos!$Z$4,((('Levantamento dutos'!$B109)/100+('Levantamento dutos'!$C109)/100)*2)*'Levantamento dutos'!$D109,0),0)</f>
        <v>0</v>
      </c>
      <c r="D109">
        <f>IF('Levantamento dutos'!$B109&gt;Calculos!$Z$4,IF('Levantamento dutos'!$B109&lt;=Calculos!$Z$5,((('Levantamento dutos'!$B109)/100+('Levantamento dutos'!$C109)/100)*2)*'Levantamento dutos'!$D109,0),0)</f>
        <v>0</v>
      </c>
      <c r="E109">
        <f>IF('Levantamento dutos'!$B109&gt;Calculos!$Z$5,IF('Levantamento dutos'!$B109&lt;=Calculos!$Z$6,((('Levantamento dutos'!$B109)/100+('Levantamento dutos'!$C109)/100)*2)*'Levantamento dutos'!$D109,0),0)</f>
        <v>0</v>
      </c>
      <c r="F109" s="59">
        <f>IF('Levantamento dutos'!$B109&gt;Calculos!$Z$7,((('Levantamento dutos'!$B109)/100+('Levantamento dutos'!$C109)/100)*2)*'Levantamento dutos'!$D109,0)</f>
        <v>0</v>
      </c>
      <c r="G109">
        <f>(('Levantamento dutos'!B109+'Levantamento dutos'!C109)/100)*2</f>
        <v>0</v>
      </c>
      <c r="H109" s="58">
        <f>IF(CODE('Levantamento dutos'!$E109)=76,SUM($B109:$F109),0)</f>
        <v>0</v>
      </c>
      <c r="I109">
        <f>IF(CODE('Levantamento dutos'!$E109)=73,SUM($B109:$F109),0)</f>
        <v>0</v>
      </c>
      <c r="J109">
        <f>IF(CODE('Levantamento dutos'!$E109)=80,SUM($B109:$F109),0)</f>
        <v>0</v>
      </c>
      <c r="K109">
        <f>IF(CODE('Levantamento dutos'!$F109)=66,SUM($B109:$F109),0)</f>
        <v>0</v>
      </c>
      <c r="L109">
        <f>IF(CODE('Levantamento dutos'!$F109)=70,SUM($B109:$F109),0)</f>
        <v>0</v>
      </c>
      <c r="M109" s="59">
        <f>IF(CODE('Levantamento dutos'!$E109)=84,SUM($B109:$F109),0)</f>
        <v>0</v>
      </c>
      <c r="N109" s="60">
        <f>IF(CODE('Levantamento dutos'!$G109)=80,IF('Levantamento dutos'!$B109&lt;=200,('Levantamento dutos'!$D109/'Levantamento dutos'!$G$12*Calculos!$G109*2),0),0)</f>
        <v>0</v>
      </c>
      <c r="O109" s="60">
        <f>IF(CODE('Levantamento dutos'!$G109)=80,IF('Levantamento dutos'!$B109&gt;200,('Levantamento dutos'!$D109/'Levantamento dutos'!$G$12*Calculos!$G109*2),0),0)</f>
        <v>0</v>
      </c>
      <c r="P109" s="60">
        <f>IF(CODE('Levantamento dutos'!$G109)=67,('Levantamento dutos'!$D109/'Levantamento dutos'!$G$12*Calculos!$G109*2),0)</f>
        <v>0</v>
      </c>
      <c r="Q109" s="60">
        <f>IF(CODE('Levantamento dutos'!H109)=83,((('Levantamento dutos'!B109/100)+('Levantamento dutos'!$H$12/1000))+(('Levantamento dutos'!C109/100)+('Levantamento dutos'!$H$12)/1000))*2*'Levantamento dutos'!D109,0)</f>
        <v>0</v>
      </c>
      <c r="S109" s="60">
        <f>IF(CODE('Levantamento dutos'!$I109)=83,$Q109,0)</f>
        <v>0</v>
      </c>
      <c r="T109" s="60">
        <f>IF(CODE('Levantamento dutos'!$E109)=76,ROUND((('Levantamento dutos'!$D109/5)*(Calculos!$G109+0.2)*1.2),0),0)</f>
        <v>0</v>
      </c>
      <c r="U109" s="60">
        <f>IF(CODE('Levantamento dutos'!$E109)=73,ROUND((('Levantamento dutos'!$D109/0.5)*(Calculos!$G109+0.2)*1.2),0),0)</f>
        <v>0</v>
      </c>
      <c r="V109" s="60">
        <f>IF(CODE('Levantamento dutos'!$E109)=80,ROUND((('Levantamento dutos'!$D109/0.5)*(Calculos!$G109+0.2)*1.2),0),0)</f>
        <v>0</v>
      </c>
      <c r="W109" s="60">
        <f>IF(CODE('Levantamento dutos'!$E109)=76,'Levantamento dutos'!$D109/0.5*1.5,0)</f>
        <v>0</v>
      </c>
      <c r="X109" s="60">
        <f>IF(CODE('Levantamento dutos'!$E109)=73,'Levantamento dutos'!$D109/0.5*1.5,0)</f>
        <v>0</v>
      </c>
      <c r="Y109" s="60">
        <f>IF(CODE('Levantamento dutos'!$E109)=80,'Levantamento dutos'!$D109/0.5*1.5,0)</f>
        <v>0</v>
      </c>
      <c r="Z109" s="60">
        <f>IF(CODE('Levantamento dutos'!$E109)=76,ROUND(('Levantamento dutos'!$D109)+('Levantamento dutos'!$D109*Calculos!$G109*2)*1.1,0),0)</f>
        <v>0</v>
      </c>
      <c r="AA109" s="60">
        <f>IF(CODE('Levantamento dutos'!$G109)=80,('Levantamento dutos'!$D109/'Levantamento dutos'!$G$12)*8,0)</f>
        <v>0</v>
      </c>
      <c r="AB109" s="60">
        <f>IF(CODE('Levantamento dutos'!$G109)=80,IF('Levantamento dutos'!$B109&gt;30,('Levantamento dutos'!$D109/'Levantamento dutos'!$G$12)*4,0),0)</f>
        <v>0</v>
      </c>
      <c r="AC109" s="60">
        <f>IF('Levantamento dutos'!$B109&gt;220,('Levantamento dutos'!$D109/'Levantamento dutos'!$G$12*Calculos!$G109*2),0)</f>
        <v>0</v>
      </c>
      <c r="AD109" s="60">
        <f>IF(CODE('Levantamento dutos'!$E109)=73,((('Levantamento dutos'!$E$12/1000)+0.02)*'Levantamento dutos'!$D109)*4*1.3,0)</f>
        <v>0</v>
      </c>
      <c r="AE109" s="60">
        <f>IF(CODE('Levantamento dutos'!$E109)=80,((('Levantamento dutos'!$E$12/1000)+0.02)*'Levantamento dutos'!$D109)*4*1.3,0)</f>
        <v>0</v>
      </c>
    </row>
    <row r="110" spans="2:31" x14ac:dyDescent="0.2">
      <c r="B110" s="58">
        <f>IF('Levantamento dutos'!$B110&lt;=Calculos!$Z$3,((('Levantamento dutos'!$B110)/100+('Levantamento dutos'!$C110)/100)*2)*'Levantamento dutos'!$D110,0)</f>
        <v>0</v>
      </c>
      <c r="C110">
        <f>IF('Levantamento dutos'!$B110&gt;Calculos!$Z$3,IF('Levantamento dutos'!$B110&lt;=Calculos!$Z$4,((('Levantamento dutos'!$B110)/100+('Levantamento dutos'!$C110)/100)*2)*'Levantamento dutos'!$D110,0),0)</f>
        <v>0</v>
      </c>
      <c r="D110">
        <f>IF('Levantamento dutos'!$B110&gt;Calculos!$Z$4,IF('Levantamento dutos'!$B110&lt;=Calculos!$Z$5,((('Levantamento dutos'!$B110)/100+('Levantamento dutos'!$C110)/100)*2)*'Levantamento dutos'!$D110,0),0)</f>
        <v>0</v>
      </c>
      <c r="E110">
        <f>IF('Levantamento dutos'!$B110&gt;Calculos!$Z$5,IF('Levantamento dutos'!$B110&lt;=Calculos!$Z$6,((('Levantamento dutos'!$B110)/100+('Levantamento dutos'!$C110)/100)*2)*'Levantamento dutos'!$D110,0),0)</f>
        <v>0</v>
      </c>
      <c r="F110" s="59">
        <f>IF('Levantamento dutos'!$B110&gt;Calculos!$Z$7,((('Levantamento dutos'!$B110)/100+('Levantamento dutos'!$C110)/100)*2)*'Levantamento dutos'!$D110,0)</f>
        <v>0</v>
      </c>
      <c r="G110">
        <f>(('Levantamento dutos'!B110+'Levantamento dutos'!C110)/100)*2</f>
        <v>0</v>
      </c>
      <c r="H110" s="58">
        <f>IF(CODE('Levantamento dutos'!$E110)=76,SUM($B110:$F110),0)</f>
        <v>0</v>
      </c>
      <c r="I110">
        <f>IF(CODE('Levantamento dutos'!$E110)=73,SUM($B110:$F110),0)</f>
        <v>0</v>
      </c>
      <c r="J110">
        <f>IF(CODE('Levantamento dutos'!$E110)=80,SUM($B110:$F110),0)</f>
        <v>0</v>
      </c>
      <c r="K110">
        <f>IF(CODE('Levantamento dutos'!$F110)=66,SUM($B110:$F110),0)</f>
        <v>0</v>
      </c>
      <c r="L110">
        <f>IF(CODE('Levantamento dutos'!$F110)=70,SUM($B110:$F110),0)</f>
        <v>0</v>
      </c>
      <c r="M110" s="59">
        <f>IF(CODE('Levantamento dutos'!$E110)=84,SUM($B110:$F110),0)</f>
        <v>0</v>
      </c>
      <c r="N110" s="60">
        <f>IF(CODE('Levantamento dutos'!$G110)=80,IF('Levantamento dutos'!$B110&lt;=200,('Levantamento dutos'!$D110/'Levantamento dutos'!$G$12*Calculos!$G110*2),0),0)</f>
        <v>0</v>
      </c>
      <c r="O110" s="60">
        <f>IF(CODE('Levantamento dutos'!$G110)=80,IF('Levantamento dutos'!$B110&gt;200,('Levantamento dutos'!$D110/'Levantamento dutos'!$G$12*Calculos!$G110*2),0),0)</f>
        <v>0</v>
      </c>
      <c r="P110" s="60">
        <f>IF(CODE('Levantamento dutos'!$G110)=67,('Levantamento dutos'!$D110/'Levantamento dutos'!$G$12*Calculos!$G110*2),0)</f>
        <v>0</v>
      </c>
      <c r="Q110" s="60">
        <f>IF(CODE('Levantamento dutos'!H110)=83,((('Levantamento dutos'!B110/100)+('Levantamento dutos'!$H$12/1000))+(('Levantamento dutos'!C110/100)+('Levantamento dutos'!$H$12)/1000))*2*'Levantamento dutos'!D110,0)</f>
        <v>0</v>
      </c>
      <c r="S110" s="60">
        <f>IF(CODE('Levantamento dutos'!$I110)=83,$Q110,0)</f>
        <v>0</v>
      </c>
      <c r="T110" s="60">
        <f>IF(CODE('Levantamento dutos'!$E110)=76,ROUND((('Levantamento dutos'!$D110/5)*(Calculos!$G110+0.2)*1.2),0),0)</f>
        <v>0</v>
      </c>
      <c r="U110" s="60">
        <f>IF(CODE('Levantamento dutos'!$E110)=73,ROUND((('Levantamento dutos'!$D110/0.5)*(Calculos!$G110+0.2)*1.2),0),0)</f>
        <v>0</v>
      </c>
      <c r="V110" s="60">
        <f>IF(CODE('Levantamento dutos'!$E110)=80,ROUND((('Levantamento dutos'!$D110/0.5)*(Calculos!$G110+0.2)*1.2),0),0)</f>
        <v>0</v>
      </c>
      <c r="W110" s="60">
        <f>IF(CODE('Levantamento dutos'!$E110)=76,'Levantamento dutos'!$D110/0.5*1.5,0)</f>
        <v>0</v>
      </c>
      <c r="X110" s="60">
        <f>IF(CODE('Levantamento dutos'!$E110)=73,'Levantamento dutos'!$D110/0.5*1.5,0)</f>
        <v>0</v>
      </c>
      <c r="Y110" s="60">
        <f>IF(CODE('Levantamento dutos'!$E110)=80,'Levantamento dutos'!$D110/0.5*1.5,0)</f>
        <v>0</v>
      </c>
      <c r="Z110" s="60">
        <f>IF(CODE('Levantamento dutos'!$E110)=76,ROUND(('Levantamento dutos'!$D110)+('Levantamento dutos'!$D110*Calculos!$G110*2)*1.1,0),0)</f>
        <v>0</v>
      </c>
      <c r="AA110" s="60">
        <f>IF(CODE('Levantamento dutos'!$G110)=80,('Levantamento dutos'!$D110/'Levantamento dutos'!$G$12)*8,0)</f>
        <v>0</v>
      </c>
      <c r="AB110" s="60">
        <f>IF(CODE('Levantamento dutos'!$G110)=80,IF('Levantamento dutos'!$B110&gt;30,('Levantamento dutos'!$D110/'Levantamento dutos'!$G$12)*4,0),0)</f>
        <v>0</v>
      </c>
      <c r="AC110" s="60">
        <f>IF('Levantamento dutos'!$B110&gt;220,('Levantamento dutos'!$D110/'Levantamento dutos'!$G$12*Calculos!$G110*2),0)</f>
        <v>0</v>
      </c>
      <c r="AD110" s="60">
        <f>IF(CODE('Levantamento dutos'!$E110)=73,((('Levantamento dutos'!$E$12/1000)+0.02)*'Levantamento dutos'!$D110)*4*1.3,0)</f>
        <v>0</v>
      </c>
      <c r="AE110" s="60">
        <f>IF(CODE('Levantamento dutos'!$E110)=80,((('Levantamento dutos'!$E$12/1000)+0.02)*'Levantamento dutos'!$D110)*4*1.3,0)</f>
        <v>0</v>
      </c>
    </row>
    <row r="111" spans="2:31" x14ac:dyDescent="0.2">
      <c r="B111" s="58">
        <f>IF('Levantamento dutos'!$B111&lt;=Calculos!$Z$3,((('Levantamento dutos'!$B111)/100+('Levantamento dutos'!$C111)/100)*2)*'Levantamento dutos'!$D111,0)</f>
        <v>0</v>
      </c>
      <c r="C111">
        <f>IF('Levantamento dutos'!$B111&gt;Calculos!$Z$3,IF('Levantamento dutos'!$B111&lt;=Calculos!$Z$4,((('Levantamento dutos'!$B111)/100+('Levantamento dutos'!$C111)/100)*2)*'Levantamento dutos'!$D111,0),0)</f>
        <v>0</v>
      </c>
      <c r="D111">
        <f>IF('Levantamento dutos'!$B111&gt;Calculos!$Z$4,IF('Levantamento dutos'!$B111&lt;=Calculos!$Z$5,((('Levantamento dutos'!$B111)/100+('Levantamento dutos'!$C111)/100)*2)*'Levantamento dutos'!$D111,0),0)</f>
        <v>0</v>
      </c>
      <c r="E111">
        <f>IF('Levantamento dutos'!$B111&gt;Calculos!$Z$5,IF('Levantamento dutos'!$B111&lt;=Calculos!$Z$6,((('Levantamento dutos'!$B111)/100+('Levantamento dutos'!$C111)/100)*2)*'Levantamento dutos'!$D111,0),0)</f>
        <v>0</v>
      </c>
      <c r="F111" s="59">
        <f>IF('Levantamento dutos'!$B111&gt;Calculos!$Z$7,((('Levantamento dutos'!$B111)/100+('Levantamento dutos'!$C111)/100)*2)*'Levantamento dutos'!$D111,0)</f>
        <v>0</v>
      </c>
      <c r="G111">
        <f>(('Levantamento dutos'!B111+'Levantamento dutos'!C111)/100)*2</f>
        <v>0</v>
      </c>
      <c r="H111" s="58">
        <f>IF(CODE('Levantamento dutos'!$E111)=76,SUM($B111:$F111),0)</f>
        <v>0</v>
      </c>
      <c r="I111">
        <f>IF(CODE('Levantamento dutos'!$E111)=73,SUM($B111:$F111),0)</f>
        <v>0</v>
      </c>
      <c r="J111">
        <f>IF(CODE('Levantamento dutos'!$E111)=80,SUM($B111:$F111),0)</f>
        <v>0</v>
      </c>
      <c r="K111">
        <f>IF(CODE('Levantamento dutos'!$F111)=66,SUM($B111:$F111),0)</f>
        <v>0</v>
      </c>
      <c r="L111">
        <f>IF(CODE('Levantamento dutos'!$F111)=70,SUM($B111:$F111),0)</f>
        <v>0</v>
      </c>
      <c r="M111" s="59">
        <f>IF(CODE('Levantamento dutos'!$E111)=84,SUM($B111:$F111),0)</f>
        <v>0</v>
      </c>
      <c r="N111" s="60">
        <f>IF(CODE('Levantamento dutos'!$G111)=80,IF('Levantamento dutos'!$B111&lt;=200,('Levantamento dutos'!$D111/'Levantamento dutos'!$G$12*Calculos!$G111*2),0),0)</f>
        <v>0</v>
      </c>
      <c r="O111" s="60">
        <f>IF(CODE('Levantamento dutos'!$G111)=80,IF('Levantamento dutos'!$B111&gt;200,('Levantamento dutos'!$D111/'Levantamento dutos'!$G$12*Calculos!$G111*2),0),0)</f>
        <v>0</v>
      </c>
      <c r="P111" s="60">
        <f>IF(CODE('Levantamento dutos'!$G111)=67,('Levantamento dutos'!$D111/'Levantamento dutos'!$G$12*Calculos!$G111*2),0)</f>
        <v>0</v>
      </c>
      <c r="Q111" s="60">
        <f>IF(CODE('Levantamento dutos'!H111)=83,((('Levantamento dutos'!B111/100)+('Levantamento dutos'!$H$12/1000))+(('Levantamento dutos'!C111/100)+('Levantamento dutos'!$H$12)/1000))*2*'Levantamento dutos'!D111,0)</f>
        <v>0</v>
      </c>
      <c r="S111" s="60">
        <f>IF(CODE('Levantamento dutos'!$I111)=83,$Q111,0)</f>
        <v>0</v>
      </c>
      <c r="T111" s="60">
        <f>IF(CODE('Levantamento dutos'!$E111)=76,ROUND((('Levantamento dutos'!$D111/5)*(Calculos!$G111+0.2)*1.2),0),0)</f>
        <v>0</v>
      </c>
      <c r="U111" s="60">
        <f>IF(CODE('Levantamento dutos'!$E111)=73,ROUND((('Levantamento dutos'!$D111/0.5)*(Calculos!$G111+0.2)*1.2),0),0)</f>
        <v>0</v>
      </c>
      <c r="V111" s="60">
        <f>IF(CODE('Levantamento dutos'!$E111)=80,ROUND((('Levantamento dutos'!$D111/0.5)*(Calculos!$G111+0.2)*1.2),0),0)</f>
        <v>0</v>
      </c>
      <c r="W111" s="60">
        <f>IF(CODE('Levantamento dutos'!$E111)=76,'Levantamento dutos'!$D111/0.5*1.5,0)</f>
        <v>0</v>
      </c>
      <c r="X111" s="60">
        <f>IF(CODE('Levantamento dutos'!$E111)=73,'Levantamento dutos'!$D111/0.5*1.5,0)</f>
        <v>0</v>
      </c>
      <c r="Y111" s="60">
        <f>IF(CODE('Levantamento dutos'!$E111)=80,'Levantamento dutos'!$D111/0.5*1.5,0)</f>
        <v>0</v>
      </c>
      <c r="Z111" s="60">
        <f>IF(CODE('Levantamento dutos'!$E111)=76,ROUND(('Levantamento dutos'!$D111)+('Levantamento dutos'!$D111*Calculos!$G111*2)*1.1,0),0)</f>
        <v>0</v>
      </c>
      <c r="AA111" s="60">
        <f>IF(CODE('Levantamento dutos'!$G111)=80,('Levantamento dutos'!$D111/'Levantamento dutos'!$G$12)*8,0)</f>
        <v>0</v>
      </c>
      <c r="AB111" s="60">
        <f>IF(CODE('Levantamento dutos'!$G111)=80,IF('Levantamento dutos'!$B111&gt;30,('Levantamento dutos'!$D111/'Levantamento dutos'!$G$12)*4,0),0)</f>
        <v>0</v>
      </c>
      <c r="AC111" s="60">
        <f>IF('Levantamento dutos'!$B111&gt;220,('Levantamento dutos'!$D111/'Levantamento dutos'!$G$12*Calculos!$G111*2),0)</f>
        <v>0</v>
      </c>
      <c r="AD111" s="60">
        <f>IF(CODE('Levantamento dutos'!$E111)=73,((('Levantamento dutos'!$E$12/1000)+0.02)*'Levantamento dutos'!$D111)*4*1.3,0)</f>
        <v>0</v>
      </c>
      <c r="AE111" s="60">
        <f>IF(CODE('Levantamento dutos'!$E111)=80,((('Levantamento dutos'!$E$12/1000)+0.02)*'Levantamento dutos'!$D111)*4*1.3,0)</f>
        <v>0</v>
      </c>
    </row>
    <row r="112" spans="2:31" x14ac:dyDescent="0.2">
      <c r="B112" s="58">
        <f>IF('Levantamento dutos'!$B112&lt;=Calculos!$Z$3,((('Levantamento dutos'!$B112)/100+('Levantamento dutos'!$C112)/100)*2)*'Levantamento dutos'!$D112,0)</f>
        <v>0</v>
      </c>
      <c r="C112">
        <f>IF('Levantamento dutos'!$B112&gt;Calculos!$Z$3,IF('Levantamento dutos'!$B112&lt;=Calculos!$Z$4,((('Levantamento dutos'!$B112)/100+('Levantamento dutos'!$C112)/100)*2)*'Levantamento dutos'!$D112,0),0)</f>
        <v>0</v>
      </c>
      <c r="D112">
        <f>IF('Levantamento dutos'!$B112&gt;Calculos!$Z$4,IF('Levantamento dutos'!$B112&lt;=Calculos!$Z$5,((('Levantamento dutos'!$B112)/100+('Levantamento dutos'!$C112)/100)*2)*'Levantamento dutos'!$D112,0),0)</f>
        <v>0</v>
      </c>
      <c r="E112">
        <f>IF('Levantamento dutos'!$B112&gt;Calculos!$Z$5,IF('Levantamento dutos'!$B112&lt;=Calculos!$Z$6,((('Levantamento dutos'!$B112)/100+('Levantamento dutos'!$C112)/100)*2)*'Levantamento dutos'!$D112,0),0)</f>
        <v>0</v>
      </c>
      <c r="F112" s="59">
        <f>IF('Levantamento dutos'!$B112&gt;Calculos!$Z$7,((('Levantamento dutos'!$B112)/100+('Levantamento dutos'!$C112)/100)*2)*'Levantamento dutos'!$D112,0)</f>
        <v>0</v>
      </c>
      <c r="G112">
        <f>(('Levantamento dutos'!B112+'Levantamento dutos'!C112)/100)*2</f>
        <v>0</v>
      </c>
      <c r="H112" s="58">
        <f>IF(CODE('Levantamento dutos'!$E112)=76,SUM($B112:$F112),0)</f>
        <v>0</v>
      </c>
      <c r="I112">
        <f>IF(CODE('Levantamento dutos'!$E112)=73,SUM($B112:$F112),0)</f>
        <v>0</v>
      </c>
      <c r="J112">
        <f>IF(CODE('Levantamento dutos'!$E112)=80,SUM($B112:$F112),0)</f>
        <v>0</v>
      </c>
      <c r="K112">
        <f>IF(CODE('Levantamento dutos'!$F112)=66,SUM($B112:$F112),0)</f>
        <v>0</v>
      </c>
      <c r="L112">
        <f>IF(CODE('Levantamento dutos'!$F112)=70,SUM($B112:$F112),0)</f>
        <v>0</v>
      </c>
      <c r="M112" s="59">
        <f>IF(CODE('Levantamento dutos'!$E112)=84,SUM($B112:$F112),0)</f>
        <v>0</v>
      </c>
      <c r="N112" s="60">
        <f>IF(CODE('Levantamento dutos'!$G112)=80,IF('Levantamento dutos'!$B112&lt;=200,('Levantamento dutos'!$D112/'Levantamento dutos'!$G$12*Calculos!$G112*2),0),0)</f>
        <v>0</v>
      </c>
      <c r="O112" s="60">
        <f>IF(CODE('Levantamento dutos'!$G112)=80,IF('Levantamento dutos'!$B112&gt;200,('Levantamento dutos'!$D112/'Levantamento dutos'!$G$12*Calculos!$G112*2),0),0)</f>
        <v>0</v>
      </c>
      <c r="P112" s="60">
        <f>IF(CODE('Levantamento dutos'!$G112)=67,('Levantamento dutos'!$D112/'Levantamento dutos'!$G$12*Calculos!$G112*2),0)</f>
        <v>0</v>
      </c>
      <c r="Q112" s="60">
        <f>IF(CODE('Levantamento dutos'!H112)=83,((('Levantamento dutos'!B112/100)+('Levantamento dutos'!$H$12/1000))+(('Levantamento dutos'!C112/100)+('Levantamento dutos'!$H$12)/1000))*2*'Levantamento dutos'!D112,0)</f>
        <v>0</v>
      </c>
      <c r="S112" s="60">
        <f>IF(CODE('Levantamento dutos'!$I112)=83,$Q112,0)</f>
        <v>0</v>
      </c>
      <c r="T112" s="60">
        <f>IF(CODE('Levantamento dutos'!$E112)=76,ROUND((('Levantamento dutos'!$D112/5)*(Calculos!$G112+0.2)*1.2),0),0)</f>
        <v>0</v>
      </c>
      <c r="U112" s="60">
        <f>IF(CODE('Levantamento dutos'!$E112)=73,ROUND((('Levantamento dutos'!$D112/0.5)*(Calculos!$G112+0.2)*1.2),0),0)</f>
        <v>0</v>
      </c>
      <c r="V112" s="60">
        <f>IF(CODE('Levantamento dutos'!$E112)=80,ROUND((('Levantamento dutos'!$D112/0.5)*(Calculos!$G112+0.2)*1.2),0),0)</f>
        <v>0</v>
      </c>
      <c r="W112" s="60">
        <f>IF(CODE('Levantamento dutos'!$E112)=76,'Levantamento dutos'!$D112/0.5*1.5,0)</f>
        <v>0</v>
      </c>
      <c r="X112" s="60">
        <f>IF(CODE('Levantamento dutos'!$E112)=73,'Levantamento dutos'!$D112/0.5*1.5,0)</f>
        <v>0</v>
      </c>
      <c r="Y112" s="60">
        <f>IF(CODE('Levantamento dutos'!$E112)=80,'Levantamento dutos'!$D112/0.5*1.5,0)</f>
        <v>0</v>
      </c>
      <c r="Z112" s="60">
        <f>IF(CODE('Levantamento dutos'!$E112)=76,ROUND(('Levantamento dutos'!$D112)+('Levantamento dutos'!$D112*Calculos!$G112*2)*1.1,0),0)</f>
        <v>0</v>
      </c>
      <c r="AA112" s="60">
        <f>IF(CODE('Levantamento dutos'!$G112)=80,('Levantamento dutos'!$D112/'Levantamento dutos'!$G$12)*8,0)</f>
        <v>0</v>
      </c>
      <c r="AB112" s="60">
        <f>IF(CODE('Levantamento dutos'!$G112)=80,IF('Levantamento dutos'!$B112&gt;30,('Levantamento dutos'!$D112/'Levantamento dutos'!$G$12)*4,0),0)</f>
        <v>0</v>
      </c>
      <c r="AC112" s="60">
        <f>IF('Levantamento dutos'!$B112&gt;220,('Levantamento dutos'!$D112/'Levantamento dutos'!$G$12*Calculos!$G112*2),0)</f>
        <v>0</v>
      </c>
      <c r="AD112" s="60">
        <f>IF(CODE('Levantamento dutos'!$E112)=73,((('Levantamento dutos'!$E$12/1000)+0.02)*'Levantamento dutos'!$D112)*4*1.3,0)</f>
        <v>0</v>
      </c>
      <c r="AE112" s="60">
        <f>IF(CODE('Levantamento dutos'!$E112)=80,((('Levantamento dutos'!$E$12/1000)+0.02)*'Levantamento dutos'!$D112)*4*1.3,0)</f>
        <v>0</v>
      </c>
    </row>
    <row r="113" spans="2:31" x14ac:dyDescent="0.2">
      <c r="B113" s="58">
        <f>IF('Levantamento dutos'!$B113&lt;=Calculos!$Z$3,((('Levantamento dutos'!$B113)/100+('Levantamento dutos'!$C113)/100)*2)*'Levantamento dutos'!$D113,0)</f>
        <v>0</v>
      </c>
      <c r="C113">
        <f>IF('Levantamento dutos'!$B113&gt;Calculos!$Z$3,IF('Levantamento dutos'!$B113&lt;=Calculos!$Z$4,((('Levantamento dutos'!$B113)/100+('Levantamento dutos'!$C113)/100)*2)*'Levantamento dutos'!$D113,0),0)</f>
        <v>0</v>
      </c>
      <c r="D113">
        <f>IF('Levantamento dutos'!$B113&gt;Calculos!$Z$4,IF('Levantamento dutos'!$B113&lt;=Calculos!$Z$5,((('Levantamento dutos'!$B113)/100+('Levantamento dutos'!$C113)/100)*2)*'Levantamento dutos'!$D113,0),0)</f>
        <v>0</v>
      </c>
      <c r="E113">
        <f>IF('Levantamento dutos'!$B113&gt;Calculos!$Z$5,IF('Levantamento dutos'!$B113&lt;=Calculos!$Z$6,((('Levantamento dutos'!$B113)/100+('Levantamento dutos'!$C113)/100)*2)*'Levantamento dutos'!$D113,0),0)</f>
        <v>0</v>
      </c>
      <c r="F113" s="59">
        <f>IF('Levantamento dutos'!$B113&gt;Calculos!$Z$7,((('Levantamento dutos'!$B113)/100+('Levantamento dutos'!$C113)/100)*2)*'Levantamento dutos'!$D113,0)</f>
        <v>0</v>
      </c>
      <c r="G113">
        <f>(('Levantamento dutos'!B113+'Levantamento dutos'!C113)/100)*2</f>
        <v>0</v>
      </c>
      <c r="H113" s="58">
        <f>IF(CODE('Levantamento dutos'!$E113)=76,SUM($B113:$F113),0)</f>
        <v>0</v>
      </c>
      <c r="I113">
        <f>IF(CODE('Levantamento dutos'!$E113)=73,SUM($B113:$F113),0)</f>
        <v>0</v>
      </c>
      <c r="J113">
        <f>IF(CODE('Levantamento dutos'!$E113)=80,SUM($B113:$F113),0)</f>
        <v>0</v>
      </c>
      <c r="K113">
        <f>IF(CODE('Levantamento dutos'!$F113)=66,SUM($B113:$F113),0)</f>
        <v>0</v>
      </c>
      <c r="L113">
        <f>IF(CODE('Levantamento dutos'!$F113)=70,SUM($B113:$F113),0)</f>
        <v>0</v>
      </c>
      <c r="M113" s="59">
        <f>IF(CODE('Levantamento dutos'!$E113)=84,SUM($B113:$F113),0)</f>
        <v>0</v>
      </c>
      <c r="N113" s="60">
        <f>IF(CODE('Levantamento dutos'!$G113)=80,IF('Levantamento dutos'!$B113&lt;=200,('Levantamento dutos'!$D113/'Levantamento dutos'!$G$12*Calculos!$G113*2),0),0)</f>
        <v>0</v>
      </c>
      <c r="O113" s="60">
        <f>IF(CODE('Levantamento dutos'!$G113)=80,IF('Levantamento dutos'!$B113&gt;200,('Levantamento dutos'!$D113/'Levantamento dutos'!$G$12*Calculos!$G113*2),0),0)</f>
        <v>0</v>
      </c>
      <c r="P113" s="60">
        <f>IF(CODE('Levantamento dutos'!$G113)=67,('Levantamento dutos'!$D113/'Levantamento dutos'!$G$12*Calculos!$G113*2),0)</f>
        <v>0</v>
      </c>
      <c r="Q113" s="60">
        <f>IF(CODE('Levantamento dutos'!H113)=83,((('Levantamento dutos'!B113/100)+('Levantamento dutos'!$H$12/1000))+(('Levantamento dutos'!C113/100)+('Levantamento dutos'!$H$12)/1000))*2*'Levantamento dutos'!D113,0)</f>
        <v>0</v>
      </c>
      <c r="S113" s="60">
        <f>IF(CODE('Levantamento dutos'!$I113)=83,$Q113,0)</f>
        <v>0</v>
      </c>
      <c r="T113" s="60">
        <f>IF(CODE('Levantamento dutos'!$E113)=76,ROUND((('Levantamento dutos'!$D113/5)*(Calculos!$G113+0.2)*1.2),0),0)</f>
        <v>0</v>
      </c>
      <c r="U113" s="60">
        <f>IF(CODE('Levantamento dutos'!$E113)=73,ROUND((('Levantamento dutos'!$D113/0.5)*(Calculos!$G113+0.2)*1.2),0),0)</f>
        <v>0</v>
      </c>
      <c r="V113" s="60">
        <f>IF(CODE('Levantamento dutos'!$E113)=80,ROUND((('Levantamento dutos'!$D113/0.5)*(Calculos!$G113+0.2)*1.2),0),0)</f>
        <v>0</v>
      </c>
      <c r="W113" s="60">
        <f>IF(CODE('Levantamento dutos'!$E113)=76,'Levantamento dutos'!$D113/0.5*1.5,0)</f>
        <v>0</v>
      </c>
      <c r="X113" s="60">
        <f>IF(CODE('Levantamento dutos'!$E113)=73,'Levantamento dutos'!$D113/0.5*1.5,0)</f>
        <v>0</v>
      </c>
      <c r="Y113" s="60">
        <f>IF(CODE('Levantamento dutos'!$E113)=80,'Levantamento dutos'!$D113/0.5*1.5,0)</f>
        <v>0</v>
      </c>
      <c r="Z113" s="60">
        <f>IF(CODE('Levantamento dutos'!$E113)=76,ROUND(('Levantamento dutos'!$D113)+('Levantamento dutos'!$D113*Calculos!$G113*2)*1.1,0),0)</f>
        <v>0</v>
      </c>
      <c r="AA113" s="60">
        <f>IF(CODE('Levantamento dutos'!$G113)=80,('Levantamento dutos'!$D113/'Levantamento dutos'!$G$12)*8,0)</f>
        <v>0</v>
      </c>
      <c r="AB113" s="60">
        <f>IF(CODE('Levantamento dutos'!$G113)=80,IF('Levantamento dutos'!$B113&gt;30,('Levantamento dutos'!$D113/'Levantamento dutos'!$G$12)*4,0),0)</f>
        <v>0</v>
      </c>
      <c r="AC113" s="60">
        <f>IF('Levantamento dutos'!$B113&gt;220,('Levantamento dutos'!$D113/'Levantamento dutos'!$G$12*Calculos!$G113*2),0)</f>
        <v>0</v>
      </c>
      <c r="AD113" s="60">
        <f>IF(CODE('Levantamento dutos'!$E113)=73,((('Levantamento dutos'!$E$12/1000)+0.02)*'Levantamento dutos'!$D113)*4*1.3,0)</f>
        <v>0</v>
      </c>
      <c r="AE113" s="60">
        <f>IF(CODE('Levantamento dutos'!$E113)=80,((('Levantamento dutos'!$E$12/1000)+0.02)*'Levantamento dutos'!$D113)*4*1.3,0)</f>
        <v>0</v>
      </c>
    </row>
    <row r="114" spans="2:31" x14ac:dyDescent="0.2">
      <c r="B114" s="58">
        <f>IF('Levantamento dutos'!$B114&lt;=Calculos!$Z$3,((('Levantamento dutos'!$B114)/100+('Levantamento dutos'!$C114)/100)*2)*'Levantamento dutos'!$D114,0)</f>
        <v>0</v>
      </c>
      <c r="C114">
        <f>IF('Levantamento dutos'!$B114&gt;Calculos!$Z$3,IF('Levantamento dutos'!$B114&lt;=Calculos!$Z$4,((('Levantamento dutos'!$B114)/100+('Levantamento dutos'!$C114)/100)*2)*'Levantamento dutos'!$D114,0),0)</f>
        <v>0</v>
      </c>
      <c r="D114">
        <f>IF('Levantamento dutos'!$B114&gt;Calculos!$Z$4,IF('Levantamento dutos'!$B114&lt;=Calculos!$Z$5,((('Levantamento dutos'!$B114)/100+('Levantamento dutos'!$C114)/100)*2)*'Levantamento dutos'!$D114,0),0)</f>
        <v>0</v>
      </c>
      <c r="E114">
        <f>IF('Levantamento dutos'!$B114&gt;Calculos!$Z$5,IF('Levantamento dutos'!$B114&lt;=Calculos!$Z$6,((('Levantamento dutos'!$B114)/100+('Levantamento dutos'!$C114)/100)*2)*'Levantamento dutos'!$D114,0),0)</f>
        <v>0</v>
      </c>
      <c r="F114" s="59">
        <f>IF('Levantamento dutos'!$B114&gt;Calculos!$Z$7,((('Levantamento dutos'!$B114)/100+('Levantamento dutos'!$C114)/100)*2)*'Levantamento dutos'!$D114,0)</f>
        <v>0</v>
      </c>
      <c r="G114">
        <f>(('Levantamento dutos'!B114+'Levantamento dutos'!C114)/100)*2</f>
        <v>0</v>
      </c>
      <c r="H114" s="58">
        <f>IF(CODE('Levantamento dutos'!$E114)=76,SUM($B114:$F114),0)</f>
        <v>0</v>
      </c>
      <c r="I114">
        <f>IF(CODE('Levantamento dutos'!$E114)=73,SUM($B114:$F114),0)</f>
        <v>0</v>
      </c>
      <c r="J114">
        <f>IF(CODE('Levantamento dutos'!$E114)=80,SUM($B114:$F114),0)</f>
        <v>0</v>
      </c>
      <c r="K114">
        <f>IF(CODE('Levantamento dutos'!$F114)=66,SUM($B114:$F114),0)</f>
        <v>0</v>
      </c>
      <c r="L114">
        <f>IF(CODE('Levantamento dutos'!$F114)=70,SUM($B114:$F114),0)</f>
        <v>0</v>
      </c>
      <c r="M114" s="59">
        <f>IF(CODE('Levantamento dutos'!$E114)=84,SUM($B114:$F114),0)</f>
        <v>0</v>
      </c>
      <c r="N114" s="60">
        <f>IF(CODE('Levantamento dutos'!$G114)=80,IF('Levantamento dutos'!$B114&lt;=200,('Levantamento dutos'!$D114/'Levantamento dutos'!$G$12*Calculos!$G114*2),0),0)</f>
        <v>0</v>
      </c>
      <c r="O114" s="60">
        <f>IF(CODE('Levantamento dutos'!$G114)=80,IF('Levantamento dutos'!$B114&gt;200,('Levantamento dutos'!$D114/'Levantamento dutos'!$G$12*Calculos!$G114*2),0),0)</f>
        <v>0</v>
      </c>
      <c r="P114" s="60">
        <f>IF(CODE('Levantamento dutos'!$G114)=67,('Levantamento dutos'!$D114/'Levantamento dutos'!$G$12*Calculos!$G114*2),0)</f>
        <v>0</v>
      </c>
      <c r="Q114" s="60">
        <f>IF(CODE('Levantamento dutos'!H114)=83,((('Levantamento dutos'!B114/100)+('Levantamento dutos'!$H$12/1000))+(('Levantamento dutos'!C114/100)+('Levantamento dutos'!$H$12)/1000))*2*'Levantamento dutos'!D114,0)</f>
        <v>0</v>
      </c>
      <c r="S114" s="60">
        <f>IF(CODE('Levantamento dutos'!$I114)=83,$Q114,0)</f>
        <v>0</v>
      </c>
      <c r="T114" s="60">
        <f>IF(CODE('Levantamento dutos'!$E114)=76,ROUND((('Levantamento dutos'!$D114/5)*(Calculos!$G114+0.2)*1.2),0),0)</f>
        <v>0</v>
      </c>
      <c r="U114" s="60">
        <f>IF(CODE('Levantamento dutos'!$E114)=73,ROUND((('Levantamento dutos'!$D114/0.5)*(Calculos!$G114+0.2)*1.2),0),0)</f>
        <v>0</v>
      </c>
      <c r="V114" s="60">
        <f>IF(CODE('Levantamento dutos'!$E114)=80,ROUND((('Levantamento dutos'!$D114/0.5)*(Calculos!$G114+0.2)*1.2),0),0)</f>
        <v>0</v>
      </c>
      <c r="W114" s="60">
        <f>IF(CODE('Levantamento dutos'!$E114)=76,'Levantamento dutos'!$D114/0.5*1.5,0)</f>
        <v>0</v>
      </c>
      <c r="X114" s="60">
        <f>IF(CODE('Levantamento dutos'!$E114)=73,'Levantamento dutos'!$D114/0.5*1.5,0)</f>
        <v>0</v>
      </c>
      <c r="Y114" s="60">
        <f>IF(CODE('Levantamento dutos'!$E114)=80,'Levantamento dutos'!$D114/0.5*1.5,0)</f>
        <v>0</v>
      </c>
      <c r="Z114" s="60">
        <f>IF(CODE('Levantamento dutos'!$E114)=76,ROUND(('Levantamento dutos'!$D114)+('Levantamento dutos'!$D114*Calculos!$G114*2)*1.1,0),0)</f>
        <v>0</v>
      </c>
      <c r="AA114" s="60">
        <f>IF(CODE('Levantamento dutos'!$G114)=80,('Levantamento dutos'!$D114/'Levantamento dutos'!$G$12)*8,0)</f>
        <v>0</v>
      </c>
      <c r="AB114" s="60">
        <f>IF(CODE('Levantamento dutos'!$G114)=80,IF('Levantamento dutos'!$B114&gt;30,('Levantamento dutos'!$D114/'Levantamento dutos'!$G$12)*4,0),0)</f>
        <v>0</v>
      </c>
      <c r="AC114" s="60">
        <f>IF('Levantamento dutos'!$B114&gt;220,('Levantamento dutos'!$D114/'Levantamento dutos'!$G$12*Calculos!$G114*2),0)</f>
        <v>0</v>
      </c>
      <c r="AD114" s="60">
        <f>IF(CODE('Levantamento dutos'!$E114)=73,((('Levantamento dutos'!$E$12/1000)+0.02)*'Levantamento dutos'!$D114)*4*1.3,0)</f>
        <v>0</v>
      </c>
      <c r="AE114" s="60">
        <f>IF(CODE('Levantamento dutos'!$E114)=80,((('Levantamento dutos'!$E$12/1000)+0.02)*'Levantamento dutos'!$D114)*4*1.3,0)</f>
        <v>0</v>
      </c>
    </row>
    <row r="115" spans="2:31" x14ac:dyDescent="0.2">
      <c r="B115" s="58">
        <f>IF('Levantamento dutos'!$B115&lt;=Calculos!$Z$3,((('Levantamento dutos'!$B115)/100+('Levantamento dutos'!$C115)/100)*2)*'Levantamento dutos'!$D115,0)</f>
        <v>0</v>
      </c>
      <c r="C115">
        <f>IF('Levantamento dutos'!$B115&gt;Calculos!$Z$3,IF('Levantamento dutos'!$B115&lt;=Calculos!$Z$4,((('Levantamento dutos'!$B115)/100+('Levantamento dutos'!$C115)/100)*2)*'Levantamento dutos'!$D115,0),0)</f>
        <v>0</v>
      </c>
      <c r="D115">
        <f>IF('Levantamento dutos'!$B115&gt;Calculos!$Z$4,IF('Levantamento dutos'!$B115&lt;=Calculos!$Z$5,((('Levantamento dutos'!$B115)/100+('Levantamento dutos'!$C115)/100)*2)*'Levantamento dutos'!$D115,0),0)</f>
        <v>0</v>
      </c>
      <c r="E115">
        <f>IF('Levantamento dutos'!$B115&gt;Calculos!$Z$5,IF('Levantamento dutos'!$B115&lt;=Calculos!$Z$6,((('Levantamento dutos'!$B115)/100+('Levantamento dutos'!$C115)/100)*2)*'Levantamento dutos'!$D115,0),0)</f>
        <v>0</v>
      </c>
      <c r="F115" s="59">
        <f>IF('Levantamento dutos'!$B115&gt;Calculos!$Z$7,((('Levantamento dutos'!$B115)/100+('Levantamento dutos'!$C115)/100)*2)*'Levantamento dutos'!$D115,0)</f>
        <v>0</v>
      </c>
      <c r="G115">
        <f>(('Levantamento dutos'!B115+'Levantamento dutos'!C115)/100)*2</f>
        <v>0</v>
      </c>
      <c r="H115" s="58">
        <f>IF(CODE('Levantamento dutos'!$E115)=76,SUM($B115:$F115),0)</f>
        <v>0</v>
      </c>
      <c r="I115">
        <f>IF(CODE('Levantamento dutos'!$E115)=73,SUM($B115:$F115),0)</f>
        <v>0</v>
      </c>
      <c r="J115">
        <f>IF(CODE('Levantamento dutos'!$E115)=80,SUM($B115:$F115),0)</f>
        <v>0</v>
      </c>
      <c r="K115">
        <f>IF(CODE('Levantamento dutos'!$F115)=66,SUM($B115:$F115),0)</f>
        <v>0</v>
      </c>
      <c r="L115">
        <f>IF(CODE('Levantamento dutos'!$F115)=70,SUM($B115:$F115),0)</f>
        <v>0</v>
      </c>
      <c r="M115" s="59">
        <f>IF(CODE('Levantamento dutos'!$E115)=84,SUM($B115:$F115),0)</f>
        <v>0</v>
      </c>
      <c r="N115" s="60">
        <f>IF(CODE('Levantamento dutos'!$G115)=80,IF('Levantamento dutos'!$B115&lt;=200,('Levantamento dutos'!$D115/'Levantamento dutos'!$G$12*Calculos!$G115*2),0),0)</f>
        <v>0</v>
      </c>
      <c r="O115" s="60">
        <f>IF(CODE('Levantamento dutos'!$G115)=80,IF('Levantamento dutos'!$B115&gt;200,('Levantamento dutos'!$D115/'Levantamento dutos'!$G$12*Calculos!$G115*2),0),0)</f>
        <v>0</v>
      </c>
      <c r="P115" s="60">
        <f>IF(CODE('Levantamento dutos'!$G115)=67,('Levantamento dutos'!$D115/'Levantamento dutos'!$G$12*Calculos!$G115*2),0)</f>
        <v>0</v>
      </c>
      <c r="Q115" s="60">
        <f>IF(CODE('Levantamento dutos'!H115)=83,((('Levantamento dutos'!B115/100)+('Levantamento dutos'!$H$12/1000))+(('Levantamento dutos'!C115/100)+('Levantamento dutos'!$H$12)/1000))*2*'Levantamento dutos'!D115,0)</f>
        <v>0</v>
      </c>
      <c r="S115" s="60">
        <f>IF(CODE('Levantamento dutos'!$I115)=83,$Q115,0)</f>
        <v>0</v>
      </c>
      <c r="T115" s="60">
        <f>IF(CODE('Levantamento dutos'!$E115)=76,ROUND((('Levantamento dutos'!$D115/5)*(Calculos!$G115+0.2)*1.2),0),0)</f>
        <v>0</v>
      </c>
      <c r="U115" s="60">
        <f>IF(CODE('Levantamento dutos'!$E115)=73,ROUND((('Levantamento dutos'!$D115/0.5)*(Calculos!$G115+0.2)*1.2),0),0)</f>
        <v>0</v>
      </c>
      <c r="V115" s="60">
        <f>IF(CODE('Levantamento dutos'!$E115)=80,ROUND((('Levantamento dutos'!$D115/0.5)*(Calculos!$G115+0.2)*1.2),0),0)</f>
        <v>0</v>
      </c>
      <c r="W115" s="60">
        <f>IF(CODE('Levantamento dutos'!$E115)=76,'Levantamento dutos'!$D115/0.5*1.5,0)</f>
        <v>0</v>
      </c>
      <c r="X115" s="60">
        <f>IF(CODE('Levantamento dutos'!$E115)=73,'Levantamento dutos'!$D115/0.5*1.5,0)</f>
        <v>0</v>
      </c>
      <c r="Y115" s="60">
        <f>IF(CODE('Levantamento dutos'!$E115)=80,'Levantamento dutos'!$D115/0.5*1.5,0)</f>
        <v>0</v>
      </c>
      <c r="Z115" s="60">
        <f>IF(CODE('Levantamento dutos'!$E115)=76,ROUND(('Levantamento dutos'!$D115)+('Levantamento dutos'!$D115*Calculos!$G115*2)*1.1,0),0)</f>
        <v>0</v>
      </c>
      <c r="AA115" s="60">
        <f>IF(CODE('Levantamento dutos'!$G115)=80,('Levantamento dutos'!$D115/'Levantamento dutos'!$G$12)*8,0)</f>
        <v>0</v>
      </c>
      <c r="AB115" s="60">
        <f>IF(CODE('Levantamento dutos'!$G115)=80,IF('Levantamento dutos'!$B115&gt;30,('Levantamento dutos'!$D115/'Levantamento dutos'!$G$12)*4,0),0)</f>
        <v>0</v>
      </c>
      <c r="AC115" s="60">
        <f>IF('Levantamento dutos'!$B115&gt;220,('Levantamento dutos'!$D115/'Levantamento dutos'!$G$12*Calculos!$G115*2),0)</f>
        <v>0</v>
      </c>
      <c r="AD115" s="60">
        <f>IF(CODE('Levantamento dutos'!$E115)=73,((('Levantamento dutos'!$E$12/1000)+0.02)*'Levantamento dutos'!$D115)*4*1.3,0)</f>
        <v>0</v>
      </c>
      <c r="AE115" s="60">
        <f>IF(CODE('Levantamento dutos'!$E115)=80,((('Levantamento dutos'!$E$12/1000)+0.02)*'Levantamento dutos'!$D115)*4*1.3,0)</f>
        <v>0</v>
      </c>
    </row>
    <row r="116" spans="2:31" x14ac:dyDescent="0.2">
      <c r="B116" s="58">
        <f>IF('Levantamento dutos'!$B116&lt;=Calculos!$Z$3,((('Levantamento dutos'!$B116)/100+('Levantamento dutos'!$C116)/100)*2)*'Levantamento dutos'!$D116,0)</f>
        <v>0</v>
      </c>
      <c r="C116">
        <f>IF('Levantamento dutos'!$B116&gt;Calculos!$Z$3,IF('Levantamento dutos'!$B116&lt;=Calculos!$Z$4,((('Levantamento dutos'!$B116)/100+('Levantamento dutos'!$C116)/100)*2)*'Levantamento dutos'!$D116,0),0)</f>
        <v>0</v>
      </c>
      <c r="D116">
        <f>IF('Levantamento dutos'!$B116&gt;Calculos!$Z$4,IF('Levantamento dutos'!$B116&lt;=Calculos!$Z$5,((('Levantamento dutos'!$B116)/100+('Levantamento dutos'!$C116)/100)*2)*'Levantamento dutos'!$D116,0),0)</f>
        <v>0</v>
      </c>
      <c r="E116">
        <f>IF('Levantamento dutos'!$B116&gt;Calculos!$Z$5,IF('Levantamento dutos'!$B116&lt;=Calculos!$Z$6,((('Levantamento dutos'!$B116)/100+('Levantamento dutos'!$C116)/100)*2)*'Levantamento dutos'!$D116,0),0)</f>
        <v>0</v>
      </c>
      <c r="F116" s="59">
        <f>IF('Levantamento dutos'!$B116&gt;Calculos!$Z$7,((('Levantamento dutos'!$B116)/100+('Levantamento dutos'!$C116)/100)*2)*'Levantamento dutos'!$D116,0)</f>
        <v>0</v>
      </c>
      <c r="G116">
        <f>(('Levantamento dutos'!B116+'Levantamento dutos'!C116)/100)*2</f>
        <v>0</v>
      </c>
      <c r="H116" s="58">
        <f>IF(CODE('Levantamento dutos'!$E116)=76,SUM($B116:$F116),0)</f>
        <v>0</v>
      </c>
      <c r="I116">
        <f>IF(CODE('Levantamento dutos'!$E116)=73,SUM($B116:$F116),0)</f>
        <v>0</v>
      </c>
      <c r="J116">
        <f>IF(CODE('Levantamento dutos'!$E116)=80,SUM($B116:$F116),0)</f>
        <v>0</v>
      </c>
      <c r="K116">
        <f>IF(CODE('Levantamento dutos'!$F116)=66,SUM($B116:$F116),0)</f>
        <v>0</v>
      </c>
      <c r="L116">
        <f>IF(CODE('Levantamento dutos'!$F116)=70,SUM($B116:$F116),0)</f>
        <v>0</v>
      </c>
      <c r="M116" s="59">
        <f>IF(CODE('Levantamento dutos'!$E116)=84,SUM($B116:$F116),0)</f>
        <v>0</v>
      </c>
      <c r="N116" s="60">
        <f>IF(CODE('Levantamento dutos'!$G116)=80,IF('Levantamento dutos'!$B116&lt;=200,('Levantamento dutos'!$D116/'Levantamento dutos'!$G$12*Calculos!$G116*2),0),0)</f>
        <v>0</v>
      </c>
      <c r="O116" s="60">
        <f>IF(CODE('Levantamento dutos'!$G116)=80,IF('Levantamento dutos'!$B116&gt;200,('Levantamento dutos'!$D116/'Levantamento dutos'!$G$12*Calculos!$G116*2),0),0)</f>
        <v>0</v>
      </c>
      <c r="P116" s="60">
        <f>IF(CODE('Levantamento dutos'!$G116)=67,('Levantamento dutos'!$D116/'Levantamento dutos'!$G$12*Calculos!$G116*2),0)</f>
        <v>0</v>
      </c>
      <c r="Q116" s="60">
        <f>IF(CODE('Levantamento dutos'!H116)=83,((('Levantamento dutos'!B116/100)+('Levantamento dutos'!$H$12/1000))+(('Levantamento dutos'!C116/100)+('Levantamento dutos'!$H$12)/1000))*2*'Levantamento dutos'!D116,0)</f>
        <v>0</v>
      </c>
      <c r="S116" s="60">
        <f>IF(CODE('Levantamento dutos'!$I116)=83,$Q116,0)</f>
        <v>0</v>
      </c>
      <c r="T116" s="60">
        <f>IF(CODE('Levantamento dutos'!$E116)=76,ROUND((('Levantamento dutos'!$D116/5)*(Calculos!$G116+0.2)*1.2),0),0)</f>
        <v>0</v>
      </c>
      <c r="U116" s="60">
        <f>IF(CODE('Levantamento dutos'!$E116)=73,ROUND((('Levantamento dutos'!$D116/0.5)*(Calculos!$G116+0.2)*1.2),0),0)</f>
        <v>0</v>
      </c>
      <c r="V116" s="60">
        <f>IF(CODE('Levantamento dutos'!$E116)=80,ROUND((('Levantamento dutos'!$D116/0.5)*(Calculos!$G116+0.2)*1.2),0),0)</f>
        <v>0</v>
      </c>
      <c r="W116" s="60">
        <f>IF(CODE('Levantamento dutos'!$E116)=76,'Levantamento dutos'!$D116/0.5*1.5,0)</f>
        <v>0</v>
      </c>
      <c r="X116" s="60">
        <f>IF(CODE('Levantamento dutos'!$E116)=73,'Levantamento dutos'!$D116/0.5*1.5,0)</f>
        <v>0</v>
      </c>
      <c r="Y116" s="60">
        <f>IF(CODE('Levantamento dutos'!$E116)=80,'Levantamento dutos'!$D116/0.5*1.5,0)</f>
        <v>0</v>
      </c>
      <c r="Z116" s="60">
        <f>IF(CODE('Levantamento dutos'!$E116)=76,ROUND(('Levantamento dutos'!$D116)+('Levantamento dutos'!$D116*Calculos!$G116*2)*1.1,0),0)</f>
        <v>0</v>
      </c>
      <c r="AA116" s="60">
        <f>IF(CODE('Levantamento dutos'!$G116)=80,('Levantamento dutos'!$D116/'Levantamento dutos'!$G$12)*8,0)</f>
        <v>0</v>
      </c>
      <c r="AB116" s="60">
        <f>IF(CODE('Levantamento dutos'!$G116)=80,IF('Levantamento dutos'!$B116&gt;30,('Levantamento dutos'!$D116/'Levantamento dutos'!$G$12)*4,0),0)</f>
        <v>0</v>
      </c>
      <c r="AC116" s="60">
        <f>IF('Levantamento dutos'!$B116&gt;220,('Levantamento dutos'!$D116/'Levantamento dutos'!$G$12*Calculos!$G116*2),0)</f>
        <v>0</v>
      </c>
      <c r="AD116" s="60">
        <f>IF(CODE('Levantamento dutos'!$E116)=73,((('Levantamento dutos'!$E$12/1000)+0.02)*'Levantamento dutos'!$D116)*4*1.3,0)</f>
        <v>0</v>
      </c>
      <c r="AE116" s="60">
        <f>IF(CODE('Levantamento dutos'!$E116)=80,((('Levantamento dutos'!$E$12/1000)+0.02)*'Levantamento dutos'!$D116)*4*1.3,0)</f>
        <v>0</v>
      </c>
    </row>
    <row r="117" spans="2:31" x14ac:dyDescent="0.2">
      <c r="B117" s="58">
        <f>IF('Levantamento dutos'!$B117&lt;=Calculos!$Z$3,((('Levantamento dutos'!$B117)/100+('Levantamento dutos'!$C117)/100)*2)*'Levantamento dutos'!$D117,0)</f>
        <v>0</v>
      </c>
      <c r="C117">
        <f>IF('Levantamento dutos'!$B117&gt;Calculos!$Z$3,IF('Levantamento dutos'!$B117&lt;=Calculos!$Z$4,((('Levantamento dutos'!$B117)/100+('Levantamento dutos'!$C117)/100)*2)*'Levantamento dutos'!$D117,0),0)</f>
        <v>0</v>
      </c>
      <c r="D117">
        <f>IF('Levantamento dutos'!$B117&gt;Calculos!$Z$4,IF('Levantamento dutos'!$B117&lt;=Calculos!$Z$5,((('Levantamento dutos'!$B117)/100+('Levantamento dutos'!$C117)/100)*2)*'Levantamento dutos'!$D117,0),0)</f>
        <v>0</v>
      </c>
      <c r="E117">
        <f>IF('Levantamento dutos'!$B117&gt;Calculos!$Z$5,IF('Levantamento dutos'!$B117&lt;=Calculos!$Z$6,((('Levantamento dutos'!$B117)/100+('Levantamento dutos'!$C117)/100)*2)*'Levantamento dutos'!$D117,0),0)</f>
        <v>0</v>
      </c>
      <c r="F117" s="59">
        <f>IF('Levantamento dutos'!$B117&gt;Calculos!$Z$7,((('Levantamento dutos'!$B117)/100+('Levantamento dutos'!$C117)/100)*2)*'Levantamento dutos'!$D117,0)</f>
        <v>0</v>
      </c>
      <c r="G117">
        <f>(('Levantamento dutos'!B117+'Levantamento dutos'!C117)/100)*2</f>
        <v>0</v>
      </c>
      <c r="H117" s="58">
        <f>IF(CODE('Levantamento dutos'!$E117)=76,SUM($B117:$F117),0)</f>
        <v>0</v>
      </c>
      <c r="I117">
        <f>IF(CODE('Levantamento dutos'!$E117)=73,SUM($B117:$F117),0)</f>
        <v>0</v>
      </c>
      <c r="J117">
        <f>IF(CODE('Levantamento dutos'!$E117)=80,SUM($B117:$F117),0)</f>
        <v>0</v>
      </c>
      <c r="K117">
        <f>IF(CODE('Levantamento dutos'!$F117)=66,SUM($B117:$F117),0)</f>
        <v>0</v>
      </c>
      <c r="L117">
        <f>IF(CODE('Levantamento dutos'!$F117)=70,SUM($B117:$F117),0)</f>
        <v>0</v>
      </c>
      <c r="M117" s="59">
        <f>IF(CODE('Levantamento dutos'!$E117)=84,SUM($B117:$F117),0)</f>
        <v>0</v>
      </c>
      <c r="N117" s="60">
        <f>IF(CODE('Levantamento dutos'!$G117)=80,IF('Levantamento dutos'!$B117&lt;=200,('Levantamento dutos'!$D117/'Levantamento dutos'!$G$12*Calculos!$G117*2),0),0)</f>
        <v>0</v>
      </c>
      <c r="O117" s="60">
        <f>IF(CODE('Levantamento dutos'!$G117)=80,IF('Levantamento dutos'!$B117&gt;200,('Levantamento dutos'!$D117/'Levantamento dutos'!$G$12*Calculos!$G117*2),0),0)</f>
        <v>0</v>
      </c>
      <c r="P117" s="60">
        <f>IF(CODE('Levantamento dutos'!$G117)=67,('Levantamento dutos'!$D117/'Levantamento dutos'!$G$12*Calculos!$G117*2),0)</f>
        <v>0</v>
      </c>
      <c r="Q117" s="60">
        <f>IF(CODE('Levantamento dutos'!H117)=83,((('Levantamento dutos'!B117/100)+('Levantamento dutos'!$H$12/1000))+(('Levantamento dutos'!C117/100)+('Levantamento dutos'!$H$12)/1000))*2*'Levantamento dutos'!D117,0)</f>
        <v>0</v>
      </c>
      <c r="S117" s="60">
        <f>IF(CODE('Levantamento dutos'!$I117)=83,$Q117,0)</f>
        <v>0</v>
      </c>
      <c r="T117" s="60">
        <f>IF(CODE('Levantamento dutos'!$E117)=76,ROUND((('Levantamento dutos'!$D117/5)*(Calculos!$G117+0.2)*1.2),0),0)</f>
        <v>0</v>
      </c>
      <c r="U117" s="60">
        <f>IF(CODE('Levantamento dutos'!$E117)=73,ROUND((('Levantamento dutos'!$D117/0.5)*(Calculos!$G117+0.2)*1.2),0),0)</f>
        <v>0</v>
      </c>
      <c r="V117" s="60">
        <f>IF(CODE('Levantamento dutos'!$E117)=80,ROUND((('Levantamento dutos'!$D117/0.5)*(Calculos!$G117+0.2)*1.2),0),0)</f>
        <v>0</v>
      </c>
      <c r="W117" s="60">
        <f>IF(CODE('Levantamento dutos'!$E117)=76,'Levantamento dutos'!$D117/0.5*1.5,0)</f>
        <v>0</v>
      </c>
      <c r="X117" s="60">
        <f>IF(CODE('Levantamento dutos'!$E117)=73,'Levantamento dutos'!$D117/0.5*1.5,0)</f>
        <v>0</v>
      </c>
      <c r="Y117" s="60">
        <f>IF(CODE('Levantamento dutos'!$E117)=80,'Levantamento dutos'!$D117/0.5*1.5,0)</f>
        <v>0</v>
      </c>
      <c r="Z117" s="60">
        <f>IF(CODE('Levantamento dutos'!$E117)=76,ROUND(('Levantamento dutos'!$D117)+('Levantamento dutos'!$D117*Calculos!$G117*2)*1.1,0),0)</f>
        <v>0</v>
      </c>
      <c r="AA117" s="60">
        <f>IF(CODE('Levantamento dutos'!$G117)=80,('Levantamento dutos'!$D117/'Levantamento dutos'!$G$12)*8,0)</f>
        <v>0</v>
      </c>
      <c r="AB117" s="60">
        <f>IF(CODE('Levantamento dutos'!$G117)=80,IF('Levantamento dutos'!$B117&gt;30,('Levantamento dutos'!$D117/'Levantamento dutos'!$G$12)*4,0),0)</f>
        <v>0</v>
      </c>
      <c r="AC117" s="60">
        <f>IF('Levantamento dutos'!$B117&gt;220,('Levantamento dutos'!$D117/'Levantamento dutos'!$G$12*Calculos!$G117*2),0)</f>
        <v>0</v>
      </c>
      <c r="AD117" s="60">
        <f>IF(CODE('Levantamento dutos'!$E117)=73,((('Levantamento dutos'!$E$12/1000)+0.02)*'Levantamento dutos'!$D117)*4*1.3,0)</f>
        <v>0</v>
      </c>
      <c r="AE117" s="60">
        <f>IF(CODE('Levantamento dutos'!$E117)=80,((('Levantamento dutos'!$E$12/1000)+0.02)*'Levantamento dutos'!$D117)*4*1.3,0)</f>
        <v>0</v>
      </c>
    </row>
    <row r="118" spans="2:31" x14ac:dyDescent="0.2">
      <c r="B118" s="58">
        <f>IF('Levantamento dutos'!$B118&lt;=Calculos!$Z$3,((('Levantamento dutos'!$B118)/100+('Levantamento dutos'!$C118)/100)*2)*'Levantamento dutos'!$D118,0)</f>
        <v>0</v>
      </c>
      <c r="C118">
        <f>IF('Levantamento dutos'!$B118&gt;Calculos!$Z$3,IF('Levantamento dutos'!$B118&lt;=Calculos!$Z$4,((('Levantamento dutos'!$B118)/100+('Levantamento dutos'!$C118)/100)*2)*'Levantamento dutos'!$D118,0),0)</f>
        <v>0</v>
      </c>
      <c r="D118">
        <f>IF('Levantamento dutos'!$B118&gt;Calculos!$Z$4,IF('Levantamento dutos'!$B118&lt;=Calculos!$Z$5,((('Levantamento dutos'!$B118)/100+('Levantamento dutos'!$C118)/100)*2)*'Levantamento dutos'!$D118,0),0)</f>
        <v>0</v>
      </c>
      <c r="E118">
        <f>IF('Levantamento dutos'!$B118&gt;Calculos!$Z$5,IF('Levantamento dutos'!$B118&lt;=Calculos!$Z$6,((('Levantamento dutos'!$B118)/100+('Levantamento dutos'!$C118)/100)*2)*'Levantamento dutos'!$D118,0),0)</f>
        <v>0</v>
      </c>
      <c r="F118" s="59">
        <f>IF('Levantamento dutos'!$B118&gt;Calculos!$Z$7,((('Levantamento dutos'!$B118)/100+('Levantamento dutos'!$C118)/100)*2)*'Levantamento dutos'!$D118,0)</f>
        <v>0</v>
      </c>
      <c r="G118">
        <f>(('Levantamento dutos'!B118+'Levantamento dutos'!C118)/100)*2</f>
        <v>0</v>
      </c>
      <c r="H118" s="58">
        <f>IF(CODE('Levantamento dutos'!$E118)=76,SUM($B118:$F118),0)</f>
        <v>0</v>
      </c>
      <c r="I118">
        <f>IF(CODE('Levantamento dutos'!$E118)=73,SUM($B118:$F118),0)</f>
        <v>0</v>
      </c>
      <c r="J118">
        <f>IF(CODE('Levantamento dutos'!$E118)=80,SUM($B118:$F118),0)</f>
        <v>0</v>
      </c>
      <c r="K118">
        <f>IF(CODE('Levantamento dutos'!$F118)=66,SUM($B118:$F118),0)</f>
        <v>0</v>
      </c>
      <c r="L118">
        <f>IF(CODE('Levantamento dutos'!$F118)=70,SUM($B118:$F118),0)</f>
        <v>0</v>
      </c>
      <c r="M118" s="59">
        <f>IF(CODE('Levantamento dutos'!$E118)=84,SUM($B118:$F118),0)</f>
        <v>0</v>
      </c>
      <c r="N118" s="60">
        <f>IF(CODE('Levantamento dutos'!$G118)=80,IF('Levantamento dutos'!$B118&lt;=200,('Levantamento dutos'!$D118/'Levantamento dutos'!$G$12*Calculos!$G118*2),0),0)</f>
        <v>0</v>
      </c>
      <c r="O118" s="60">
        <f>IF(CODE('Levantamento dutos'!$G118)=80,IF('Levantamento dutos'!$B118&gt;200,('Levantamento dutos'!$D118/'Levantamento dutos'!$G$12*Calculos!$G118*2),0),0)</f>
        <v>0</v>
      </c>
      <c r="P118" s="60">
        <f>IF(CODE('Levantamento dutos'!$G118)=67,('Levantamento dutos'!$D118/'Levantamento dutos'!$G$12*Calculos!$G118*2),0)</f>
        <v>0</v>
      </c>
      <c r="Q118" s="60">
        <f>IF(CODE('Levantamento dutos'!H118)=83,((('Levantamento dutos'!B118/100)+('Levantamento dutos'!$H$12/1000))+(('Levantamento dutos'!C118/100)+('Levantamento dutos'!$H$12)/1000))*2*'Levantamento dutos'!D118,0)</f>
        <v>0</v>
      </c>
      <c r="S118" s="60">
        <f>IF(CODE('Levantamento dutos'!$I118)=83,$Q118,0)</f>
        <v>0</v>
      </c>
      <c r="T118" s="60">
        <f>IF(CODE('Levantamento dutos'!$E118)=76,ROUND((('Levantamento dutos'!$D118/5)*(Calculos!$G118+0.2)*1.2),0),0)</f>
        <v>0</v>
      </c>
      <c r="U118" s="60">
        <f>IF(CODE('Levantamento dutos'!$E118)=73,ROUND((('Levantamento dutos'!$D118/0.5)*(Calculos!$G118+0.2)*1.2),0),0)</f>
        <v>0</v>
      </c>
      <c r="V118" s="60">
        <f>IF(CODE('Levantamento dutos'!$E118)=80,ROUND((('Levantamento dutos'!$D118/0.5)*(Calculos!$G118+0.2)*1.2),0),0)</f>
        <v>0</v>
      </c>
      <c r="W118" s="60">
        <f>IF(CODE('Levantamento dutos'!$E118)=76,'Levantamento dutos'!$D118/0.5*1.5,0)</f>
        <v>0</v>
      </c>
      <c r="X118" s="60">
        <f>IF(CODE('Levantamento dutos'!$E118)=73,'Levantamento dutos'!$D118/0.5*1.5,0)</f>
        <v>0</v>
      </c>
      <c r="Y118" s="60">
        <f>IF(CODE('Levantamento dutos'!$E118)=80,'Levantamento dutos'!$D118/0.5*1.5,0)</f>
        <v>0</v>
      </c>
      <c r="Z118" s="60">
        <f>IF(CODE('Levantamento dutos'!$E118)=76,ROUND(('Levantamento dutos'!$D118)+('Levantamento dutos'!$D118*Calculos!$G118*2)*1.1,0),0)</f>
        <v>0</v>
      </c>
      <c r="AA118" s="60">
        <f>IF(CODE('Levantamento dutos'!$G118)=80,('Levantamento dutos'!$D118/'Levantamento dutos'!$G$12)*8,0)</f>
        <v>0</v>
      </c>
      <c r="AB118" s="60">
        <f>IF(CODE('Levantamento dutos'!$G118)=80,IF('Levantamento dutos'!$B118&gt;30,('Levantamento dutos'!$D118/'Levantamento dutos'!$G$12)*4,0),0)</f>
        <v>0</v>
      </c>
      <c r="AC118" s="60">
        <f>IF('Levantamento dutos'!$B118&gt;220,('Levantamento dutos'!$D118/'Levantamento dutos'!$G$12*Calculos!$G118*2),0)</f>
        <v>0</v>
      </c>
      <c r="AD118" s="60">
        <f>IF(CODE('Levantamento dutos'!$E118)=73,((('Levantamento dutos'!$E$12/1000)+0.02)*'Levantamento dutos'!$D118)*4*1.3,0)</f>
        <v>0</v>
      </c>
      <c r="AE118" s="60">
        <f>IF(CODE('Levantamento dutos'!$E118)=80,((('Levantamento dutos'!$E$12/1000)+0.02)*'Levantamento dutos'!$D118)*4*1.3,0)</f>
        <v>0</v>
      </c>
    </row>
    <row r="119" spans="2:31" x14ac:dyDescent="0.2">
      <c r="B119" s="58">
        <f>IF('Levantamento dutos'!$B119&lt;=Calculos!$Z$3,((('Levantamento dutos'!$B119)/100+('Levantamento dutos'!$C119)/100)*2)*'Levantamento dutos'!$D119,0)</f>
        <v>0</v>
      </c>
      <c r="C119">
        <f>IF('Levantamento dutos'!$B119&gt;Calculos!$Z$3,IF('Levantamento dutos'!$B119&lt;=Calculos!$Z$4,((('Levantamento dutos'!$B119)/100+('Levantamento dutos'!$C119)/100)*2)*'Levantamento dutos'!$D119,0),0)</f>
        <v>0</v>
      </c>
      <c r="D119">
        <f>IF('Levantamento dutos'!$B119&gt;Calculos!$Z$4,IF('Levantamento dutos'!$B119&lt;=Calculos!$Z$5,((('Levantamento dutos'!$B119)/100+('Levantamento dutos'!$C119)/100)*2)*'Levantamento dutos'!$D119,0),0)</f>
        <v>0</v>
      </c>
      <c r="E119">
        <f>IF('Levantamento dutos'!$B119&gt;Calculos!$Z$5,IF('Levantamento dutos'!$B119&lt;=Calculos!$Z$6,((('Levantamento dutos'!$B119)/100+('Levantamento dutos'!$C119)/100)*2)*'Levantamento dutos'!$D119,0),0)</f>
        <v>0</v>
      </c>
      <c r="F119" s="59">
        <f>IF('Levantamento dutos'!$B119&gt;Calculos!$Z$7,((('Levantamento dutos'!$B119)/100+('Levantamento dutos'!$C119)/100)*2)*'Levantamento dutos'!$D119,0)</f>
        <v>0</v>
      </c>
      <c r="G119">
        <f>(('Levantamento dutos'!B119+'Levantamento dutos'!C119)/100)*2</f>
        <v>0</v>
      </c>
      <c r="H119" s="58">
        <f>IF(CODE('Levantamento dutos'!$E119)=76,SUM($B119:$F119),0)</f>
        <v>0</v>
      </c>
      <c r="I119">
        <f>IF(CODE('Levantamento dutos'!$E119)=73,SUM($B119:$F119),0)</f>
        <v>0</v>
      </c>
      <c r="J119">
        <f>IF(CODE('Levantamento dutos'!$E119)=80,SUM($B119:$F119),0)</f>
        <v>0</v>
      </c>
      <c r="K119">
        <f>IF(CODE('Levantamento dutos'!$F119)=66,SUM($B119:$F119),0)</f>
        <v>0</v>
      </c>
      <c r="L119">
        <f>IF(CODE('Levantamento dutos'!$F119)=70,SUM($B119:$F119),0)</f>
        <v>0</v>
      </c>
      <c r="M119" s="59">
        <f>IF(CODE('Levantamento dutos'!$E119)=84,SUM($B119:$F119),0)</f>
        <v>0</v>
      </c>
      <c r="N119" s="60">
        <f>IF(CODE('Levantamento dutos'!$G119)=80,IF('Levantamento dutos'!$B119&lt;=200,('Levantamento dutos'!$D119/'Levantamento dutos'!$G$12*Calculos!$G119*2),0),0)</f>
        <v>0</v>
      </c>
      <c r="O119" s="60">
        <f>IF(CODE('Levantamento dutos'!$G119)=80,IF('Levantamento dutos'!$B119&gt;200,('Levantamento dutos'!$D119/'Levantamento dutos'!$G$12*Calculos!$G119*2),0),0)</f>
        <v>0</v>
      </c>
      <c r="P119" s="60">
        <f>IF(CODE('Levantamento dutos'!$G119)=67,('Levantamento dutos'!$D119/'Levantamento dutos'!$G$12*Calculos!$G119*2),0)</f>
        <v>0</v>
      </c>
      <c r="Q119" s="60">
        <f>IF(CODE('Levantamento dutos'!H119)=83,((('Levantamento dutos'!B119/100)+('Levantamento dutos'!$H$12/1000))+(('Levantamento dutos'!C119/100)+('Levantamento dutos'!$H$12)/1000))*2*'Levantamento dutos'!D119,0)</f>
        <v>0</v>
      </c>
      <c r="S119" s="60">
        <f>IF(CODE('Levantamento dutos'!$I119)=83,$Q119,0)</f>
        <v>0</v>
      </c>
      <c r="T119" s="60">
        <f>IF(CODE('Levantamento dutos'!$E119)=76,ROUND((('Levantamento dutos'!$D119/5)*(Calculos!$G119+0.2)*1.2),0),0)</f>
        <v>0</v>
      </c>
      <c r="U119" s="60">
        <f>IF(CODE('Levantamento dutos'!$E119)=73,ROUND((('Levantamento dutos'!$D119/0.5)*(Calculos!$G119+0.2)*1.2),0),0)</f>
        <v>0</v>
      </c>
      <c r="V119" s="60">
        <f>IF(CODE('Levantamento dutos'!$E119)=80,ROUND((('Levantamento dutos'!$D119/0.5)*(Calculos!$G119+0.2)*1.2),0),0)</f>
        <v>0</v>
      </c>
      <c r="W119" s="60">
        <f>IF(CODE('Levantamento dutos'!$E119)=76,'Levantamento dutos'!$D119/0.5*1.5,0)</f>
        <v>0</v>
      </c>
      <c r="X119" s="60">
        <f>IF(CODE('Levantamento dutos'!$E119)=73,'Levantamento dutos'!$D119/0.5*1.5,0)</f>
        <v>0</v>
      </c>
      <c r="Y119" s="60">
        <f>IF(CODE('Levantamento dutos'!$E119)=80,'Levantamento dutos'!$D119/0.5*1.5,0)</f>
        <v>0</v>
      </c>
      <c r="Z119" s="60">
        <f>IF(CODE('Levantamento dutos'!$E119)=76,ROUND(('Levantamento dutos'!$D119)+('Levantamento dutos'!$D119*Calculos!$G119*2)*1.1,0),0)</f>
        <v>0</v>
      </c>
      <c r="AA119" s="60">
        <f>IF(CODE('Levantamento dutos'!$G119)=80,('Levantamento dutos'!$D119/'Levantamento dutos'!$G$12)*8,0)</f>
        <v>0</v>
      </c>
      <c r="AB119" s="60">
        <f>IF(CODE('Levantamento dutos'!$G119)=80,IF('Levantamento dutos'!$B119&gt;30,('Levantamento dutos'!$D119/'Levantamento dutos'!$G$12)*4,0),0)</f>
        <v>0</v>
      </c>
      <c r="AC119" s="60">
        <f>IF('Levantamento dutos'!$B119&gt;220,('Levantamento dutos'!$D119/'Levantamento dutos'!$G$12*Calculos!$G119*2),0)</f>
        <v>0</v>
      </c>
      <c r="AD119" s="60">
        <f>IF(CODE('Levantamento dutos'!$E119)=73,((('Levantamento dutos'!$E$12/1000)+0.02)*'Levantamento dutos'!$D119)*4*1.3,0)</f>
        <v>0</v>
      </c>
      <c r="AE119" s="60">
        <f>IF(CODE('Levantamento dutos'!$E119)=80,((('Levantamento dutos'!$E$12/1000)+0.02)*'Levantamento dutos'!$D119)*4*1.3,0)</f>
        <v>0</v>
      </c>
    </row>
    <row r="120" spans="2:31" x14ac:dyDescent="0.2">
      <c r="B120" s="58">
        <f>IF('Levantamento dutos'!$B120&lt;=Calculos!$Z$3,((('Levantamento dutos'!$B120)/100+('Levantamento dutos'!$C120)/100)*2)*'Levantamento dutos'!$D120,0)</f>
        <v>0</v>
      </c>
      <c r="C120">
        <f>IF('Levantamento dutos'!$B120&gt;Calculos!$Z$3,IF('Levantamento dutos'!$B120&lt;=Calculos!$Z$4,((('Levantamento dutos'!$B120)/100+('Levantamento dutos'!$C120)/100)*2)*'Levantamento dutos'!$D120,0),0)</f>
        <v>0</v>
      </c>
      <c r="D120">
        <f>IF('Levantamento dutos'!$B120&gt;Calculos!$Z$4,IF('Levantamento dutos'!$B120&lt;=Calculos!$Z$5,((('Levantamento dutos'!$B120)/100+('Levantamento dutos'!$C120)/100)*2)*'Levantamento dutos'!$D120,0),0)</f>
        <v>0</v>
      </c>
      <c r="E120">
        <f>IF('Levantamento dutos'!$B120&gt;Calculos!$Z$5,IF('Levantamento dutos'!$B120&lt;=Calculos!$Z$6,((('Levantamento dutos'!$B120)/100+('Levantamento dutos'!$C120)/100)*2)*'Levantamento dutos'!$D120,0),0)</f>
        <v>0</v>
      </c>
      <c r="F120" s="59">
        <f>IF('Levantamento dutos'!$B120&gt;Calculos!$Z$7,((('Levantamento dutos'!$B120)/100+('Levantamento dutos'!$C120)/100)*2)*'Levantamento dutos'!$D120,0)</f>
        <v>0</v>
      </c>
      <c r="G120">
        <f>(('Levantamento dutos'!B120+'Levantamento dutos'!C120)/100)*2</f>
        <v>0</v>
      </c>
      <c r="H120" s="58">
        <f>IF(CODE('Levantamento dutos'!$E120)=76,SUM($B120:$F120),0)</f>
        <v>0</v>
      </c>
      <c r="I120">
        <f>IF(CODE('Levantamento dutos'!$E120)=73,SUM($B120:$F120),0)</f>
        <v>0</v>
      </c>
      <c r="J120">
        <f>IF(CODE('Levantamento dutos'!$E120)=80,SUM($B120:$F120),0)</f>
        <v>0</v>
      </c>
      <c r="K120">
        <f>IF(CODE('Levantamento dutos'!$F120)=66,SUM($B120:$F120),0)</f>
        <v>0</v>
      </c>
      <c r="L120">
        <f>IF(CODE('Levantamento dutos'!$F120)=70,SUM($B120:$F120),0)</f>
        <v>0</v>
      </c>
      <c r="M120" s="59">
        <f>IF(CODE('Levantamento dutos'!$E120)=84,SUM($B120:$F120),0)</f>
        <v>0</v>
      </c>
      <c r="N120" s="60">
        <f>IF(CODE('Levantamento dutos'!$G120)=80,IF('Levantamento dutos'!$B120&lt;=200,('Levantamento dutos'!$D120/'Levantamento dutos'!$G$12*Calculos!$G120*2),0),0)</f>
        <v>0</v>
      </c>
      <c r="O120" s="60">
        <f>IF(CODE('Levantamento dutos'!$G120)=80,IF('Levantamento dutos'!$B120&gt;200,('Levantamento dutos'!$D120/'Levantamento dutos'!$G$12*Calculos!$G120*2),0),0)</f>
        <v>0</v>
      </c>
      <c r="P120" s="60">
        <f>IF(CODE('Levantamento dutos'!$G120)=67,('Levantamento dutos'!$D120/'Levantamento dutos'!$G$12*Calculos!$G120*2),0)</f>
        <v>0</v>
      </c>
      <c r="Q120" s="60">
        <f>IF(CODE('Levantamento dutos'!H120)=83,((('Levantamento dutos'!B120/100)+('Levantamento dutos'!$H$12/1000))+(('Levantamento dutos'!C120/100)+('Levantamento dutos'!$H$12)/1000))*2*'Levantamento dutos'!D120,0)</f>
        <v>0</v>
      </c>
      <c r="S120" s="60">
        <f>IF(CODE('Levantamento dutos'!$I120)=83,$Q120,0)</f>
        <v>0</v>
      </c>
      <c r="T120" s="60">
        <f>IF(CODE('Levantamento dutos'!$E120)=76,ROUND((('Levantamento dutos'!$D120/5)*(Calculos!$G120+0.2)*1.2),0),0)</f>
        <v>0</v>
      </c>
      <c r="U120" s="60">
        <f>IF(CODE('Levantamento dutos'!$E120)=73,ROUND((('Levantamento dutos'!$D120/0.5)*(Calculos!$G120+0.2)*1.2),0),0)</f>
        <v>0</v>
      </c>
      <c r="V120" s="60">
        <f>IF(CODE('Levantamento dutos'!$E120)=80,ROUND((('Levantamento dutos'!$D120/0.5)*(Calculos!$G120+0.2)*1.2),0),0)</f>
        <v>0</v>
      </c>
      <c r="W120" s="60">
        <f>IF(CODE('Levantamento dutos'!$E120)=76,'Levantamento dutos'!$D120/0.5*1.5,0)</f>
        <v>0</v>
      </c>
      <c r="X120" s="60">
        <f>IF(CODE('Levantamento dutos'!$E120)=73,'Levantamento dutos'!$D120/0.5*1.5,0)</f>
        <v>0</v>
      </c>
      <c r="Y120" s="60">
        <f>IF(CODE('Levantamento dutos'!$E120)=80,'Levantamento dutos'!$D120/0.5*1.5,0)</f>
        <v>0</v>
      </c>
      <c r="Z120" s="60">
        <f>IF(CODE('Levantamento dutos'!$E120)=76,ROUND(('Levantamento dutos'!$D120)+('Levantamento dutos'!$D120*Calculos!$G120*2)*1.1,0),0)</f>
        <v>0</v>
      </c>
      <c r="AA120" s="60">
        <f>IF(CODE('Levantamento dutos'!$G120)=80,('Levantamento dutos'!$D120/'Levantamento dutos'!$G$12)*8,0)</f>
        <v>0</v>
      </c>
      <c r="AB120" s="60">
        <f>IF(CODE('Levantamento dutos'!$G120)=80,IF('Levantamento dutos'!$B120&gt;30,('Levantamento dutos'!$D120/'Levantamento dutos'!$G$12)*4,0),0)</f>
        <v>0</v>
      </c>
      <c r="AC120" s="60">
        <f>IF('Levantamento dutos'!$B120&gt;220,('Levantamento dutos'!$D120/'Levantamento dutos'!$G$12*Calculos!$G120*2),0)</f>
        <v>0</v>
      </c>
      <c r="AD120" s="60">
        <f>IF(CODE('Levantamento dutos'!$E120)=73,((('Levantamento dutos'!$E$12/1000)+0.02)*'Levantamento dutos'!$D120)*4*1.3,0)</f>
        <v>0</v>
      </c>
      <c r="AE120" s="60">
        <f>IF(CODE('Levantamento dutos'!$E120)=80,((('Levantamento dutos'!$E$12/1000)+0.02)*'Levantamento dutos'!$D120)*4*1.3,0)</f>
        <v>0</v>
      </c>
    </row>
    <row r="121" spans="2:31" x14ac:dyDescent="0.2">
      <c r="B121" s="58">
        <f>IF('Levantamento dutos'!$B121&lt;=Calculos!$Z$3,((('Levantamento dutos'!$B121)/100+('Levantamento dutos'!$C121)/100)*2)*'Levantamento dutos'!$D121,0)</f>
        <v>0</v>
      </c>
      <c r="C121">
        <f>IF('Levantamento dutos'!$B121&gt;Calculos!$Z$3,IF('Levantamento dutos'!$B121&lt;=Calculos!$Z$4,((('Levantamento dutos'!$B121)/100+('Levantamento dutos'!$C121)/100)*2)*'Levantamento dutos'!$D121,0),0)</f>
        <v>0</v>
      </c>
      <c r="D121">
        <f>IF('Levantamento dutos'!$B121&gt;Calculos!$Z$4,IF('Levantamento dutos'!$B121&lt;=Calculos!$Z$5,((('Levantamento dutos'!$B121)/100+('Levantamento dutos'!$C121)/100)*2)*'Levantamento dutos'!$D121,0),0)</f>
        <v>0</v>
      </c>
      <c r="E121">
        <f>IF('Levantamento dutos'!$B121&gt;Calculos!$Z$5,IF('Levantamento dutos'!$B121&lt;=Calculos!$Z$6,((('Levantamento dutos'!$B121)/100+('Levantamento dutos'!$C121)/100)*2)*'Levantamento dutos'!$D121,0),0)</f>
        <v>0</v>
      </c>
      <c r="F121" s="59">
        <f>IF('Levantamento dutos'!$B121&gt;Calculos!$Z$7,((('Levantamento dutos'!$B121)/100+('Levantamento dutos'!$C121)/100)*2)*'Levantamento dutos'!$D121,0)</f>
        <v>0</v>
      </c>
      <c r="G121">
        <f>(('Levantamento dutos'!B121+'Levantamento dutos'!C121)/100)*2</f>
        <v>0</v>
      </c>
      <c r="H121" s="58">
        <f>IF(CODE('Levantamento dutos'!$E121)=76,SUM($B121:$F121),0)</f>
        <v>0</v>
      </c>
      <c r="I121">
        <f>IF(CODE('Levantamento dutos'!$E121)=73,SUM($B121:$F121),0)</f>
        <v>0</v>
      </c>
      <c r="J121">
        <f>IF(CODE('Levantamento dutos'!$E121)=80,SUM($B121:$F121),0)</f>
        <v>0</v>
      </c>
      <c r="K121">
        <f>IF(CODE('Levantamento dutos'!$F121)=66,SUM($B121:$F121),0)</f>
        <v>0</v>
      </c>
      <c r="L121">
        <f>IF(CODE('Levantamento dutos'!$F121)=70,SUM($B121:$F121),0)</f>
        <v>0</v>
      </c>
      <c r="M121" s="59">
        <f>IF(CODE('Levantamento dutos'!$E121)=84,SUM($B121:$F121),0)</f>
        <v>0</v>
      </c>
      <c r="N121" s="60">
        <f>IF(CODE('Levantamento dutos'!$G121)=80,IF('Levantamento dutos'!$B121&lt;=200,('Levantamento dutos'!$D121/'Levantamento dutos'!$G$12*Calculos!$G121*2),0),0)</f>
        <v>0</v>
      </c>
      <c r="O121" s="60">
        <f>IF(CODE('Levantamento dutos'!$G121)=80,IF('Levantamento dutos'!$B121&gt;200,('Levantamento dutos'!$D121/'Levantamento dutos'!$G$12*Calculos!$G121*2),0),0)</f>
        <v>0</v>
      </c>
      <c r="P121" s="60">
        <f>IF(CODE('Levantamento dutos'!$G121)=67,('Levantamento dutos'!$D121/'Levantamento dutos'!$G$12*Calculos!$G121*2),0)</f>
        <v>0</v>
      </c>
      <c r="Q121" s="60">
        <f>IF(CODE('Levantamento dutos'!H121)=83,((('Levantamento dutos'!B121/100)+('Levantamento dutos'!$H$12/1000))+(('Levantamento dutos'!C121/100)+('Levantamento dutos'!$H$12)/1000))*2*'Levantamento dutos'!D121,0)</f>
        <v>0</v>
      </c>
      <c r="S121" s="60">
        <f>IF(CODE('Levantamento dutos'!$I121)=83,$Q121,0)</f>
        <v>0</v>
      </c>
      <c r="T121" s="60">
        <f>IF(CODE('Levantamento dutos'!$E121)=76,ROUND((('Levantamento dutos'!$D121/5)*(Calculos!$G121+0.2)*1.2),0),0)</f>
        <v>0</v>
      </c>
      <c r="U121" s="60">
        <f>IF(CODE('Levantamento dutos'!$E121)=73,ROUND((('Levantamento dutos'!$D121/0.5)*(Calculos!$G121+0.2)*1.2),0),0)</f>
        <v>0</v>
      </c>
      <c r="V121" s="60">
        <f>IF(CODE('Levantamento dutos'!$E121)=80,ROUND((('Levantamento dutos'!$D121/0.5)*(Calculos!$G121+0.2)*1.2),0),0)</f>
        <v>0</v>
      </c>
      <c r="W121" s="60">
        <f>IF(CODE('Levantamento dutos'!$E121)=76,'Levantamento dutos'!$D121/0.5*1.5,0)</f>
        <v>0</v>
      </c>
      <c r="X121" s="60">
        <f>IF(CODE('Levantamento dutos'!$E121)=73,'Levantamento dutos'!$D121/0.5*1.5,0)</f>
        <v>0</v>
      </c>
      <c r="Y121" s="60">
        <f>IF(CODE('Levantamento dutos'!$E121)=80,'Levantamento dutos'!$D121/0.5*1.5,0)</f>
        <v>0</v>
      </c>
      <c r="Z121" s="60">
        <f>IF(CODE('Levantamento dutos'!$E121)=76,ROUND(('Levantamento dutos'!$D121)+('Levantamento dutos'!$D121*Calculos!$G121*2)*1.1,0),0)</f>
        <v>0</v>
      </c>
      <c r="AA121" s="60">
        <f>IF(CODE('Levantamento dutos'!$G121)=80,('Levantamento dutos'!$D121/'Levantamento dutos'!$G$12)*8,0)</f>
        <v>0</v>
      </c>
      <c r="AB121" s="60">
        <f>IF(CODE('Levantamento dutos'!$G121)=80,IF('Levantamento dutos'!$B121&gt;30,('Levantamento dutos'!$D121/'Levantamento dutos'!$G$12)*4,0),0)</f>
        <v>0</v>
      </c>
      <c r="AC121" s="60">
        <f>IF('Levantamento dutos'!$B121&gt;220,('Levantamento dutos'!$D121/'Levantamento dutos'!$G$12*Calculos!$G121*2),0)</f>
        <v>0</v>
      </c>
      <c r="AD121" s="60">
        <f>IF(CODE('Levantamento dutos'!$E121)=73,((('Levantamento dutos'!$E$12/1000)+0.02)*'Levantamento dutos'!$D121)*4*1.3,0)</f>
        <v>0</v>
      </c>
      <c r="AE121" s="60">
        <f>IF(CODE('Levantamento dutos'!$E121)=80,((('Levantamento dutos'!$E$12/1000)+0.02)*'Levantamento dutos'!$D121)*4*1.3,0)</f>
        <v>0</v>
      </c>
    </row>
    <row r="122" spans="2:31" x14ac:dyDescent="0.2">
      <c r="B122" s="58">
        <f>IF('Levantamento dutos'!$B122&lt;=Calculos!$Z$3,((('Levantamento dutos'!$B122)/100+('Levantamento dutos'!$C122)/100)*2)*'Levantamento dutos'!$D122,0)</f>
        <v>0</v>
      </c>
      <c r="C122">
        <f>IF('Levantamento dutos'!$B122&gt;Calculos!$Z$3,IF('Levantamento dutos'!$B122&lt;=Calculos!$Z$4,((('Levantamento dutos'!$B122)/100+('Levantamento dutos'!$C122)/100)*2)*'Levantamento dutos'!$D122,0),0)</f>
        <v>0</v>
      </c>
      <c r="D122">
        <f>IF('Levantamento dutos'!$B122&gt;Calculos!$Z$4,IF('Levantamento dutos'!$B122&lt;=Calculos!$Z$5,((('Levantamento dutos'!$B122)/100+('Levantamento dutos'!$C122)/100)*2)*'Levantamento dutos'!$D122,0),0)</f>
        <v>0</v>
      </c>
      <c r="E122">
        <f>IF('Levantamento dutos'!$B122&gt;Calculos!$Z$5,IF('Levantamento dutos'!$B122&lt;=Calculos!$Z$6,((('Levantamento dutos'!$B122)/100+('Levantamento dutos'!$C122)/100)*2)*'Levantamento dutos'!$D122,0),0)</f>
        <v>0</v>
      </c>
      <c r="F122" s="59">
        <f>IF('Levantamento dutos'!$B122&gt;Calculos!$Z$7,((('Levantamento dutos'!$B122)/100+('Levantamento dutos'!$C122)/100)*2)*'Levantamento dutos'!$D122,0)</f>
        <v>0</v>
      </c>
      <c r="G122">
        <f>(('Levantamento dutos'!B122+'Levantamento dutos'!C122)/100)*2</f>
        <v>0</v>
      </c>
      <c r="H122" s="58">
        <f>IF(CODE('Levantamento dutos'!$E122)=76,SUM($B122:$F122),0)</f>
        <v>0</v>
      </c>
      <c r="I122">
        <f>IF(CODE('Levantamento dutos'!$E122)=73,SUM($B122:$F122),0)</f>
        <v>0</v>
      </c>
      <c r="J122">
        <f>IF(CODE('Levantamento dutos'!$E122)=80,SUM($B122:$F122),0)</f>
        <v>0</v>
      </c>
      <c r="K122">
        <f>IF(CODE('Levantamento dutos'!$F122)=66,SUM($B122:$F122),0)</f>
        <v>0</v>
      </c>
      <c r="L122">
        <f>IF(CODE('Levantamento dutos'!$F122)=70,SUM($B122:$F122),0)</f>
        <v>0</v>
      </c>
      <c r="M122" s="59">
        <f>IF(CODE('Levantamento dutos'!$E122)=84,SUM($B122:$F122),0)</f>
        <v>0</v>
      </c>
      <c r="N122" s="60">
        <f>IF(CODE('Levantamento dutos'!$G122)=80,IF('Levantamento dutos'!$B122&lt;=200,('Levantamento dutos'!$D122/'Levantamento dutos'!$G$12*Calculos!$G122*2),0),0)</f>
        <v>0</v>
      </c>
      <c r="O122" s="60">
        <f>IF(CODE('Levantamento dutos'!$G122)=80,IF('Levantamento dutos'!$B122&gt;200,('Levantamento dutos'!$D122/'Levantamento dutos'!$G$12*Calculos!$G122*2),0),0)</f>
        <v>0</v>
      </c>
      <c r="P122" s="60">
        <f>IF(CODE('Levantamento dutos'!$G122)=67,('Levantamento dutos'!$D122/'Levantamento dutos'!$G$12*Calculos!$G122*2),0)</f>
        <v>0</v>
      </c>
      <c r="Q122" s="60">
        <f>IF(CODE('Levantamento dutos'!H122)=83,((('Levantamento dutos'!B122/100)+('Levantamento dutos'!$H$12/1000))+(('Levantamento dutos'!C122/100)+('Levantamento dutos'!$H$12)/1000))*2*'Levantamento dutos'!D122,0)</f>
        <v>0</v>
      </c>
      <c r="S122" s="60">
        <f>IF(CODE('Levantamento dutos'!$I122)=83,$Q122,0)</f>
        <v>0</v>
      </c>
      <c r="T122" s="60">
        <f>IF(CODE('Levantamento dutos'!$E122)=76,ROUND((('Levantamento dutos'!$D122/5)*(Calculos!$G122+0.2)*1.2),0),0)</f>
        <v>0</v>
      </c>
      <c r="U122" s="60">
        <f>IF(CODE('Levantamento dutos'!$E122)=73,ROUND((('Levantamento dutos'!$D122/0.5)*(Calculos!$G122+0.2)*1.2),0),0)</f>
        <v>0</v>
      </c>
      <c r="V122" s="60">
        <f>IF(CODE('Levantamento dutos'!$E122)=80,ROUND((('Levantamento dutos'!$D122/0.5)*(Calculos!$G122+0.2)*1.2),0),0)</f>
        <v>0</v>
      </c>
      <c r="W122" s="60">
        <f>IF(CODE('Levantamento dutos'!$E122)=76,'Levantamento dutos'!$D122/0.5*1.5,0)</f>
        <v>0</v>
      </c>
      <c r="X122" s="60">
        <f>IF(CODE('Levantamento dutos'!$E122)=73,'Levantamento dutos'!$D122/0.5*1.5,0)</f>
        <v>0</v>
      </c>
      <c r="Y122" s="60">
        <f>IF(CODE('Levantamento dutos'!$E122)=80,'Levantamento dutos'!$D122/0.5*1.5,0)</f>
        <v>0</v>
      </c>
      <c r="Z122" s="60">
        <f>IF(CODE('Levantamento dutos'!$E122)=76,ROUND(('Levantamento dutos'!$D122)+('Levantamento dutos'!$D122*Calculos!$G122*2)*1.1,0),0)</f>
        <v>0</v>
      </c>
      <c r="AA122" s="60">
        <f>IF(CODE('Levantamento dutos'!$G122)=80,('Levantamento dutos'!$D122/'Levantamento dutos'!$G$12)*8,0)</f>
        <v>0</v>
      </c>
      <c r="AB122" s="60">
        <f>IF(CODE('Levantamento dutos'!$G122)=80,IF('Levantamento dutos'!$B122&gt;30,('Levantamento dutos'!$D122/'Levantamento dutos'!$G$12)*4,0),0)</f>
        <v>0</v>
      </c>
      <c r="AC122" s="60">
        <f>IF('Levantamento dutos'!$B122&gt;220,('Levantamento dutos'!$D122/'Levantamento dutos'!$G$12*Calculos!$G122*2),0)</f>
        <v>0</v>
      </c>
      <c r="AD122" s="60">
        <f>IF(CODE('Levantamento dutos'!$E122)=73,((('Levantamento dutos'!$E$12/1000)+0.02)*'Levantamento dutos'!$D122)*4*1.3,0)</f>
        <v>0</v>
      </c>
      <c r="AE122" s="60">
        <f>IF(CODE('Levantamento dutos'!$E122)=80,((('Levantamento dutos'!$E$12/1000)+0.02)*'Levantamento dutos'!$D122)*4*1.3,0)</f>
        <v>0</v>
      </c>
    </row>
    <row r="123" spans="2:31" x14ac:dyDescent="0.2">
      <c r="B123" s="58">
        <f>IF('Levantamento dutos'!$B123&lt;=Calculos!$Z$3,((('Levantamento dutos'!$B123)/100+('Levantamento dutos'!$C123)/100)*2)*'Levantamento dutos'!$D123,0)</f>
        <v>0</v>
      </c>
      <c r="C123">
        <f>IF('Levantamento dutos'!$B123&gt;Calculos!$Z$3,IF('Levantamento dutos'!$B123&lt;=Calculos!$Z$4,((('Levantamento dutos'!$B123)/100+('Levantamento dutos'!$C123)/100)*2)*'Levantamento dutos'!$D123,0),0)</f>
        <v>0</v>
      </c>
      <c r="D123">
        <f>IF('Levantamento dutos'!$B123&gt;Calculos!$Z$4,IF('Levantamento dutos'!$B123&lt;=Calculos!$Z$5,((('Levantamento dutos'!$B123)/100+('Levantamento dutos'!$C123)/100)*2)*'Levantamento dutos'!$D123,0),0)</f>
        <v>0</v>
      </c>
      <c r="E123">
        <f>IF('Levantamento dutos'!$B123&gt;Calculos!$Z$5,IF('Levantamento dutos'!$B123&lt;=Calculos!$Z$6,((('Levantamento dutos'!$B123)/100+('Levantamento dutos'!$C123)/100)*2)*'Levantamento dutos'!$D123,0),0)</f>
        <v>0</v>
      </c>
      <c r="F123" s="59">
        <f>IF('Levantamento dutos'!$B123&gt;Calculos!$Z$7,((('Levantamento dutos'!$B123)/100+('Levantamento dutos'!$C123)/100)*2)*'Levantamento dutos'!$D123,0)</f>
        <v>0</v>
      </c>
      <c r="G123">
        <f>(('Levantamento dutos'!B123+'Levantamento dutos'!C123)/100)*2</f>
        <v>0</v>
      </c>
      <c r="H123" s="58">
        <f>IF(CODE('Levantamento dutos'!$E123)=76,SUM($B123:$F123),0)</f>
        <v>0</v>
      </c>
      <c r="I123">
        <f>IF(CODE('Levantamento dutos'!$E123)=73,SUM($B123:$F123),0)</f>
        <v>0</v>
      </c>
      <c r="J123">
        <f>IF(CODE('Levantamento dutos'!$E123)=80,SUM($B123:$F123),0)</f>
        <v>0</v>
      </c>
      <c r="K123">
        <f>IF(CODE('Levantamento dutos'!$F123)=66,SUM($B123:$F123),0)</f>
        <v>0</v>
      </c>
      <c r="L123">
        <f>IF(CODE('Levantamento dutos'!$F123)=70,SUM($B123:$F123),0)</f>
        <v>0</v>
      </c>
      <c r="M123" s="59">
        <f>IF(CODE('Levantamento dutos'!$E123)=84,SUM($B123:$F123),0)</f>
        <v>0</v>
      </c>
      <c r="N123" s="60">
        <f>IF(CODE('Levantamento dutos'!$G123)=80,IF('Levantamento dutos'!$B123&lt;=200,('Levantamento dutos'!$D123/'Levantamento dutos'!$G$12*Calculos!$G123*2),0),0)</f>
        <v>0</v>
      </c>
      <c r="O123" s="60">
        <f>IF(CODE('Levantamento dutos'!$G123)=80,IF('Levantamento dutos'!$B123&gt;200,('Levantamento dutos'!$D123/'Levantamento dutos'!$G$12*Calculos!$G123*2),0),0)</f>
        <v>0</v>
      </c>
      <c r="P123" s="60">
        <f>IF(CODE('Levantamento dutos'!$G123)=67,('Levantamento dutos'!$D123/'Levantamento dutos'!$G$12*Calculos!$G123*2),0)</f>
        <v>0</v>
      </c>
      <c r="Q123" s="60">
        <f>IF(CODE('Levantamento dutos'!H123)=83,((('Levantamento dutos'!B123/100)+('Levantamento dutos'!$H$12/1000))+(('Levantamento dutos'!C123/100)+('Levantamento dutos'!$H$12)/1000))*2*'Levantamento dutos'!D123,0)</f>
        <v>0</v>
      </c>
      <c r="S123" s="60">
        <f>IF(CODE('Levantamento dutos'!$I123)=83,$Q123,0)</f>
        <v>0</v>
      </c>
      <c r="T123" s="60">
        <f>IF(CODE('Levantamento dutos'!$E123)=76,ROUND((('Levantamento dutos'!$D123/5)*(Calculos!$G123+0.2)*1.2),0),0)</f>
        <v>0</v>
      </c>
      <c r="U123" s="60">
        <f>IF(CODE('Levantamento dutos'!$E123)=73,ROUND((('Levantamento dutos'!$D123/0.5)*(Calculos!$G123+0.2)*1.2),0),0)</f>
        <v>0</v>
      </c>
      <c r="V123" s="60">
        <f>IF(CODE('Levantamento dutos'!$E123)=80,ROUND((('Levantamento dutos'!$D123/0.5)*(Calculos!$G123+0.2)*1.2),0),0)</f>
        <v>0</v>
      </c>
      <c r="W123" s="60">
        <f>IF(CODE('Levantamento dutos'!$E123)=76,'Levantamento dutos'!$D123/0.5*1.5,0)</f>
        <v>0</v>
      </c>
      <c r="X123" s="60">
        <f>IF(CODE('Levantamento dutos'!$E123)=73,'Levantamento dutos'!$D123/0.5*1.5,0)</f>
        <v>0</v>
      </c>
      <c r="Y123" s="60">
        <f>IF(CODE('Levantamento dutos'!$E123)=80,'Levantamento dutos'!$D123/0.5*1.5,0)</f>
        <v>0</v>
      </c>
      <c r="Z123" s="60">
        <f>IF(CODE('Levantamento dutos'!$E123)=76,ROUND(('Levantamento dutos'!$D123)+('Levantamento dutos'!$D123*Calculos!$G123*2)*1.1,0),0)</f>
        <v>0</v>
      </c>
      <c r="AA123" s="60">
        <f>IF(CODE('Levantamento dutos'!$G123)=80,('Levantamento dutos'!$D123/'Levantamento dutos'!$G$12)*8,0)</f>
        <v>0</v>
      </c>
      <c r="AB123" s="60">
        <f>IF(CODE('Levantamento dutos'!$G123)=80,IF('Levantamento dutos'!$B123&gt;30,('Levantamento dutos'!$D123/'Levantamento dutos'!$G$12)*4,0),0)</f>
        <v>0</v>
      </c>
      <c r="AC123" s="60">
        <f>IF('Levantamento dutos'!$B123&gt;220,('Levantamento dutos'!$D123/'Levantamento dutos'!$G$12*Calculos!$G123*2),0)</f>
        <v>0</v>
      </c>
      <c r="AD123" s="60">
        <f>IF(CODE('Levantamento dutos'!$E123)=73,((('Levantamento dutos'!$E$12/1000)+0.02)*'Levantamento dutos'!$D123)*4*1.3,0)</f>
        <v>0</v>
      </c>
      <c r="AE123" s="60">
        <f>IF(CODE('Levantamento dutos'!$E123)=80,((('Levantamento dutos'!$E$12/1000)+0.02)*'Levantamento dutos'!$D123)*4*1.3,0)</f>
        <v>0</v>
      </c>
    </row>
    <row r="124" spans="2:31" x14ac:dyDescent="0.2">
      <c r="B124" s="58">
        <f>IF('Levantamento dutos'!$B124&lt;=Calculos!$Z$3,((('Levantamento dutos'!$B124)/100+('Levantamento dutos'!$C124)/100)*2)*'Levantamento dutos'!$D124,0)</f>
        <v>0</v>
      </c>
      <c r="C124">
        <f>IF('Levantamento dutos'!$B124&gt;Calculos!$Z$3,IF('Levantamento dutos'!$B124&lt;=Calculos!$Z$4,((('Levantamento dutos'!$B124)/100+('Levantamento dutos'!$C124)/100)*2)*'Levantamento dutos'!$D124,0),0)</f>
        <v>0</v>
      </c>
      <c r="D124">
        <f>IF('Levantamento dutos'!$B124&gt;Calculos!$Z$4,IF('Levantamento dutos'!$B124&lt;=Calculos!$Z$5,((('Levantamento dutos'!$B124)/100+('Levantamento dutos'!$C124)/100)*2)*'Levantamento dutos'!$D124,0),0)</f>
        <v>0</v>
      </c>
      <c r="E124">
        <f>IF('Levantamento dutos'!$B124&gt;Calculos!$Z$5,IF('Levantamento dutos'!$B124&lt;=Calculos!$Z$6,((('Levantamento dutos'!$B124)/100+('Levantamento dutos'!$C124)/100)*2)*'Levantamento dutos'!$D124,0),0)</f>
        <v>0</v>
      </c>
      <c r="F124" s="59">
        <f>IF('Levantamento dutos'!$B124&gt;Calculos!$Z$7,((('Levantamento dutos'!$B124)/100+('Levantamento dutos'!$C124)/100)*2)*'Levantamento dutos'!$D124,0)</f>
        <v>0</v>
      </c>
      <c r="G124">
        <f>(('Levantamento dutos'!B124+'Levantamento dutos'!C124)/100)*2</f>
        <v>0</v>
      </c>
      <c r="H124" s="58">
        <f>IF(CODE('Levantamento dutos'!$E124)=76,SUM($B124:$F124),0)</f>
        <v>0</v>
      </c>
      <c r="I124">
        <f>IF(CODE('Levantamento dutos'!$E124)=73,SUM($B124:$F124),0)</f>
        <v>0</v>
      </c>
      <c r="J124">
        <f>IF(CODE('Levantamento dutos'!$E124)=80,SUM($B124:$F124),0)</f>
        <v>0</v>
      </c>
      <c r="K124">
        <f>IF(CODE('Levantamento dutos'!$F124)=66,SUM($B124:$F124),0)</f>
        <v>0</v>
      </c>
      <c r="L124">
        <f>IF(CODE('Levantamento dutos'!$F124)=70,SUM($B124:$F124),0)</f>
        <v>0</v>
      </c>
      <c r="M124" s="59">
        <f>IF(CODE('Levantamento dutos'!$E124)=84,SUM($B124:$F124),0)</f>
        <v>0</v>
      </c>
      <c r="N124" s="60">
        <f>IF(CODE('Levantamento dutos'!$G124)=80,IF('Levantamento dutos'!$B124&lt;=200,('Levantamento dutos'!$D124/'Levantamento dutos'!$G$12*Calculos!$G124*2),0),0)</f>
        <v>0</v>
      </c>
      <c r="O124" s="60">
        <f>IF(CODE('Levantamento dutos'!$G124)=80,IF('Levantamento dutos'!$B124&gt;200,('Levantamento dutos'!$D124/'Levantamento dutos'!$G$12*Calculos!$G124*2),0),0)</f>
        <v>0</v>
      </c>
      <c r="P124" s="60">
        <f>IF(CODE('Levantamento dutos'!$G124)=67,('Levantamento dutos'!$D124/'Levantamento dutos'!$G$12*Calculos!$G124*2),0)</f>
        <v>0</v>
      </c>
      <c r="Q124" s="60">
        <f>IF(CODE('Levantamento dutos'!H124)=83,((('Levantamento dutos'!B124/100)+('Levantamento dutos'!$H$12/1000))+(('Levantamento dutos'!C124/100)+('Levantamento dutos'!$H$12)/1000))*2*'Levantamento dutos'!D124,0)</f>
        <v>0</v>
      </c>
      <c r="S124" s="60">
        <f>IF(CODE('Levantamento dutos'!$I124)=83,$Q124,0)</f>
        <v>0</v>
      </c>
      <c r="T124" s="60">
        <f>IF(CODE('Levantamento dutos'!$E124)=76,ROUND((('Levantamento dutos'!$D124/5)*(Calculos!$G124+0.2)*1.2),0),0)</f>
        <v>0</v>
      </c>
      <c r="U124" s="60">
        <f>IF(CODE('Levantamento dutos'!$E124)=73,ROUND((('Levantamento dutos'!$D124/0.5)*(Calculos!$G124+0.2)*1.2),0),0)</f>
        <v>0</v>
      </c>
      <c r="V124" s="60">
        <f>IF(CODE('Levantamento dutos'!$E124)=80,ROUND((('Levantamento dutos'!$D124/0.5)*(Calculos!$G124+0.2)*1.2),0),0)</f>
        <v>0</v>
      </c>
      <c r="W124" s="60">
        <f>IF(CODE('Levantamento dutos'!$E124)=76,'Levantamento dutos'!$D124/0.5*1.5,0)</f>
        <v>0</v>
      </c>
      <c r="X124" s="60">
        <f>IF(CODE('Levantamento dutos'!$E124)=73,'Levantamento dutos'!$D124/0.5*1.5,0)</f>
        <v>0</v>
      </c>
      <c r="Y124" s="60">
        <f>IF(CODE('Levantamento dutos'!$E124)=80,'Levantamento dutos'!$D124/0.5*1.5,0)</f>
        <v>0</v>
      </c>
      <c r="Z124" s="60">
        <f>IF(CODE('Levantamento dutos'!$E124)=76,ROUND(('Levantamento dutos'!$D124)+('Levantamento dutos'!$D124*Calculos!$G124*2)*1.1,0),0)</f>
        <v>0</v>
      </c>
      <c r="AA124" s="60">
        <f>IF(CODE('Levantamento dutos'!$G124)=80,('Levantamento dutos'!$D124/'Levantamento dutos'!$G$12)*8,0)</f>
        <v>0</v>
      </c>
      <c r="AB124" s="60">
        <f>IF(CODE('Levantamento dutos'!$G124)=80,IF('Levantamento dutos'!$B124&gt;30,('Levantamento dutos'!$D124/'Levantamento dutos'!$G$12)*4,0),0)</f>
        <v>0</v>
      </c>
      <c r="AC124" s="60">
        <f>IF('Levantamento dutos'!$B124&gt;220,('Levantamento dutos'!$D124/'Levantamento dutos'!$G$12*Calculos!$G124*2),0)</f>
        <v>0</v>
      </c>
      <c r="AD124" s="60">
        <f>IF(CODE('Levantamento dutos'!$E124)=73,((('Levantamento dutos'!$E$12/1000)+0.02)*'Levantamento dutos'!$D124)*4*1.3,0)</f>
        <v>0</v>
      </c>
      <c r="AE124" s="60">
        <f>IF(CODE('Levantamento dutos'!$E124)=80,((('Levantamento dutos'!$E$12/1000)+0.02)*'Levantamento dutos'!$D124)*4*1.3,0)</f>
        <v>0</v>
      </c>
    </row>
    <row r="125" spans="2:31" x14ac:dyDescent="0.2">
      <c r="B125" s="58">
        <f>IF('Levantamento dutos'!$B125&lt;=Calculos!$Z$3,((('Levantamento dutos'!$B125)/100+('Levantamento dutos'!$C125)/100)*2)*'Levantamento dutos'!$D125,0)</f>
        <v>0</v>
      </c>
      <c r="C125">
        <f>IF('Levantamento dutos'!$B125&gt;Calculos!$Z$3,IF('Levantamento dutos'!$B125&lt;=Calculos!$Z$4,((('Levantamento dutos'!$B125)/100+('Levantamento dutos'!$C125)/100)*2)*'Levantamento dutos'!$D125,0),0)</f>
        <v>0</v>
      </c>
      <c r="D125">
        <f>IF('Levantamento dutos'!$B125&gt;Calculos!$Z$4,IF('Levantamento dutos'!$B125&lt;=Calculos!$Z$5,((('Levantamento dutos'!$B125)/100+('Levantamento dutos'!$C125)/100)*2)*'Levantamento dutos'!$D125,0),0)</f>
        <v>0</v>
      </c>
      <c r="E125">
        <f>IF('Levantamento dutos'!$B125&gt;Calculos!$Z$5,IF('Levantamento dutos'!$B125&lt;=Calculos!$Z$6,((('Levantamento dutos'!$B125)/100+('Levantamento dutos'!$C125)/100)*2)*'Levantamento dutos'!$D125,0),0)</f>
        <v>0</v>
      </c>
      <c r="F125" s="59">
        <f>IF('Levantamento dutos'!$B125&gt;Calculos!$Z$7,((('Levantamento dutos'!$B125)/100+('Levantamento dutos'!$C125)/100)*2)*'Levantamento dutos'!$D125,0)</f>
        <v>0</v>
      </c>
      <c r="G125">
        <f>(('Levantamento dutos'!B125+'Levantamento dutos'!C125)/100)*2</f>
        <v>0</v>
      </c>
      <c r="H125" s="58">
        <f>IF(CODE('Levantamento dutos'!$E125)=76,SUM($B125:$F125),0)</f>
        <v>0</v>
      </c>
      <c r="I125">
        <f>IF(CODE('Levantamento dutos'!$E125)=73,SUM($B125:$F125),0)</f>
        <v>0</v>
      </c>
      <c r="J125">
        <f>IF(CODE('Levantamento dutos'!$E125)=80,SUM($B125:$F125),0)</f>
        <v>0</v>
      </c>
      <c r="K125">
        <f>IF(CODE('Levantamento dutos'!$F125)=66,SUM($B125:$F125),0)</f>
        <v>0</v>
      </c>
      <c r="L125">
        <f>IF(CODE('Levantamento dutos'!$F125)=70,SUM($B125:$F125),0)</f>
        <v>0</v>
      </c>
      <c r="M125" s="59">
        <f>IF(CODE('Levantamento dutos'!$E125)=84,SUM($B125:$F125),0)</f>
        <v>0</v>
      </c>
      <c r="N125" s="60">
        <f>IF(CODE('Levantamento dutos'!$G125)=80,IF('Levantamento dutos'!$B125&lt;=200,('Levantamento dutos'!$D125/'Levantamento dutos'!$G$12*Calculos!$G125*2),0),0)</f>
        <v>0</v>
      </c>
      <c r="O125" s="60">
        <f>IF(CODE('Levantamento dutos'!$G125)=80,IF('Levantamento dutos'!$B125&gt;200,('Levantamento dutos'!$D125/'Levantamento dutos'!$G$12*Calculos!$G125*2),0),0)</f>
        <v>0</v>
      </c>
      <c r="P125" s="60">
        <f>IF(CODE('Levantamento dutos'!$G125)=67,('Levantamento dutos'!$D125/'Levantamento dutos'!$G$12*Calculos!$G125*2),0)</f>
        <v>0</v>
      </c>
      <c r="Q125" s="60">
        <f>IF(CODE('Levantamento dutos'!H125)=83,((('Levantamento dutos'!B125/100)+('Levantamento dutos'!$H$12/1000))+(('Levantamento dutos'!C125/100)+('Levantamento dutos'!$H$12)/1000))*2*'Levantamento dutos'!D125,0)</f>
        <v>0</v>
      </c>
      <c r="S125" s="60">
        <f>IF(CODE('Levantamento dutos'!$I125)=83,$Q125,0)</f>
        <v>0</v>
      </c>
      <c r="T125" s="60">
        <f>IF(CODE('Levantamento dutos'!$E125)=76,ROUND((('Levantamento dutos'!$D125/5)*(Calculos!$G125+0.2)*1.2),0),0)</f>
        <v>0</v>
      </c>
      <c r="U125" s="60">
        <f>IF(CODE('Levantamento dutos'!$E125)=73,ROUND((('Levantamento dutos'!$D125/0.5)*(Calculos!$G125+0.2)*1.2),0),0)</f>
        <v>0</v>
      </c>
      <c r="V125" s="60">
        <f>IF(CODE('Levantamento dutos'!$E125)=80,ROUND((('Levantamento dutos'!$D125/0.5)*(Calculos!$G125+0.2)*1.2),0),0)</f>
        <v>0</v>
      </c>
      <c r="W125" s="60">
        <f>IF(CODE('Levantamento dutos'!$E125)=76,'Levantamento dutos'!$D125/0.5*1.5,0)</f>
        <v>0</v>
      </c>
      <c r="X125" s="60">
        <f>IF(CODE('Levantamento dutos'!$E125)=73,'Levantamento dutos'!$D125/0.5*1.5,0)</f>
        <v>0</v>
      </c>
      <c r="Y125" s="60">
        <f>IF(CODE('Levantamento dutos'!$E125)=80,'Levantamento dutos'!$D125/0.5*1.5,0)</f>
        <v>0</v>
      </c>
      <c r="Z125" s="60">
        <f>IF(CODE('Levantamento dutos'!$E125)=76,ROUND(('Levantamento dutos'!$D125)+('Levantamento dutos'!$D125*Calculos!$G125*2)*1.1,0),0)</f>
        <v>0</v>
      </c>
      <c r="AA125" s="60">
        <f>IF(CODE('Levantamento dutos'!$G125)=80,('Levantamento dutos'!$D125/'Levantamento dutos'!$G$12)*8,0)</f>
        <v>0</v>
      </c>
      <c r="AB125" s="60">
        <f>IF(CODE('Levantamento dutos'!$G125)=80,IF('Levantamento dutos'!$B125&gt;30,('Levantamento dutos'!$D125/'Levantamento dutos'!$G$12)*4,0),0)</f>
        <v>0</v>
      </c>
      <c r="AC125" s="60">
        <f>IF('Levantamento dutos'!$B125&gt;220,('Levantamento dutos'!$D125/'Levantamento dutos'!$G$12*Calculos!$G125*2),0)</f>
        <v>0</v>
      </c>
      <c r="AD125" s="60">
        <f>IF(CODE('Levantamento dutos'!$E125)=73,((('Levantamento dutos'!$E$12/1000)+0.02)*'Levantamento dutos'!$D125)*4*1.3,0)</f>
        <v>0</v>
      </c>
      <c r="AE125" s="60">
        <f>IF(CODE('Levantamento dutos'!$E125)=80,((('Levantamento dutos'!$E$12/1000)+0.02)*'Levantamento dutos'!$D125)*4*1.3,0)</f>
        <v>0</v>
      </c>
    </row>
    <row r="126" spans="2:31" x14ac:dyDescent="0.2">
      <c r="B126" s="58">
        <f>IF('Levantamento dutos'!$B126&lt;=Calculos!$Z$3,((('Levantamento dutos'!$B126)/100+('Levantamento dutos'!$C126)/100)*2)*'Levantamento dutos'!$D126,0)</f>
        <v>0</v>
      </c>
      <c r="C126">
        <f>IF('Levantamento dutos'!$B126&gt;Calculos!$Z$3,IF('Levantamento dutos'!$B126&lt;=Calculos!$Z$4,((('Levantamento dutos'!$B126)/100+('Levantamento dutos'!$C126)/100)*2)*'Levantamento dutos'!$D126,0),0)</f>
        <v>0</v>
      </c>
      <c r="D126">
        <f>IF('Levantamento dutos'!$B126&gt;Calculos!$Z$4,IF('Levantamento dutos'!$B126&lt;=Calculos!$Z$5,((('Levantamento dutos'!$B126)/100+('Levantamento dutos'!$C126)/100)*2)*'Levantamento dutos'!$D126,0),0)</f>
        <v>0</v>
      </c>
      <c r="E126">
        <f>IF('Levantamento dutos'!$B126&gt;Calculos!$Z$5,IF('Levantamento dutos'!$B126&lt;=Calculos!$Z$6,((('Levantamento dutos'!$B126)/100+('Levantamento dutos'!$C126)/100)*2)*'Levantamento dutos'!$D126,0),0)</f>
        <v>0</v>
      </c>
      <c r="F126" s="59">
        <f>IF('Levantamento dutos'!$B126&gt;Calculos!$Z$7,((('Levantamento dutos'!$B126)/100+('Levantamento dutos'!$C126)/100)*2)*'Levantamento dutos'!$D126,0)</f>
        <v>0</v>
      </c>
      <c r="G126">
        <f>(('Levantamento dutos'!B126+'Levantamento dutos'!C126)/100)*2</f>
        <v>0</v>
      </c>
      <c r="H126" s="58">
        <f>IF(CODE('Levantamento dutos'!$E126)=76,SUM($B126:$F126),0)</f>
        <v>0</v>
      </c>
      <c r="I126">
        <f>IF(CODE('Levantamento dutos'!$E126)=73,SUM($B126:$F126),0)</f>
        <v>0</v>
      </c>
      <c r="J126">
        <f>IF(CODE('Levantamento dutos'!$E126)=80,SUM($B126:$F126),0)</f>
        <v>0</v>
      </c>
      <c r="K126">
        <f>IF(CODE('Levantamento dutos'!$F126)=66,SUM($B126:$F126),0)</f>
        <v>0</v>
      </c>
      <c r="L126">
        <f>IF(CODE('Levantamento dutos'!$F126)=70,SUM($B126:$F126),0)</f>
        <v>0</v>
      </c>
      <c r="M126" s="59">
        <f>IF(CODE('Levantamento dutos'!$E126)=84,SUM($B126:$F126),0)</f>
        <v>0</v>
      </c>
      <c r="N126" s="60">
        <f>IF(CODE('Levantamento dutos'!$G126)=80,IF('Levantamento dutos'!$B126&lt;=200,('Levantamento dutos'!$D126/'Levantamento dutos'!$G$12*Calculos!$G126*2),0),0)</f>
        <v>0</v>
      </c>
      <c r="O126" s="60">
        <f>IF(CODE('Levantamento dutos'!$G126)=80,IF('Levantamento dutos'!$B126&gt;200,('Levantamento dutos'!$D126/'Levantamento dutos'!$G$12*Calculos!$G126*2),0),0)</f>
        <v>0</v>
      </c>
      <c r="P126" s="60">
        <f>IF(CODE('Levantamento dutos'!$G126)=67,('Levantamento dutos'!$D126/'Levantamento dutos'!$G$12*Calculos!$G126*2),0)</f>
        <v>0</v>
      </c>
      <c r="Q126" s="60">
        <f>IF(CODE('Levantamento dutos'!H126)=83,((('Levantamento dutos'!B126/100)+('Levantamento dutos'!$H$12/1000))+(('Levantamento dutos'!C126/100)+('Levantamento dutos'!$H$12)/1000))*2*'Levantamento dutos'!D126,0)</f>
        <v>0</v>
      </c>
      <c r="S126" s="60">
        <f>IF(CODE('Levantamento dutos'!$I126)=83,$Q126,0)</f>
        <v>0</v>
      </c>
      <c r="T126" s="60">
        <f>IF(CODE('Levantamento dutos'!$E126)=76,ROUND((('Levantamento dutos'!$D126/5)*(Calculos!$G126+0.2)*1.2),0),0)</f>
        <v>0</v>
      </c>
      <c r="U126" s="60">
        <f>IF(CODE('Levantamento dutos'!$E126)=73,ROUND((('Levantamento dutos'!$D126/0.5)*(Calculos!$G126+0.2)*1.2),0),0)</f>
        <v>0</v>
      </c>
      <c r="V126" s="60">
        <f>IF(CODE('Levantamento dutos'!$E126)=80,ROUND((('Levantamento dutos'!$D126/0.5)*(Calculos!$G126+0.2)*1.2),0),0)</f>
        <v>0</v>
      </c>
      <c r="W126" s="60">
        <f>IF(CODE('Levantamento dutos'!$E126)=76,'Levantamento dutos'!$D126/0.5*1.5,0)</f>
        <v>0</v>
      </c>
      <c r="X126" s="60">
        <f>IF(CODE('Levantamento dutos'!$E126)=73,'Levantamento dutos'!$D126/0.5*1.5,0)</f>
        <v>0</v>
      </c>
      <c r="Y126" s="60">
        <f>IF(CODE('Levantamento dutos'!$E126)=80,'Levantamento dutos'!$D126/0.5*1.5,0)</f>
        <v>0</v>
      </c>
      <c r="Z126" s="60">
        <f>IF(CODE('Levantamento dutos'!$E126)=76,ROUND(('Levantamento dutos'!$D126)+('Levantamento dutos'!$D126*Calculos!$G126*2)*1.1,0),0)</f>
        <v>0</v>
      </c>
      <c r="AA126" s="60">
        <f>IF(CODE('Levantamento dutos'!$G126)=80,('Levantamento dutos'!$D126/'Levantamento dutos'!$G$12)*8,0)</f>
        <v>0</v>
      </c>
      <c r="AB126" s="60">
        <f>IF(CODE('Levantamento dutos'!$G126)=80,IF('Levantamento dutos'!$B126&gt;30,('Levantamento dutos'!$D126/'Levantamento dutos'!$G$12)*4,0),0)</f>
        <v>0</v>
      </c>
      <c r="AC126" s="60">
        <f>IF('Levantamento dutos'!$B126&gt;220,('Levantamento dutos'!$D126/'Levantamento dutos'!$G$12*Calculos!$G126*2),0)</f>
        <v>0</v>
      </c>
      <c r="AD126" s="60">
        <f>IF(CODE('Levantamento dutos'!$E126)=73,((('Levantamento dutos'!$E$12/1000)+0.02)*'Levantamento dutos'!$D126)*4*1.3,0)</f>
        <v>0</v>
      </c>
      <c r="AE126" s="60">
        <f>IF(CODE('Levantamento dutos'!$E126)=80,((('Levantamento dutos'!$E$12/1000)+0.02)*'Levantamento dutos'!$D126)*4*1.3,0)</f>
        <v>0</v>
      </c>
    </row>
    <row r="127" spans="2:31" x14ac:dyDescent="0.2">
      <c r="B127" s="58">
        <f>IF('Levantamento dutos'!$B127&lt;=Calculos!$Z$3,((('Levantamento dutos'!$B127)/100+('Levantamento dutos'!$C127)/100)*2)*'Levantamento dutos'!$D127,0)</f>
        <v>0</v>
      </c>
      <c r="C127">
        <f>IF('Levantamento dutos'!$B127&gt;Calculos!$Z$3,IF('Levantamento dutos'!$B127&lt;=Calculos!$Z$4,((('Levantamento dutos'!$B127)/100+('Levantamento dutos'!$C127)/100)*2)*'Levantamento dutos'!$D127,0),0)</f>
        <v>0</v>
      </c>
      <c r="D127">
        <f>IF('Levantamento dutos'!$B127&gt;Calculos!$Z$4,IF('Levantamento dutos'!$B127&lt;=Calculos!$Z$5,((('Levantamento dutos'!$B127)/100+('Levantamento dutos'!$C127)/100)*2)*'Levantamento dutos'!$D127,0),0)</f>
        <v>0</v>
      </c>
      <c r="E127">
        <f>IF('Levantamento dutos'!$B127&gt;Calculos!$Z$5,IF('Levantamento dutos'!$B127&lt;=Calculos!$Z$6,((('Levantamento dutos'!$B127)/100+('Levantamento dutos'!$C127)/100)*2)*'Levantamento dutos'!$D127,0),0)</f>
        <v>0</v>
      </c>
      <c r="F127" s="59">
        <f>IF('Levantamento dutos'!$B127&gt;Calculos!$Z$7,((('Levantamento dutos'!$B127)/100+('Levantamento dutos'!$C127)/100)*2)*'Levantamento dutos'!$D127,0)</f>
        <v>0</v>
      </c>
      <c r="G127">
        <f>(('Levantamento dutos'!B127+'Levantamento dutos'!C127)/100)*2</f>
        <v>0</v>
      </c>
      <c r="H127" s="58">
        <f>IF(CODE('Levantamento dutos'!$E127)=76,SUM($B127:$F127),0)</f>
        <v>0</v>
      </c>
      <c r="I127">
        <f>IF(CODE('Levantamento dutos'!$E127)=73,SUM($B127:$F127),0)</f>
        <v>0</v>
      </c>
      <c r="J127">
        <f>IF(CODE('Levantamento dutos'!$E127)=80,SUM($B127:$F127),0)</f>
        <v>0</v>
      </c>
      <c r="K127">
        <f>IF(CODE('Levantamento dutos'!$F127)=66,SUM($B127:$F127),0)</f>
        <v>0</v>
      </c>
      <c r="L127">
        <f>IF(CODE('Levantamento dutos'!$F127)=70,SUM($B127:$F127),0)</f>
        <v>0</v>
      </c>
      <c r="M127" s="59">
        <f>IF(CODE('Levantamento dutos'!$E127)=84,SUM($B127:$F127),0)</f>
        <v>0</v>
      </c>
      <c r="N127" s="60">
        <f>IF(CODE('Levantamento dutos'!$G127)=80,IF('Levantamento dutos'!$B127&lt;=200,('Levantamento dutos'!$D127/'Levantamento dutos'!$G$12*Calculos!$G127*2),0),0)</f>
        <v>0</v>
      </c>
      <c r="O127" s="60">
        <f>IF(CODE('Levantamento dutos'!$G127)=80,IF('Levantamento dutos'!$B127&gt;200,('Levantamento dutos'!$D127/'Levantamento dutos'!$G$12*Calculos!$G127*2),0),0)</f>
        <v>0</v>
      </c>
      <c r="P127" s="60">
        <f>IF(CODE('Levantamento dutos'!$G127)=67,('Levantamento dutos'!$D127/'Levantamento dutos'!$G$12*Calculos!$G127*2),0)</f>
        <v>0</v>
      </c>
      <c r="Q127" s="60">
        <f>IF(CODE('Levantamento dutos'!H127)=83,((('Levantamento dutos'!B127/100)+('Levantamento dutos'!$H$12/1000))+(('Levantamento dutos'!C127/100)+('Levantamento dutos'!$H$12)/1000))*2*'Levantamento dutos'!D127,0)</f>
        <v>0</v>
      </c>
      <c r="S127" s="60">
        <f>IF(CODE('Levantamento dutos'!$I127)=83,$Q127,0)</f>
        <v>0</v>
      </c>
      <c r="T127" s="60">
        <f>IF(CODE('Levantamento dutos'!$E127)=76,ROUND((('Levantamento dutos'!$D127/5)*(Calculos!$G127+0.2)*1.2),0),0)</f>
        <v>0</v>
      </c>
      <c r="U127" s="60">
        <f>IF(CODE('Levantamento dutos'!$E127)=73,ROUND((('Levantamento dutos'!$D127/0.5)*(Calculos!$G127+0.2)*1.2),0),0)</f>
        <v>0</v>
      </c>
      <c r="V127" s="60">
        <f>IF(CODE('Levantamento dutos'!$E127)=80,ROUND((('Levantamento dutos'!$D127/0.5)*(Calculos!$G127+0.2)*1.2),0),0)</f>
        <v>0</v>
      </c>
      <c r="W127" s="60">
        <f>IF(CODE('Levantamento dutos'!$E127)=76,'Levantamento dutos'!$D127/0.5*1.5,0)</f>
        <v>0</v>
      </c>
      <c r="X127" s="60">
        <f>IF(CODE('Levantamento dutos'!$E127)=73,'Levantamento dutos'!$D127/0.5*1.5,0)</f>
        <v>0</v>
      </c>
      <c r="Y127" s="60">
        <f>IF(CODE('Levantamento dutos'!$E127)=80,'Levantamento dutos'!$D127/0.5*1.5,0)</f>
        <v>0</v>
      </c>
      <c r="Z127" s="60">
        <f>IF(CODE('Levantamento dutos'!$E127)=76,ROUND(('Levantamento dutos'!$D127)+('Levantamento dutos'!$D127*Calculos!$G127*2)*1.1,0),0)</f>
        <v>0</v>
      </c>
      <c r="AA127" s="60">
        <f>IF(CODE('Levantamento dutos'!$G127)=80,('Levantamento dutos'!$D127/'Levantamento dutos'!$G$12)*8,0)</f>
        <v>0</v>
      </c>
      <c r="AB127" s="60">
        <f>IF(CODE('Levantamento dutos'!$G127)=80,IF('Levantamento dutos'!$B127&gt;30,('Levantamento dutos'!$D127/'Levantamento dutos'!$G$12)*4,0),0)</f>
        <v>0</v>
      </c>
      <c r="AC127" s="60">
        <f>IF('Levantamento dutos'!$B127&gt;220,('Levantamento dutos'!$D127/'Levantamento dutos'!$G$12*Calculos!$G127*2),0)</f>
        <v>0</v>
      </c>
      <c r="AD127" s="60">
        <f>IF(CODE('Levantamento dutos'!$E127)=73,((('Levantamento dutos'!$E$12/1000)+0.02)*'Levantamento dutos'!$D127)*4*1.3,0)</f>
        <v>0</v>
      </c>
      <c r="AE127" s="60">
        <f>IF(CODE('Levantamento dutos'!$E127)=80,((('Levantamento dutos'!$E$12/1000)+0.02)*'Levantamento dutos'!$D127)*4*1.3,0)</f>
        <v>0</v>
      </c>
    </row>
    <row r="128" spans="2:31" x14ac:dyDescent="0.2">
      <c r="B128" s="58">
        <f>IF('Levantamento dutos'!$B128&lt;=Calculos!$Z$3,((('Levantamento dutos'!$B128)/100+('Levantamento dutos'!$C128)/100)*2)*'Levantamento dutos'!$D128,0)</f>
        <v>0</v>
      </c>
      <c r="C128">
        <f>IF('Levantamento dutos'!$B128&gt;Calculos!$Z$3,IF('Levantamento dutos'!$B128&lt;=Calculos!$Z$4,((('Levantamento dutos'!$B128)/100+('Levantamento dutos'!$C128)/100)*2)*'Levantamento dutos'!$D128,0),0)</f>
        <v>0</v>
      </c>
      <c r="D128">
        <f>IF('Levantamento dutos'!$B128&gt;Calculos!$Z$4,IF('Levantamento dutos'!$B128&lt;=Calculos!$Z$5,((('Levantamento dutos'!$B128)/100+('Levantamento dutos'!$C128)/100)*2)*'Levantamento dutos'!$D128,0),0)</f>
        <v>0</v>
      </c>
      <c r="E128">
        <f>IF('Levantamento dutos'!$B128&gt;Calculos!$Z$5,IF('Levantamento dutos'!$B128&lt;=Calculos!$Z$6,((('Levantamento dutos'!$B128)/100+('Levantamento dutos'!$C128)/100)*2)*'Levantamento dutos'!$D128,0),0)</f>
        <v>0</v>
      </c>
      <c r="F128" s="59">
        <f>IF('Levantamento dutos'!$B128&gt;Calculos!$Z$7,((('Levantamento dutos'!$B128)/100+('Levantamento dutos'!$C128)/100)*2)*'Levantamento dutos'!$D128,0)</f>
        <v>0</v>
      </c>
      <c r="G128">
        <f>(('Levantamento dutos'!B128+'Levantamento dutos'!C128)/100)*2</f>
        <v>0</v>
      </c>
      <c r="H128" s="58">
        <f>IF(CODE('Levantamento dutos'!$E128)=76,SUM($B128:$F128),0)</f>
        <v>0</v>
      </c>
      <c r="I128">
        <f>IF(CODE('Levantamento dutos'!$E128)=73,SUM($B128:$F128),0)</f>
        <v>0</v>
      </c>
      <c r="J128">
        <f>IF(CODE('Levantamento dutos'!$E128)=80,SUM($B128:$F128),0)</f>
        <v>0</v>
      </c>
      <c r="K128">
        <f>IF(CODE('Levantamento dutos'!$F128)=66,SUM($B128:$F128),0)</f>
        <v>0</v>
      </c>
      <c r="L128">
        <f>IF(CODE('Levantamento dutos'!$F128)=70,SUM($B128:$F128),0)</f>
        <v>0</v>
      </c>
      <c r="M128" s="59">
        <f>IF(CODE('Levantamento dutos'!$E128)=84,SUM($B128:$F128),0)</f>
        <v>0</v>
      </c>
      <c r="N128" s="60">
        <f>IF(CODE('Levantamento dutos'!$G128)=80,IF('Levantamento dutos'!$B128&lt;=200,('Levantamento dutos'!$D128/'Levantamento dutos'!$G$12*Calculos!$G128*2),0),0)</f>
        <v>0</v>
      </c>
      <c r="O128" s="60">
        <f>IF(CODE('Levantamento dutos'!$G128)=80,IF('Levantamento dutos'!$B128&gt;200,('Levantamento dutos'!$D128/'Levantamento dutos'!$G$12*Calculos!$G128*2),0),0)</f>
        <v>0</v>
      </c>
      <c r="P128" s="60">
        <f>IF(CODE('Levantamento dutos'!$G128)=67,('Levantamento dutos'!$D128/'Levantamento dutos'!$G$12*Calculos!$G128*2),0)</f>
        <v>0</v>
      </c>
      <c r="Q128" s="60">
        <f>IF(CODE('Levantamento dutos'!H128)=83,((('Levantamento dutos'!B128/100)+('Levantamento dutos'!$H$12/1000))+(('Levantamento dutos'!C128/100)+('Levantamento dutos'!$H$12)/1000))*2*'Levantamento dutos'!D128,0)</f>
        <v>0</v>
      </c>
      <c r="S128" s="60">
        <f>IF(CODE('Levantamento dutos'!$I128)=83,$Q128,0)</f>
        <v>0</v>
      </c>
      <c r="T128" s="60">
        <f>IF(CODE('Levantamento dutos'!$E128)=76,ROUND((('Levantamento dutos'!$D128/5)*(Calculos!$G128+0.2)*1.2),0),0)</f>
        <v>0</v>
      </c>
      <c r="U128" s="60">
        <f>IF(CODE('Levantamento dutos'!$E128)=73,ROUND((('Levantamento dutos'!$D128/0.5)*(Calculos!$G128+0.2)*1.2),0),0)</f>
        <v>0</v>
      </c>
      <c r="V128" s="60">
        <f>IF(CODE('Levantamento dutos'!$E128)=80,ROUND((('Levantamento dutos'!$D128/0.5)*(Calculos!$G128+0.2)*1.2),0),0)</f>
        <v>0</v>
      </c>
      <c r="W128" s="60">
        <f>IF(CODE('Levantamento dutos'!$E128)=76,'Levantamento dutos'!$D128/0.5*1.5,0)</f>
        <v>0</v>
      </c>
      <c r="X128" s="60">
        <f>IF(CODE('Levantamento dutos'!$E128)=73,'Levantamento dutos'!$D128/0.5*1.5,0)</f>
        <v>0</v>
      </c>
      <c r="Y128" s="60">
        <f>IF(CODE('Levantamento dutos'!$E128)=80,'Levantamento dutos'!$D128/0.5*1.5,0)</f>
        <v>0</v>
      </c>
      <c r="Z128" s="60">
        <f>IF(CODE('Levantamento dutos'!$E128)=76,ROUND(('Levantamento dutos'!$D128)+('Levantamento dutos'!$D128*Calculos!$G128*2)*1.1,0),0)</f>
        <v>0</v>
      </c>
      <c r="AA128" s="60">
        <f>IF(CODE('Levantamento dutos'!$G128)=80,('Levantamento dutos'!$D128/'Levantamento dutos'!$G$12)*8,0)</f>
        <v>0</v>
      </c>
      <c r="AB128" s="60">
        <f>IF(CODE('Levantamento dutos'!$G128)=80,IF('Levantamento dutos'!$B128&gt;30,('Levantamento dutos'!$D128/'Levantamento dutos'!$G$12)*4,0),0)</f>
        <v>0</v>
      </c>
      <c r="AC128" s="60">
        <f>IF('Levantamento dutos'!$B128&gt;220,('Levantamento dutos'!$D128/'Levantamento dutos'!$G$12*Calculos!$G128*2),0)</f>
        <v>0</v>
      </c>
      <c r="AD128" s="60">
        <f>IF(CODE('Levantamento dutos'!$E128)=73,((('Levantamento dutos'!$E$12/1000)+0.02)*'Levantamento dutos'!$D128)*4*1.3,0)</f>
        <v>0</v>
      </c>
      <c r="AE128" s="60">
        <f>IF(CODE('Levantamento dutos'!$E128)=80,((('Levantamento dutos'!$E$12/1000)+0.02)*'Levantamento dutos'!$D128)*4*1.3,0)</f>
        <v>0</v>
      </c>
    </row>
    <row r="129" spans="2:31" x14ac:dyDescent="0.2">
      <c r="B129" s="58">
        <f>IF('Levantamento dutos'!$B129&lt;=Calculos!$Z$3,((('Levantamento dutos'!$B129)/100+('Levantamento dutos'!$C129)/100)*2)*'Levantamento dutos'!$D129,0)</f>
        <v>0</v>
      </c>
      <c r="C129">
        <f>IF('Levantamento dutos'!$B129&gt;Calculos!$Z$3,IF('Levantamento dutos'!$B129&lt;=Calculos!$Z$4,((('Levantamento dutos'!$B129)/100+('Levantamento dutos'!$C129)/100)*2)*'Levantamento dutos'!$D129,0),0)</f>
        <v>0</v>
      </c>
      <c r="D129">
        <f>IF('Levantamento dutos'!$B129&gt;Calculos!$Z$4,IF('Levantamento dutos'!$B129&lt;=Calculos!$Z$5,((('Levantamento dutos'!$B129)/100+('Levantamento dutos'!$C129)/100)*2)*'Levantamento dutos'!$D129,0),0)</f>
        <v>0</v>
      </c>
      <c r="E129">
        <f>IF('Levantamento dutos'!$B129&gt;Calculos!$Z$5,IF('Levantamento dutos'!$B129&lt;=Calculos!$Z$6,((('Levantamento dutos'!$B129)/100+('Levantamento dutos'!$C129)/100)*2)*'Levantamento dutos'!$D129,0),0)</f>
        <v>0</v>
      </c>
      <c r="F129" s="59">
        <f>IF('Levantamento dutos'!$B129&gt;Calculos!$Z$7,((('Levantamento dutos'!$B129)/100+('Levantamento dutos'!$C129)/100)*2)*'Levantamento dutos'!$D129,0)</f>
        <v>0</v>
      </c>
      <c r="G129">
        <f>(('Levantamento dutos'!B129+'Levantamento dutos'!C129)/100)*2</f>
        <v>0</v>
      </c>
      <c r="H129" s="58">
        <f>IF(CODE('Levantamento dutos'!$E129)=76,SUM($B129:$F129),0)</f>
        <v>0</v>
      </c>
      <c r="I129">
        <f>IF(CODE('Levantamento dutos'!$E129)=73,SUM($B129:$F129),0)</f>
        <v>0</v>
      </c>
      <c r="J129">
        <f>IF(CODE('Levantamento dutos'!$E129)=80,SUM($B129:$F129),0)</f>
        <v>0</v>
      </c>
      <c r="K129">
        <f>IF(CODE('Levantamento dutos'!$F129)=66,SUM($B129:$F129),0)</f>
        <v>0</v>
      </c>
      <c r="L129">
        <f>IF(CODE('Levantamento dutos'!$F129)=70,SUM($B129:$F129),0)</f>
        <v>0</v>
      </c>
      <c r="M129" s="59">
        <f>IF(CODE('Levantamento dutos'!$E129)=84,SUM($B129:$F129),0)</f>
        <v>0</v>
      </c>
      <c r="N129" s="60">
        <f>IF(CODE('Levantamento dutos'!$G129)=80,IF('Levantamento dutos'!$B129&lt;=200,('Levantamento dutos'!$D129/'Levantamento dutos'!$G$12*Calculos!$G129*2),0),0)</f>
        <v>0</v>
      </c>
      <c r="O129" s="60">
        <f>IF(CODE('Levantamento dutos'!$G129)=80,IF('Levantamento dutos'!$B129&gt;200,('Levantamento dutos'!$D129/'Levantamento dutos'!$G$12*Calculos!$G129*2),0),0)</f>
        <v>0</v>
      </c>
      <c r="P129" s="60">
        <f>IF(CODE('Levantamento dutos'!$G129)=67,('Levantamento dutos'!$D129/'Levantamento dutos'!$G$12*Calculos!$G129*2),0)</f>
        <v>0</v>
      </c>
      <c r="Q129" s="60">
        <f>IF(CODE('Levantamento dutos'!H129)=83,((('Levantamento dutos'!B129/100)+('Levantamento dutos'!$H$12/1000))+(('Levantamento dutos'!C129/100)+('Levantamento dutos'!$H$12)/1000))*2*'Levantamento dutos'!D129,0)</f>
        <v>0</v>
      </c>
      <c r="S129" s="60">
        <f>IF(CODE('Levantamento dutos'!$I129)=83,$Q129,0)</f>
        <v>0</v>
      </c>
      <c r="T129" s="60">
        <f>IF(CODE('Levantamento dutos'!$E129)=76,ROUND((('Levantamento dutos'!$D129/5)*(Calculos!$G129+0.2)*1.2),0),0)</f>
        <v>0</v>
      </c>
      <c r="U129" s="60">
        <f>IF(CODE('Levantamento dutos'!$E129)=73,ROUND((('Levantamento dutos'!$D129/0.5)*(Calculos!$G129+0.2)*1.2),0),0)</f>
        <v>0</v>
      </c>
      <c r="V129" s="60">
        <f>IF(CODE('Levantamento dutos'!$E129)=80,ROUND((('Levantamento dutos'!$D129/0.5)*(Calculos!$G129+0.2)*1.2),0),0)</f>
        <v>0</v>
      </c>
      <c r="W129" s="60">
        <f>IF(CODE('Levantamento dutos'!$E129)=76,'Levantamento dutos'!$D129/0.5*1.5,0)</f>
        <v>0</v>
      </c>
      <c r="X129" s="60">
        <f>IF(CODE('Levantamento dutos'!$E129)=73,'Levantamento dutos'!$D129/0.5*1.5,0)</f>
        <v>0</v>
      </c>
      <c r="Y129" s="60">
        <f>IF(CODE('Levantamento dutos'!$E129)=80,'Levantamento dutos'!$D129/0.5*1.5,0)</f>
        <v>0</v>
      </c>
      <c r="Z129" s="60">
        <f>IF(CODE('Levantamento dutos'!$E129)=76,ROUND(('Levantamento dutos'!$D129)+('Levantamento dutos'!$D129*Calculos!$G129*2)*1.1,0),0)</f>
        <v>0</v>
      </c>
      <c r="AA129" s="60">
        <f>IF(CODE('Levantamento dutos'!$G129)=80,('Levantamento dutos'!$D129/'Levantamento dutos'!$G$12)*8,0)</f>
        <v>0</v>
      </c>
      <c r="AB129" s="60">
        <f>IF(CODE('Levantamento dutos'!$G129)=80,IF('Levantamento dutos'!$B129&gt;30,('Levantamento dutos'!$D129/'Levantamento dutos'!$G$12)*4,0),0)</f>
        <v>0</v>
      </c>
      <c r="AC129" s="60">
        <f>IF('Levantamento dutos'!$B129&gt;220,('Levantamento dutos'!$D129/'Levantamento dutos'!$G$12*Calculos!$G129*2),0)</f>
        <v>0</v>
      </c>
      <c r="AD129" s="60">
        <f>IF(CODE('Levantamento dutos'!$E129)=73,((('Levantamento dutos'!$E$12/1000)+0.02)*'Levantamento dutos'!$D129)*4*1.3,0)</f>
        <v>0</v>
      </c>
      <c r="AE129" s="60">
        <f>IF(CODE('Levantamento dutos'!$E129)=80,((('Levantamento dutos'!$E$12/1000)+0.02)*'Levantamento dutos'!$D129)*4*1.3,0)</f>
        <v>0</v>
      </c>
    </row>
    <row r="130" spans="2:31" x14ac:dyDescent="0.2">
      <c r="B130" s="58">
        <f>IF('Levantamento dutos'!$B130&lt;=Calculos!$Z$3,((('Levantamento dutos'!$B130)/100+('Levantamento dutos'!$C130)/100)*2)*'Levantamento dutos'!$D130,0)</f>
        <v>0</v>
      </c>
      <c r="C130">
        <f>IF('Levantamento dutos'!$B130&gt;Calculos!$Z$3,IF('Levantamento dutos'!$B130&lt;=Calculos!$Z$4,((('Levantamento dutos'!$B130)/100+('Levantamento dutos'!$C130)/100)*2)*'Levantamento dutos'!$D130,0),0)</f>
        <v>0</v>
      </c>
      <c r="D130">
        <f>IF('Levantamento dutos'!$B130&gt;Calculos!$Z$4,IF('Levantamento dutos'!$B130&lt;=Calculos!$Z$5,((('Levantamento dutos'!$B130)/100+('Levantamento dutos'!$C130)/100)*2)*'Levantamento dutos'!$D130,0),0)</f>
        <v>0</v>
      </c>
      <c r="E130">
        <f>IF('Levantamento dutos'!$B130&gt;Calculos!$Z$5,IF('Levantamento dutos'!$B130&lt;=Calculos!$Z$6,((('Levantamento dutos'!$B130)/100+('Levantamento dutos'!$C130)/100)*2)*'Levantamento dutos'!$D130,0),0)</f>
        <v>0</v>
      </c>
      <c r="F130" s="59">
        <f>IF('Levantamento dutos'!$B130&gt;Calculos!$Z$7,((('Levantamento dutos'!$B130)/100+('Levantamento dutos'!$C130)/100)*2)*'Levantamento dutos'!$D130,0)</f>
        <v>0</v>
      </c>
      <c r="G130">
        <f>(('Levantamento dutos'!B130+'Levantamento dutos'!C130)/100)*2</f>
        <v>0</v>
      </c>
      <c r="H130" s="58">
        <f>IF(CODE('Levantamento dutos'!$E130)=76,SUM($B130:$F130),0)</f>
        <v>0</v>
      </c>
      <c r="I130">
        <f>IF(CODE('Levantamento dutos'!$E130)=73,SUM($B130:$F130),0)</f>
        <v>0</v>
      </c>
      <c r="J130">
        <f>IF(CODE('Levantamento dutos'!$E130)=80,SUM($B130:$F130),0)</f>
        <v>0</v>
      </c>
      <c r="K130">
        <f>IF(CODE('Levantamento dutos'!$F130)=66,SUM($B130:$F130),0)</f>
        <v>0</v>
      </c>
      <c r="L130">
        <f>IF(CODE('Levantamento dutos'!$F130)=70,SUM($B130:$F130),0)</f>
        <v>0</v>
      </c>
      <c r="M130" s="59">
        <f>IF(CODE('Levantamento dutos'!$E130)=84,SUM($B130:$F130),0)</f>
        <v>0</v>
      </c>
      <c r="N130" s="60">
        <f>IF(CODE('Levantamento dutos'!$G130)=80,IF('Levantamento dutos'!$B130&lt;=200,('Levantamento dutos'!$D130/'Levantamento dutos'!$G$12*Calculos!$G130*2),0),0)</f>
        <v>0</v>
      </c>
      <c r="O130" s="60">
        <f>IF(CODE('Levantamento dutos'!$G130)=80,IF('Levantamento dutos'!$B130&gt;200,('Levantamento dutos'!$D130/'Levantamento dutos'!$G$12*Calculos!$G130*2),0),0)</f>
        <v>0</v>
      </c>
      <c r="P130" s="60">
        <f>IF(CODE('Levantamento dutos'!$G130)=67,('Levantamento dutos'!$D130/'Levantamento dutos'!$G$12*Calculos!$G130*2),0)</f>
        <v>0</v>
      </c>
      <c r="Q130" s="60">
        <f>IF(CODE('Levantamento dutos'!H130)=83,((('Levantamento dutos'!B130/100)+('Levantamento dutos'!$H$12/1000))+(('Levantamento dutos'!C130/100)+('Levantamento dutos'!$H$12)/1000))*2*'Levantamento dutos'!D130,0)</f>
        <v>0</v>
      </c>
      <c r="S130" s="60">
        <f>IF(CODE('Levantamento dutos'!$I130)=83,$Q130,0)</f>
        <v>0</v>
      </c>
      <c r="T130" s="60">
        <f>IF(CODE('Levantamento dutos'!$E130)=76,ROUND((('Levantamento dutos'!$D130/5)*(Calculos!$G130+0.2)*1.2),0),0)</f>
        <v>0</v>
      </c>
      <c r="U130" s="60">
        <f>IF(CODE('Levantamento dutos'!$E130)=73,ROUND((('Levantamento dutos'!$D130/0.5)*(Calculos!$G130+0.2)*1.2),0),0)</f>
        <v>0</v>
      </c>
      <c r="V130" s="60">
        <f>IF(CODE('Levantamento dutos'!$E130)=80,ROUND((('Levantamento dutos'!$D130/0.5)*(Calculos!$G130+0.2)*1.2),0),0)</f>
        <v>0</v>
      </c>
      <c r="W130" s="60">
        <f>IF(CODE('Levantamento dutos'!$E130)=76,'Levantamento dutos'!$D130/0.5*1.5,0)</f>
        <v>0</v>
      </c>
      <c r="X130" s="60">
        <f>IF(CODE('Levantamento dutos'!$E130)=73,'Levantamento dutos'!$D130/0.5*1.5,0)</f>
        <v>0</v>
      </c>
      <c r="Y130" s="60">
        <f>IF(CODE('Levantamento dutos'!$E130)=80,'Levantamento dutos'!$D130/0.5*1.5,0)</f>
        <v>0</v>
      </c>
      <c r="Z130" s="60">
        <f>IF(CODE('Levantamento dutos'!$E130)=76,ROUND(('Levantamento dutos'!$D130)+('Levantamento dutos'!$D130*Calculos!$G130*2)*1.1,0),0)</f>
        <v>0</v>
      </c>
      <c r="AA130" s="60">
        <f>IF(CODE('Levantamento dutos'!$G130)=80,('Levantamento dutos'!$D130/'Levantamento dutos'!$G$12)*8,0)</f>
        <v>0</v>
      </c>
      <c r="AB130" s="60">
        <f>IF(CODE('Levantamento dutos'!$G130)=80,IF('Levantamento dutos'!$B130&gt;30,('Levantamento dutos'!$D130/'Levantamento dutos'!$G$12)*4,0),0)</f>
        <v>0</v>
      </c>
      <c r="AC130" s="60">
        <f>IF('Levantamento dutos'!$B130&gt;220,('Levantamento dutos'!$D130/'Levantamento dutos'!$G$12*Calculos!$G130*2),0)</f>
        <v>0</v>
      </c>
      <c r="AD130" s="60">
        <f>IF(CODE('Levantamento dutos'!$E130)=73,((('Levantamento dutos'!$E$12/1000)+0.02)*'Levantamento dutos'!$D130)*4*1.3,0)</f>
        <v>0</v>
      </c>
      <c r="AE130" s="60">
        <f>IF(CODE('Levantamento dutos'!$E130)=80,((('Levantamento dutos'!$E$12/1000)+0.02)*'Levantamento dutos'!$D130)*4*1.3,0)</f>
        <v>0</v>
      </c>
    </row>
    <row r="131" spans="2:31" x14ac:dyDescent="0.2">
      <c r="B131" s="58">
        <f>IF('Levantamento dutos'!$B131&lt;=Calculos!$Z$3,((('Levantamento dutos'!$B131)/100+('Levantamento dutos'!$C131)/100)*2)*'Levantamento dutos'!$D131,0)</f>
        <v>0</v>
      </c>
      <c r="C131">
        <f>IF('Levantamento dutos'!$B131&gt;Calculos!$Z$3,IF('Levantamento dutos'!$B131&lt;=Calculos!$Z$4,((('Levantamento dutos'!$B131)/100+('Levantamento dutos'!$C131)/100)*2)*'Levantamento dutos'!$D131,0),0)</f>
        <v>0</v>
      </c>
      <c r="D131">
        <f>IF('Levantamento dutos'!$B131&gt;Calculos!$Z$4,IF('Levantamento dutos'!$B131&lt;=Calculos!$Z$5,((('Levantamento dutos'!$B131)/100+('Levantamento dutos'!$C131)/100)*2)*'Levantamento dutos'!$D131,0),0)</f>
        <v>0</v>
      </c>
      <c r="E131">
        <f>IF('Levantamento dutos'!$B131&gt;Calculos!$Z$5,IF('Levantamento dutos'!$B131&lt;=Calculos!$Z$6,((('Levantamento dutos'!$B131)/100+('Levantamento dutos'!$C131)/100)*2)*'Levantamento dutos'!$D131,0),0)</f>
        <v>0</v>
      </c>
      <c r="F131" s="59">
        <f>IF('Levantamento dutos'!$B131&gt;Calculos!$Z$7,((('Levantamento dutos'!$B131)/100+('Levantamento dutos'!$C131)/100)*2)*'Levantamento dutos'!$D131,0)</f>
        <v>0</v>
      </c>
      <c r="G131">
        <f>(('Levantamento dutos'!B131+'Levantamento dutos'!C131)/100)*2</f>
        <v>0</v>
      </c>
      <c r="H131" s="58">
        <f>IF(CODE('Levantamento dutos'!$E131)=76,SUM($B131:$F131),0)</f>
        <v>0</v>
      </c>
      <c r="I131">
        <f>IF(CODE('Levantamento dutos'!$E131)=73,SUM($B131:$F131),0)</f>
        <v>0</v>
      </c>
      <c r="J131">
        <f>IF(CODE('Levantamento dutos'!$E131)=80,SUM($B131:$F131),0)</f>
        <v>0</v>
      </c>
      <c r="K131">
        <f>IF(CODE('Levantamento dutos'!$F131)=66,SUM($B131:$F131),0)</f>
        <v>0</v>
      </c>
      <c r="L131">
        <f>IF(CODE('Levantamento dutos'!$F131)=70,SUM($B131:$F131),0)</f>
        <v>0</v>
      </c>
      <c r="M131" s="59">
        <f>IF(CODE('Levantamento dutos'!$E131)=84,SUM($B131:$F131),0)</f>
        <v>0</v>
      </c>
      <c r="N131" s="60">
        <f>IF(CODE('Levantamento dutos'!$G131)=80,IF('Levantamento dutos'!$B131&lt;=200,('Levantamento dutos'!$D131/'Levantamento dutos'!$G$12*Calculos!$G131*2),0),0)</f>
        <v>0</v>
      </c>
      <c r="O131" s="60">
        <f>IF(CODE('Levantamento dutos'!$G131)=80,IF('Levantamento dutos'!$B131&gt;200,('Levantamento dutos'!$D131/'Levantamento dutos'!$G$12*Calculos!$G131*2),0),0)</f>
        <v>0</v>
      </c>
      <c r="P131" s="60">
        <f>IF(CODE('Levantamento dutos'!$G131)=67,('Levantamento dutos'!$D131/'Levantamento dutos'!$G$12*Calculos!$G131*2),0)</f>
        <v>0</v>
      </c>
      <c r="Q131" s="60">
        <f>IF(CODE('Levantamento dutos'!H131)=83,((('Levantamento dutos'!B131/100)+('Levantamento dutos'!$H$12/1000))+(('Levantamento dutos'!C131/100)+('Levantamento dutos'!$H$12)/1000))*2*'Levantamento dutos'!D131,0)</f>
        <v>0</v>
      </c>
      <c r="S131" s="60">
        <f>IF(CODE('Levantamento dutos'!$I131)=83,$Q131,0)</f>
        <v>0</v>
      </c>
      <c r="T131" s="60">
        <f>IF(CODE('Levantamento dutos'!$E131)=76,ROUND((('Levantamento dutos'!$D131/5)*(Calculos!$G131+0.2)*1.2),0),0)</f>
        <v>0</v>
      </c>
      <c r="U131" s="60">
        <f>IF(CODE('Levantamento dutos'!$E131)=73,ROUND((('Levantamento dutos'!$D131/0.5)*(Calculos!$G131+0.2)*1.2),0),0)</f>
        <v>0</v>
      </c>
      <c r="V131" s="60">
        <f>IF(CODE('Levantamento dutos'!$E131)=80,ROUND((('Levantamento dutos'!$D131/0.5)*(Calculos!$G131+0.2)*1.2),0),0)</f>
        <v>0</v>
      </c>
      <c r="W131" s="60">
        <f>IF(CODE('Levantamento dutos'!$E131)=76,'Levantamento dutos'!$D131/0.5*1.5,0)</f>
        <v>0</v>
      </c>
      <c r="X131" s="60">
        <f>IF(CODE('Levantamento dutos'!$E131)=73,'Levantamento dutos'!$D131/0.5*1.5,0)</f>
        <v>0</v>
      </c>
      <c r="Y131" s="60">
        <f>IF(CODE('Levantamento dutos'!$E131)=80,'Levantamento dutos'!$D131/0.5*1.5,0)</f>
        <v>0</v>
      </c>
      <c r="Z131" s="60">
        <f>IF(CODE('Levantamento dutos'!$E131)=76,ROUND(('Levantamento dutos'!$D131)+('Levantamento dutos'!$D131*Calculos!$G131*2)*1.1,0),0)</f>
        <v>0</v>
      </c>
      <c r="AA131" s="60">
        <f>IF(CODE('Levantamento dutos'!$G131)=80,('Levantamento dutos'!$D131/'Levantamento dutos'!$G$12)*8,0)</f>
        <v>0</v>
      </c>
      <c r="AB131" s="60">
        <f>IF(CODE('Levantamento dutos'!$G131)=80,IF('Levantamento dutos'!$B131&gt;30,('Levantamento dutos'!$D131/'Levantamento dutos'!$G$12)*4,0),0)</f>
        <v>0</v>
      </c>
      <c r="AC131" s="60">
        <f>IF('Levantamento dutos'!$B131&gt;220,('Levantamento dutos'!$D131/'Levantamento dutos'!$G$12*Calculos!$G131*2),0)</f>
        <v>0</v>
      </c>
      <c r="AD131" s="60">
        <f>IF(CODE('Levantamento dutos'!$E131)=73,((('Levantamento dutos'!$E$12/1000)+0.02)*'Levantamento dutos'!$D131)*4*1.3,0)</f>
        <v>0</v>
      </c>
      <c r="AE131" s="60">
        <f>IF(CODE('Levantamento dutos'!$E131)=80,((('Levantamento dutos'!$E$12/1000)+0.02)*'Levantamento dutos'!$D131)*4*1.3,0)</f>
        <v>0</v>
      </c>
    </row>
    <row r="132" spans="2:31" x14ac:dyDescent="0.2">
      <c r="B132" s="58">
        <f>IF('Levantamento dutos'!$B132&lt;=Calculos!$Z$3,((('Levantamento dutos'!$B132)/100+('Levantamento dutos'!$C132)/100)*2)*'Levantamento dutos'!$D132,0)</f>
        <v>0</v>
      </c>
      <c r="C132">
        <f>IF('Levantamento dutos'!$B132&gt;Calculos!$Z$3,IF('Levantamento dutos'!$B132&lt;=Calculos!$Z$4,((('Levantamento dutos'!$B132)/100+('Levantamento dutos'!$C132)/100)*2)*'Levantamento dutos'!$D132,0),0)</f>
        <v>0</v>
      </c>
      <c r="D132">
        <f>IF('Levantamento dutos'!$B132&gt;Calculos!$Z$4,IF('Levantamento dutos'!$B132&lt;=Calculos!$Z$5,((('Levantamento dutos'!$B132)/100+('Levantamento dutos'!$C132)/100)*2)*'Levantamento dutos'!$D132,0),0)</f>
        <v>0</v>
      </c>
      <c r="E132">
        <f>IF('Levantamento dutos'!$B132&gt;Calculos!$Z$5,IF('Levantamento dutos'!$B132&lt;=Calculos!$Z$6,((('Levantamento dutos'!$B132)/100+('Levantamento dutos'!$C132)/100)*2)*'Levantamento dutos'!$D132,0),0)</f>
        <v>0</v>
      </c>
      <c r="F132" s="59">
        <f>IF('Levantamento dutos'!$B132&gt;Calculos!$Z$7,((('Levantamento dutos'!$B132)/100+('Levantamento dutos'!$C132)/100)*2)*'Levantamento dutos'!$D132,0)</f>
        <v>0</v>
      </c>
      <c r="G132">
        <f>(('Levantamento dutos'!B132+'Levantamento dutos'!C132)/100)*2</f>
        <v>0</v>
      </c>
      <c r="H132" s="58">
        <f>IF(CODE('Levantamento dutos'!$E132)=76,SUM($B132:$F132),0)</f>
        <v>0</v>
      </c>
      <c r="I132">
        <f>IF(CODE('Levantamento dutos'!$E132)=73,SUM($B132:$F132),0)</f>
        <v>0</v>
      </c>
      <c r="J132">
        <f>IF(CODE('Levantamento dutos'!$E132)=80,SUM($B132:$F132),0)</f>
        <v>0</v>
      </c>
      <c r="K132">
        <f>IF(CODE('Levantamento dutos'!$F132)=66,SUM($B132:$F132),0)</f>
        <v>0</v>
      </c>
      <c r="L132">
        <f>IF(CODE('Levantamento dutos'!$F132)=70,SUM($B132:$F132),0)</f>
        <v>0</v>
      </c>
      <c r="M132" s="59">
        <f>IF(CODE('Levantamento dutos'!$E132)=84,SUM($B132:$F132),0)</f>
        <v>0</v>
      </c>
      <c r="N132" s="60">
        <f>IF(CODE('Levantamento dutos'!$G132)=80,IF('Levantamento dutos'!$B132&lt;=200,('Levantamento dutos'!$D132/'Levantamento dutos'!$G$12*Calculos!$G132*2),0),0)</f>
        <v>0</v>
      </c>
      <c r="O132" s="60">
        <f>IF(CODE('Levantamento dutos'!$G132)=80,IF('Levantamento dutos'!$B132&gt;200,('Levantamento dutos'!$D132/'Levantamento dutos'!$G$12*Calculos!$G132*2),0),0)</f>
        <v>0</v>
      </c>
      <c r="P132" s="60">
        <f>IF(CODE('Levantamento dutos'!$G132)=67,('Levantamento dutos'!$D132/'Levantamento dutos'!$G$12*Calculos!$G132*2),0)</f>
        <v>0</v>
      </c>
      <c r="Q132" s="60">
        <f>IF(CODE('Levantamento dutos'!H132)=83,((('Levantamento dutos'!B132/100)+('Levantamento dutos'!$H$12/1000))+(('Levantamento dutos'!C132/100)+('Levantamento dutos'!$H$12)/1000))*2*'Levantamento dutos'!D132,0)</f>
        <v>0</v>
      </c>
      <c r="S132" s="60">
        <f>IF(CODE('Levantamento dutos'!$I132)=83,$Q132,0)</f>
        <v>0</v>
      </c>
      <c r="T132" s="60">
        <f>IF(CODE('Levantamento dutos'!$E132)=76,ROUND((('Levantamento dutos'!$D132/5)*(Calculos!$G132+0.2)*1.2),0),0)</f>
        <v>0</v>
      </c>
      <c r="U132" s="60">
        <f>IF(CODE('Levantamento dutos'!$E132)=73,ROUND((('Levantamento dutos'!$D132/0.5)*(Calculos!$G132+0.2)*1.2),0),0)</f>
        <v>0</v>
      </c>
      <c r="V132" s="60">
        <f>IF(CODE('Levantamento dutos'!$E132)=80,ROUND((('Levantamento dutos'!$D132/0.5)*(Calculos!$G132+0.2)*1.2),0),0)</f>
        <v>0</v>
      </c>
      <c r="W132" s="60">
        <f>IF(CODE('Levantamento dutos'!$E132)=76,'Levantamento dutos'!$D132/0.5*1.5,0)</f>
        <v>0</v>
      </c>
      <c r="X132" s="60">
        <f>IF(CODE('Levantamento dutos'!$E132)=73,'Levantamento dutos'!$D132/0.5*1.5,0)</f>
        <v>0</v>
      </c>
      <c r="Y132" s="60">
        <f>IF(CODE('Levantamento dutos'!$E132)=80,'Levantamento dutos'!$D132/0.5*1.5,0)</f>
        <v>0</v>
      </c>
      <c r="Z132" s="60">
        <f>IF(CODE('Levantamento dutos'!$E132)=76,ROUND(('Levantamento dutos'!$D132)+('Levantamento dutos'!$D132*Calculos!$G132*2)*1.1,0),0)</f>
        <v>0</v>
      </c>
      <c r="AA132" s="60">
        <f>IF(CODE('Levantamento dutos'!$G132)=80,('Levantamento dutos'!$D132/'Levantamento dutos'!$G$12)*8,0)</f>
        <v>0</v>
      </c>
      <c r="AB132" s="60">
        <f>IF(CODE('Levantamento dutos'!$G132)=80,IF('Levantamento dutos'!$B132&gt;30,('Levantamento dutos'!$D132/'Levantamento dutos'!$G$12)*4,0),0)</f>
        <v>0</v>
      </c>
      <c r="AC132" s="60">
        <f>IF('Levantamento dutos'!$B132&gt;220,('Levantamento dutos'!$D132/'Levantamento dutos'!$G$12*Calculos!$G132*2),0)</f>
        <v>0</v>
      </c>
      <c r="AD132" s="60">
        <f>IF(CODE('Levantamento dutos'!$E132)=73,((('Levantamento dutos'!$E$12/1000)+0.02)*'Levantamento dutos'!$D132)*4*1.3,0)</f>
        <v>0</v>
      </c>
      <c r="AE132" s="60">
        <f>IF(CODE('Levantamento dutos'!$E132)=80,((('Levantamento dutos'!$E$12/1000)+0.02)*'Levantamento dutos'!$D132)*4*1.3,0)</f>
        <v>0</v>
      </c>
    </row>
    <row r="133" spans="2:31" x14ac:dyDescent="0.2">
      <c r="B133" s="58">
        <f>IF('Levantamento dutos'!$B133&lt;=Calculos!$Z$3,((('Levantamento dutos'!$B133)/100+('Levantamento dutos'!$C133)/100)*2)*'Levantamento dutos'!$D133,0)</f>
        <v>0</v>
      </c>
      <c r="C133">
        <f>IF('Levantamento dutos'!$B133&gt;Calculos!$Z$3,IF('Levantamento dutos'!$B133&lt;=Calculos!$Z$4,((('Levantamento dutos'!$B133)/100+('Levantamento dutos'!$C133)/100)*2)*'Levantamento dutos'!$D133,0),0)</f>
        <v>0</v>
      </c>
      <c r="D133">
        <f>IF('Levantamento dutos'!$B133&gt;Calculos!$Z$4,IF('Levantamento dutos'!$B133&lt;=Calculos!$Z$5,((('Levantamento dutos'!$B133)/100+('Levantamento dutos'!$C133)/100)*2)*'Levantamento dutos'!$D133,0),0)</f>
        <v>0</v>
      </c>
      <c r="E133">
        <f>IF('Levantamento dutos'!$B133&gt;Calculos!$Z$5,IF('Levantamento dutos'!$B133&lt;=Calculos!$Z$6,((('Levantamento dutos'!$B133)/100+('Levantamento dutos'!$C133)/100)*2)*'Levantamento dutos'!$D133,0),0)</f>
        <v>0</v>
      </c>
      <c r="F133" s="59">
        <f>IF('Levantamento dutos'!$B133&gt;Calculos!$Z$7,((('Levantamento dutos'!$B133)/100+('Levantamento dutos'!$C133)/100)*2)*'Levantamento dutos'!$D133,0)</f>
        <v>0</v>
      </c>
      <c r="G133">
        <f>(('Levantamento dutos'!B133+'Levantamento dutos'!C133)/100)*2</f>
        <v>0</v>
      </c>
      <c r="H133" s="58">
        <f>IF(CODE('Levantamento dutos'!$E133)=76,SUM($B133:$F133),0)</f>
        <v>0</v>
      </c>
      <c r="I133">
        <f>IF(CODE('Levantamento dutos'!$E133)=73,SUM($B133:$F133),0)</f>
        <v>0</v>
      </c>
      <c r="J133">
        <f>IF(CODE('Levantamento dutos'!$E133)=80,SUM($B133:$F133),0)</f>
        <v>0</v>
      </c>
      <c r="K133">
        <f>IF(CODE('Levantamento dutos'!$F133)=66,SUM($B133:$F133),0)</f>
        <v>0</v>
      </c>
      <c r="L133">
        <f>IF(CODE('Levantamento dutos'!$F133)=70,SUM($B133:$F133),0)</f>
        <v>0</v>
      </c>
      <c r="M133" s="59">
        <f>IF(CODE('Levantamento dutos'!$E133)=84,SUM($B133:$F133),0)</f>
        <v>0</v>
      </c>
      <c r="N133" s="60">
        <f>IF(CODE('Levantamento dutos'!$G133)=80,IF('Levantamento dutos'!$B133&lt;=200,('Levantamento dutos'!$D133/'Levantamento dutos'!$G$12*Calculos!$G133*2),0),0)</f>
        <v>0</v>
      </c>
      <c r="O133" s="60">
        <f>IF(CODE('Levantamento dutos'!$G133)=80,IF('Levantamento dutos'!$B133&gt;200,('Levantamento dutos'!$D133/'Levantamento dutos'!$G$12*Calculos!$G133*2),0),0)</f>
        <v>0</v>
      </c>
      <c r="P133" s="60">
        <f>IF(CODE('Levantamento dutos'!$G133)=67,('Levantamento dutos'!$D133/'Levantamento dutos'!$G$12*Calculos!$G133*2),0)</f>
        <v>0</v>
      </c>
      <c r="Q133" s="60">
        <f>IF(CODE('Levantamento dutos'!H133)=83,((('Levantamento dutos'!B133/100)+('Levantamento dutos'!$H$12/1000))+(('Levantamento dutos'!C133/100)+('Levantamento dutos'!$H$12)/1000))*2*'Levantamento dutos'!D133,0)</f>
        <v>0</v>
      </c>
      <c r="S133" s="60">
        <f>IF(CODE('Levantamento dutos'!$I133)=83,$Q133,0)</f>
        <v>0</v>
      </c>
      <c r="T133" s="60">
        <f>IF(CODE('Levantamento dutos'!$E133)=76,ROUND((('Levantamento dutos'!$D133/5)*(Calculos!$G133+0.2)*1.2),0),0)</f>
        <v>0</v>
      </c>
      <c r="U133" s="60">
        <f>IF(CODE('Levantamento dutos'!$E133)=73,ROUND((('Levantamento dutos'!$D133/0.5)*(Calculos!$G133+0.2)*1.2),0),0)</f>
        <v>0</v>
      </c>
      <c r="V133" s="60">
        <f>IF(CODE('Levantamento dutos'!$E133)=80,ROUND((('Levantamento dutos'!$D133/0.5)*(Calculos!$G133+0.2)*1.2),0),0)</f>
        <v>0</v>
      </c>
      <c r="W133" s="60">
        <f>IF(CODE('Levantamento dutos'!$E133)=76,'Levantamento dutos'!$D133/0.5*1.5,0)</f>
        <v>0</v>
      </c>
      <c r="X133" s="60">
        <f>IF(CODE('Levantamento dutos'!$E133)=73,'Levantamento dutos'!$D133/0.5*1.5,0)</f>
        <v>0</v>
      </c>
      <c r="Y133" s="60">
        <f>IF(CODE('Levantamento dutos'!$E133)=80,'Levantamento dutos'!$D133/0.5*1.5,0)</f>
        <v>0</v>
      </c>
      <c r="Z133" s="60">
        <f>IF(CODE('Levantamento dutos'!$E133)=76,ROUND(('Levantamento dutos'!$D133)+('Levantamento dutos'!$D133*Calculos!$G133*2)*1.1,0),0)</f>
        <v>0</v>
      </c>
      <c r="AA133" s="60">
        <f>IF(CODE('Levantamento dutos'!$G133)=80,('Levantamento dutos'!$D133/'Levantamento dutos'!$G$12)*8,0)</f>
        <v>0</v>
      </c>
      <c r="AB133" s="60">
        <f>IF(CODE('Levantamento dutos'!$G133)=80,IF('Levantamento dutos'!$B133&gt;30,('Levantamento dutos'!$D133/'Levantamento dutos'!$G$12)*4,0),0)</f>
        <v>0</v>
      </c>
      <c r="AC133" s="60">
        <f>IF('Levantamento dutos'!$B133&gt;220,('Levantamento dutos'!$D133/'Levantamento dutos'!$G$12*Calculos!$G133*2),0)</f>
        <v>0</v>
      </c>
      <c r="AD133" s="60">
        <f>IF(CODE('Levantamento dutos'!$E133)=73,((('Levantamento dutos'!$E$12/1000)+0.02)*'Levantamento dutos'!$D133)*4*1.3,0)</f>
        <v>0</v>
      </c>
      <c r="AE133" s="60">
        <f>IF(CODE('Levantamento dutos'!$E133)=80,((('Levantamento dutos'!$E$12/1000)+0.02)*'Levantamento dutos'!$D133)*4*1.3,0)</f>
        <v>0</v>
      </c>
    </row>
    <row r="134" spans="2:31" x14ac:dyDescent="0.2">
      <c r="B134" s="58">
        <f>IF('Levantamento dutos'!$B134&lt;=Calculos!$Z$3,((('Levantamento dutos'!$B134)/100+('Levantamento dutos'!$C134)/100)*2)*'Levantamento dutos'!$D134,0)</f>
        <v>0</v>
      </c>
      <c r="C134">
        <f>IF('Levantamento dutos'!$B134&gt;Calculos!$Z$3,IF('Levantamento dutos'!$B134&lt;=Calculos!$Z$4,((('Levantamento dutos'!$B134)/100+('Levantamento dutos'!$C134)/100)*2)*'Levantamento dutos'!$D134,0),0)</f>
        <v>0</v>
      </c>
      <c r="D134">
        <f>IF('Levantamento dutos'!$B134&gt;Calculos!$Z$4,IF('Levantamento dutos'!$B134&lt;=Calculos!$Z$5,((('Levantamento dutos'!$B134)/100+('Levantamento dutos'!$C134)/100)*2)*'Levantamento dutos'!$D134,0),0)</f>
        <v>0</v>
      </c>
      <c r="E134">
        <f>IF('Levantamento dutos'!$B134&gt;Calculos!$Z$5,IF('Levantamento dutos'!$B134&lt;=Calculos!$Z$6,((('Levantamento dutos'!$B134)/100+('Levantamento dutos'!$C134)/100)*2)*'Levantamento dutos'!$D134,0),0)</f>
        <v>0</v>
      </c>
      <c r="F134" s="59">
        <f>IF('Levantamento dutos'!$B134&gt;Calculos!$Z$7,((('Levantamento dutos'!$B134)/100+('Levantamento dutos'!$C134)/100)*2)*'Levantamento dutos'!$D134,0)</f>
        <v>0</v>
      </c>
      <c r="G134">
        <f>(('Levantamento dutos'!B134+'Levantamento dutos'!C134)/100)*2</f>
        <v>0</v>
      </c>
      <c r="H134" s="58">
        <f>IF(CODE('Levantamento dutos'!$E134)=76,SUM($B134:$F134),0)</f>
        <v>0</v>
      </c>
      <c r="I134">
        <f>IF(CODE('Levantamento dutos'!$E134)=73,SUM($B134:$F134),0)</f>
        <v>0</v>
      </c>
      <c r="J134">
        <f>IF(CODE('Levantamento dutos'!$E134)=80,SUM($B134:$F134),0)</f>
        <v>0</v>
      </c>
      <c r="K134">
        <f>IF(CODE('Levantamento dutos'!$F134)=66,SUM($B134:$F134),0)</f>
        <v>0</v>
      </c>
      <c r="L134">
        <f>IF(CODE('Levantamento dutos'!$F134)=70,SUM($B134:$F134),0)</f>
        <v>0</v>
      </c>
      <c r="M134" s="59">
        <f>IF(CODE('Levantamento dutos'!$E134)=84,SUM($B134:$F134),0)</f>
        <v>0</v>
      </c>
      <c r="N134" s="60">
        <f>IF(CODE('Levantamento dutos'!$G134)=80,IF('Levantamento dutos'!$B134&lt;=200,('Levantamento dutos'!$D134/'Levantamento dutos'!$G$12*Calculos!$G134*2),0),0)</f>
        <v>0</v>
      </c>
      <c r="O134" s="60">
        <f>IF(CODE('Levantamento dutos'!$G134)=80,IF('Levantamento dutos'!$B134&gt;200,('Levantamento dutos'!$D134/'Levantamento dutos'!$G$12*Calculos!$G134*2),0),0)</f>
        <v>0</v>
      </c>
      <c r="P134" s="60">
        <f>IF(CODE('Levantamento dutos'!$G134)=67,('Levantamento dutos'!$D134/'Levantamento dutos'!$G$12*Calculos!$G134*2),0)</f>
        <v>0</v>
      </c>
      <c r="Q134" s="60">
        <f>IF(CODE('Levantamento dutos'!H134)=83,((('Levantamento dutos'!B134/100)+('Levantamento dutos'!$H$12/1000))+(('Levantamento dutos'!C134/100)+('Levantamento dutos'!$H$12)/1000))*2*'Levantamento dutos'!D134,0)</f>
        <v>0</v>
      </c>
      <c r="S134" s="60">
        <f>IF(CODE('Levantamento dutos'!$I134)=83,$Q134,0)</f>
        <v>0</v>
      </c>
      <c r="T134" s="60">
        <f>IF(CODE('Levantamento dutos'!$E134)=76,ROUND((('Levantamento dutos'!$D134/5)*(Calculos!$G134+0.2)*1.2),0),0)</f>
        <v>0</v>
      </c>
      <c r="U134" s="60">
        <f>IF(CODE('Levantamento dutos'!$E134)=73,ROUND((('Levantamento dutos'!$D134/0.5)*(Calculos!$G134+0.2)*1.2),0),0)</f>
        <v>0</v>
      </c>
      <c r="V134" s="60">
        <f>IF(CODE('Levantamento dutos'!$E134)=80,ROUND((('Levantamento dutos'!$D134/0.5)*(Calculos!$G134+0.2)*1.2),0),0)</f>
        <v>0</v>
      </c>
      <c r="W134" s="60">
        <f>IF(CODE('Levantamento dutos'!$E134)=76,'Levantamento dutos'!$D134/0.5*1.5,0)</f>
        <v>0</v>
      </c>
      <c r="X134" s="60">
        <f>IF(CODE('Levantamento dutos'!$E134)=73,'Levantamento dutos'!$D134/0.5*1.5,0)</f>
        <v>0</v>
      </c>
      <c r="Y134" s="60">
        <f>IF(CODE('Levantamento dutos'!$E134)=80,'Levantamento dutos'!$D134/0.5*1.5,0)</f>
        <v>0</v>
      </c>
      <c r="Z134" s="60">
        <f>IF(CODE('Levantamento dutos'!$E134)=76,ROUND(('Levantamento dutos'!$D134)+('Levantamento dutos'!$D134*Calculos!$G134*2)*1.1,0),0)</f>
        <v>0</v>
      </c>
      <c r="AA134" s="60">
        <f>IF(CODE('Levantamento dutos'!$G134)=80,('Levantamento dutos'!$D134/'Levantamento dutos'!$G$12)*8,0)</f>
        <v>0</v>
      </c>
      <c r="AB134" s="60">
        <f>IF(CODE('Levantamento dutos'!$G134)=80,IF('Levantamento dutos'!$B134&gt;30,('Levantamento dutos'!$D134/'Levantamento dutos'!$G$12)*4,0),0)</f>
        <v>0</v>
      </c>
      <c r="AC134" s="60">
        <f>IF('Levantamento dutos'!$B134&gt;220,('Levantamento dutos'!$D134/'Levantamento dutos'!$G$12*Calculos!$G134*2),0)</f>
        <v>0</v>
      </c>
      <c r="AD134" s="60">
        <f>IF(CODE('Levantamento dutos'!$E134)=73,((('Levantamento dutos'!$E$12/1000)+0.02)*'Levantamento dutos'!$D134)*4*1.3,0)</f>
        <v>0</v>
      </c>
      <c r="AE134" s="60">
        <f>IF(CODE('Levantamento dutos'!$E134)=80,((('Levantamento dutos'!$E$12/1000)+0.02)*'Levantamento dutos'!$D134)*4*1.3,0)</f>
        <v>0</v>
      </c>
    </row>
    <row r="135" spans="2:31" x14ac:dyDescent="0.2">
      <c r="B135" s="58">
        <f>IF('Levantamento dutos'!$B135&lt;=Calculos!$Z$3,((('Levantamento dutos'!$B135)/100+('Levantamento dutos'!$C135)/100)*2)*'Levantamento dutos'!$D135,0)</f>
        <v>0</v>
      </c>
      <c r="C135">
        <f>IF('Levantamento dutos'!$B135&gt;Calculos!$Z$3,IF('Levantamento dutos'!$B135&lt;=Calculos!$Z$4,((('Levantamento dutos'!$B135)/100+('Levantamento dutos'!$C135)/100)*2)*'Levantamento dutos'!$D135,0),0)</f>
        <v>0</v>
      </c>
      <c r="D135">
        <f>IF('Levantamento dutos'!$B135&gt;Calculos!$Z$4,IF('Levantamento dutos'!$B135&lt;=Calculos!$Z$5,((('Levantamento dutos'!$B135)/100+('Levantamento dutos'!$C135)/100)*2)*'Levantamento dutos'!$D135,0),0)</f>
        <v>0</v>
      </c>
      <c r="E135">
        <f>IF('Levantamento dutos'!$B135&gt;Calculos!$Z$5,IF('Levantamento dutos'!$B135&lt;=Calculos!$Z$6,((('Levantamento dutos'!$B135)/100+('Levantamento dutos'!$C135)/100)*2)*'Levantamento dutos'!$D135,0),0)</f>
        <v>0</v>
      </c>
      <c r="F135" s="59">
        <f>IF('Levantamento dutos'!$B135&gt;Calculos!$Z$7,((('Levantamento dutos'!$B135)/100+('Levantamento dutos'!$C135)/100)*2)*'Levantamento dutos'!$D135,0)</f>
        <v>0</v>
      </c>
      <c r="G135">
        <f>(('Levantamento dutos'!B135+'Levantamento dutos'!C135)/100)*2</f>
        <v>0</v>
      </c>
      <c r="H135" s="58">
        <f>IF(CODE('Levantamento dutos'!$E135)=76,SUM($B135:$F135),0)</f>
        <v>0</v>
      </c>
      <c r="I135">
        <f>IF(CODE('Levantamento dutos'!$E135)=73,SUM($B135:$F135),0)</f>
        <v>0</v>
      </c>
      <c r="J135">
        <f>IF(CODE('Levantamento dutos'!$E135)=80,SUM($B135:$F135),0)</f>
        <v>0</v>
      </c>
      <c r="K135">
        <f>IF(CODE('Levantamento dutos'!$F135)=66,SUM($B135:$F135),0)</f>
        <v>0</v>
      </c>
      <c r="L135">
        <f>IF(CODE('Levantamento dutos'!$F135)=70,SUM($B135:$F135),0)</f>
        <v>0</v>
      </c>
      <c r="M135" s="59">
        <f>IF(CODE('Levantamento dutos'!$E135)=84,SUM($B135:$F135),0)</f>
        <v>0</v>
      </c>
      <c r="N135" s="60">
        <f>IF(CODE('Levantamento dutos'!$G135)=80,IF('Levantamento dutos'!$B135&lt;=200,('Levantamento dutos'!$D135/'Levantamento dutos'!$G$12*Calculos!$G135*2),0),0)</f>
        <v>0</v>
      </c>
      <c r="O135" s="60">
        <f>IF(CODE('Levantamento dutos'!$G135)=80,IF('Levantamento dutos'!$B135&gt;200,('Levantamento dutos'!$D135/'Levantamento dutos'!$G$12*Calculos!$G135*2),0),0)</f>
        <v>0</v>
      </c>
      <c r="P135" s="60">
        <f>IF(CODE('Levantamento dutos'!$G135)=67,('Levantamento dutos'!$D135/'Levantamento dutos'!$G$12*Calculos!$G135*2),0)</f>
        <v>0</v>
      </c>
      <c r="Q135" s="60">
        <f>IF(CODE('Levantamento dutos'!H135)=83,((('Levantamento dutos'!B135/100)+('Levantamento dutos'!$H$12/1000))+(('Levantamento dutos'!C135/100)+('Levantamento dutos'!$H$12)/1000))*2*'Levantamento dutos'!D135,0)</f>
        <v>0</v>
      </c>
      <c r="S135" s="60">
        <f>IF(CODE('Levantamento dutos'!$I135)=83,$Q135,0)</f>
        <v>0</v>
      </c>
      <c r="T135" s="60">
        <f>IF(CODE('Levantamento dutos'!$E135)=76,ROUND((('Levantamento dutos'!$D135/5)*(Calculos!$G135+0.2)*1.2),0),0)</f>
        <v>0</v>
      </c>
      <c r="U135" s="60">
        <f>IF(CODE('Levantamento dutos'!$E135)=73,ROUND((('Levantamento dutos'!$D135/0.5)*(Calculos!$G135+0.2)*1.2),0),0)</f>
        <v>0</v>
      </c>
      <c r="V135" s="60">
        <f>IF(CODE('Levantamento dutos'!$E135)=80,ROUND((('Levantamento dutos'!$D135/0.5)*(Calculos!$G135+0.2)*1.2),0),0)</f>
        <v>0</v>
      </c>
      <c r="W135" s="60">
        <f>IF(CODE('Levantamento dutos'!$E135)=76,'Levantamento dutos'!$D135/0.5*1.5,0)</f>
        <v>0</v>
      </c>
      <c r="X135" s="60">
        <f>IF(CODE('Levantamento dutos'!$E135)=73,'Levantamento dutos'!$D135/0.5*1.5,0)</f>
        <v>0</v>
      </c>
      <c r="Y135" s="60">
        <f>IF(CODE('Levantamento dutos'!$E135)=80,'Levantamento dutos'!$D135/0.5*1.5,0)</f>
        <v>0</v>
      </c>
      <c r="Z135" s="60">
        <f>IF(CODE('Levantamento dutos'!$E135)=76,ROUND(('Levantamento dutos'!$D135)+('Levantamento dutos'!$D135*Calculos!$G135*2)*1.1,0),0)</f>
        <v>0</v>
      </c>
      <c r="AA135" s="60">
        <f>IF(CODE('Levantamento dutos'!$G135)=80,('Levantamento dutos'!$D135/'Levantamento dutos'!$G$12)*8,0)</f>
        <v>0</v>
      </c>
      <c r="AB135" s="60">
        <f>IF(CODE('Levantamento dutos'!$G135)=80,IF('Levantamento dutos'!$B135&gt;30,('Levantamento dutos'!$D135/'Levantamento dutos'!$G$12)*4,0),0)</f>
        <v>0</v>
      </c>
      <c r="AC135" s="60">
        <f>IF('Levantamento dutos'!$B135&gt;220,('Levantamento dutos'!$D135/'Levantamento dutos'!$G$12*Calculos!$G135*2),0)</f>
        <v>0</v>
      </c>
      <c r="AD135" s="60">
        <f>IF(CODE('Levantamento dutos'!$E135)=73,((('Levantamento dutos'!$E$12/1000)+0.02)*'Levantamento dutos'!$D135)*4*1.3,0)</f>
        <v>0</v>
      </c>
      <c r="AE135" s="60">
        <f>IF(CODE('Levantamento dutos'!$E135)=80,((('Levantamento dutos'!$E$12/1000)+0.02)*'Levantamento dutos'!$D135)*4*1.3,0)</f>
        <v>0</v>
      </c>
    </row>
    <row r="136" spans="2:31" x14ac:dyDescent="0.2">
      <c r="B136" s="58">
        <f>IF('Levantamento dutos'!$B136&lt;=Calculos!$Z$3,((('Levantamento dutos'!$B136)/100+('Levantamento dutos'!$C136)/100)*2)*'Levantamento dutos'!$D136,0)</f>
        <v>0</v>
      </c>
      <c r="C136">
        <f>IF('Levantamento dutos'!$B136&gt;Calculos!$Z$3,IF('Levantamento dutos'!$B136&lt;=Calculos!$Z$4,((('Levantamento dutos'!$B136)/100+('Levantamento dutos'!$C136)/100)*2)*'Levantamento dutos'!$D136,0),0)</f>
        <v>0</v>
      </c>
      <c r="D136">
        <f>IF('Levantamento dutos'!$B136&gt;Calculos!$Z$4,IF('Levantamento dutos'!$B136&lt;=Calculos!$Z$5,((('Levantamento dutos'!$B136)/100+('Levantamento dutos'!$C136)/100)*2)*'Levantamento dutos'!$D136,0),0)</f>
        <v>0</v>
      </c>
      <c r="E136">
        <f>IF('Levantamento dutos'!$B136&gt;Calculos!$Z$5,IF('Levantamento dutos'!$B136&lt;=Calculos!$Z$6,((('Levantamento dutos'!$B136)/100+('Levantamento dutos'!$C136)/100)*2)*'Levantamento dutos'!$D136,0),0)</f>
        <v>0</v>
      </c>
      <c r="F136" s="59">
        <f>IF('Levantamento dutos'!$B136&gt;Calculos!$Z$7,((('Levantamento dutos'!$B136)/100+('Levantamento dutos'!$C136)/100)*2)*'Levantamento dutos'!$D136,0)</f>
        <v>0</v>
      </c>
      <c r="G136">
        <f>(('Levantamento dutos'!B136+'Levantamento dutos'!C136)/100)*2</f>
        <v>0</v>
      </c>
      <c r="H136" s="58">
        <f>IF(CODE('Levantamento dutos'!$E136)=76,SUM($B136:$F136),0)</f>
        <v>0</v>
      </c>
      <c r="I136">
        <f>IF(CODE('Levantamento dutos'!$E136)=73,SUM($B136:$F136),0)</f>
        <v>0</v>
      </c>
      <c r="J136">
        <f>IF(CODE('Levantamento dutos'!$E136)=80,SUM($B136:$F136),0)</f>
        <v>0</v>
      </c>
      <c r="K136">
        <f>IF(CODE('Levantamento dutos'!$F136)=66,SUM($B136:$F136),0)</f>
        <v>0</v>
      </c>
      <c r="L136">
        <f>IF(CODE('Levantamento dutos'!$F136)=70,SUM($B136:$F136),0)</f>
        <v>0</v>
      </c>
      <c r="M136" s="59">
        <f>IF(CODE('Levantamento dutos'!$E136)=84,SUM($B136:$F136),0)</f>
        <v>0</v>
      </c>
      <c r="N136" s="60">
        <f>IF(CODE('Levantamento dutos'!$G136)=80,IF('Levantamento dutos'!$B136&lt;=200,('Levantamento dutos'!$D136/'Levantamento dutos'!$G$12*Calculos!$G136*2),0),0)</f>
        <v>0</v>
      </c>
      <c r="O136" s="60">
        <f>IF(CODE('Levantamento dutos'!$G136)=80,IF('Levantamento dutos'!$B136&gt;200,('Levantamento dutos'!$D136/'Levantamento dutos'!$G$12*Calculos!$G136*2),0),0)</f>
        <v>0</v>
      </c>
      <c r="P136" s="60">
        <f>IF(CODE('Levantamento dutos'!$G136)=67,('Levantamento dutos'!$D136/'Levantamento dutos'!$G$12*Calculos!$G136*2),0)</f>
        <v>0</v>
      </c>
      <c r="Q136" s="60">
        <f>IF(CODE('Levantamento dutos'!H136)=83,((('Levantamento dutos'!B136/100)+('Levantamento dutos'!$H$12/1000))+(('Levantamento dutos'!C136/100)+('Levantamento dutos'!$H$12)/1000))*2*'Levantamento dutos'!D136,0)</f>
        <v>0</v>
      </c>
      <c r="S136" s="60">
        <f>IF(CODE('Levantamento dutos'!$I136)=83,$Q136,0)</f>
        <v>0</v>
      </c>
      <c r="T136" s="60">
        <f>IF(CODE('Levantamento dutos'!$E136)=76,ROUND((('Levantamento dutos'!$D136/5)*(Calculos!$G136+0.2)*1.2),0),0)</f>
        <v>0</v>
      </c>
      <c r="U136" s="60">
        <f>IF(CODE('Levantamento dutos'!$E136)=73,ROUND((('Levantamento dutos'!$D136/0.5)*(Calculos!$G136+0.2)*1.2),0),0)</f>
        <v>0</v>
      </c>
      <c r="V136" s="60">
        <f>IF(CODE('Levantamento dutos'!$E136)=80,ROUND((('Levantamento dutos'!$D136/0.5)*(Calculos!$G136+0.2)*1.2),0),0)</f>
        <v>0</v>
      </c>
      <c r="W136" s="60">
        <f>IF(CODE('Levantamento dutos'!$E136)=76,'Levantamento dutos'!$D136/0.5*1.5,0)</f>
        <v>0</v>
      </c>
      <c r="X136" s="60">
        <f>IF(CODE('Levantamento dutos'!$E136)=73,'Levantamento dutos'!$D136/0.5*1.5,0)</f>
        <v>0</v>
      </c>
      <c r="Y136" s="60">
        <f>IF(CODE('Levantamento dutos'!$E136)=80,'Levantamento dutos'!$D136/0.5*1.5,0)</f>
        <v>0</v>
      </c>
      <c r="Z136" s="60">
        <f>IF(CODE('Levantamento dutos'!$E136)=76,ROUND(('Levantamento dutos'!$D136)+('Levantamento dutos'!$D136*Calculos!$G136*2)*1.1,0),0)</f>
        <v>0</v>
      </c>
      <c r="AA136" s="60">
        <f>IF(CODE('Levantamento dutos'!$G136)=80,('Levantamento dutos'!$D136/'Levantamento dutos'!$G$12)*8,0)</f>
        <v>0</v>
      </c>
      <c r="AB136" s="60">
        <f>IF(CODE('Levantamento dutos'!$G136)=80,IF('Levantamento dutos'!$B136&gt;30,('Levantamento dutos'!$D136/'Levantamento dutos'!$G$12)*4,0),0)</f>
        <v>0</v>
      </c>
      <c r="AC136" s="60">
        <f>IF('Levantamento dutos'!$B136&gt;220,('Levantamento dutos'!$D136/'Levantamento dutos'!$G$12*Calculos!$G136*2),0)</f>
        <v>0</v>
      </c>
      <c r="AD136" s="60">
        <f>IF(CODE('Levantamento dutos'!$E136)=73,((('Levantamento dutos'!$E$12/1000)+0.02)*'Levantamento dutos'!$D136)*4*1.3,0)</f>
        <v>0</v>
      </c>
      <c r="AE136" s="60">
        <f>IF(CODE('Levantamento dutos'!$E136)=80,((('Levantamento dutos'!$E$12/1000)+0.02)*'Levantamento dutos'!$D136)*4*1.3,0)</f>
        <v>0</v>
      </c>
    </row>
    <row r="137" spans="2:31" x14ac:dyDescent="0.2">
      <c r="B137" s="58">
        <f>IF('Levantamento dutos'!$B137&lt;=Calculos!$Z$3,((('Levantamento dutos'!$B137)/100+('Levantamento dutos'!$C137)/100)*2)*'Levantamento dutos'!$D137,0)</f>
        <v>0</v>
      </c>
      <c r="C137">
        <f>IF('Levantamento dutos'!$B137&gt;Calculos!$Z$3,IF('Levantamento dutos'!$B137&lt;=Calculos!$Z$4,((('Levantamento dutos'!$B137)/100+('Levantamento dutos'!$C137)/100)*2)*'Levantamento dutos'!$D137,0),0)</f>
        <v>0</v>
      </c>
      <c r="D137">
        <f>IF('Levantamento dutos'!$B137&gt;Calculos!$Z$4,IF('Levantamento dutos'!$B137&lt;=Calculos!$Z$5,((('Levantamento dutos'!$B137)/100+('Levantamento dutos'!$C137)/100)*2)*'Levantamento dutos'!$D137,0),0)</f>
        <v>0</v>
      </c>
      <c r="E137">
        <f>IF('Levantamento dutos'!$B137&gt;Calculos!$Z$5,IF('Levantamento dutos'!$B137&lt;=Calculos!$Z$6,((('Levantamento dutos'!$B137)/100+('Levantamento dutos'!$C137)/100)*2)*'Levantamento dutos'!$D137,0),0)</f>
        <v>0</v>
      </c>
      <c r="F137" s="59">
        <f>IF('Levantamento dutos'!$B137&gt;Calculos!$Z$7,((('Levantamento dutos'!$B137)/100+('Levantamento dutos'!$C137)/100)*2)*'Levantamento dutos'!$D137,0)</f>
        <v>0</v>
      </c>
      <c r="G137">
        <f>(('Levantamento dutos'!B137+'Levantamento dutos'!C137)/100)*2</f>
        <v>0</v>
      </c>
      <c r="H137" s="58">
        <f>IF(CODE('Levantamento dutos'!$E137)=76,SUM($B137:$F137),0)</f>
        <v>0</v>
      </c>
      <c r="I137">
        <f>IF(CODE('Levantamento dutos'!$E137)=73,SUM($B137:$F137),0)</f>
        <v>0</v>
      </c>
      <c r="J137">
        <f>IF(CODE('Levantamento dutos'!$E137)=80,SUM($B137:$F137),0)</f>
        <v>0</v>
      </c>
      <c r="K137">
        <f>IF(CODE('Levantamento dutos'!$F137)=66,SUM($B137:$F137),0)</f>
        <v>0</v>
      </c>
      <c r="L137">
        <f>IF(CODE('Levantamento dutos'!$F137)=70,SUM($B137:$F137),0)</f>
        <v>0</v>
      </c>
      <c r="M137" s="59">
        <f>IF(CODE('Levantamento dutos'!$E137)=84,SUM($B137:$F137),0)</f>
        <v>0</v>
      </c>
      <c r="N137" s="60">
        <f>IF(CODE('Levantamento dutos'!$G137)=80,IF('Levantamento dutos'!$B137&lt;=200,('Levantamento dutos'!$D137/'Levantamento dutos'!$G$12*Calculos!$G137*2),0),0)</f>
        <v>0</v>
      </c>
      <c r="O137" s="60">
        <f>IF(CODE('Levantamento dutos'!$G137)=80,IF('Levantamento dutos'!$B137&gt;200,('Levantamento dutos'!$D137/'Levantamento dutos'!$G$12*Calculos!$G137*2),0),0)</f>
        <v>0</v>
      </c>
      <c r="P137" s="60">
        <f>IF(CODE('Levantamento dutos'!$G137)=67,('Levantamento dutos'!$D137/'Levantamento dutos'!$G$12*Calculos!$G137*2),0)</f>
        <v>0</v>
      </c>
      <c r="Q137" s="60">
        <f>IF(CODE('Levantamento dutos'!H137)=83,((('Levantamento dutos'!B137/100)+('Levantamento dutos'!$H$12/1000))+(('Levantamento dutos'!C137/100)+('Levantamento dutos'!$H$12)/1000))*2*'Levantamento dutos'!D137,0)</f>
        <v>0</v>
      </c>
      <c r="S137" s="60">
        <f>IF(CODE('Levantamento dutos'!$I137)=83,$Q137,0)</f>
        <v>0</v>
      </c>
      <c r="T137" s="60">
        <f>IF(CODE('Levantamento dutos'!$E137)=76,ROUND((('Levantamento dutos'!$D137/5)*(Calculos!$G137+0.2)*1.2),0),0)</f>
        <v>0</v>
      </c>
      <c r="U137" s="60">
        <f>IF(CODE('Levantamento dutos'!$E137)=73,ROUND((('Levantamento dutos'!$D137/0.5)*(Calculos!$G137+0.2)*1.2),0),0)</f>
        <v>0</v>
      </c>
      <c r="V137" s="60">
        <f>IF(CODE('Levantamento dutos'!$E137)=80,ROUND((('Levantamento dutos'!$D137/0.5)*(Calculos!$G137+0.2)*1.2),0),0)</f>
        <v>0</v>
      </c>
      <c r="W137" s="60">
        <f>IF(CODE('Levantamento dutos'!$E137)=76,'Levantamento dutos'!$D137/0.5*1.5,0)</f>
        <v>0</v>
      </c>
      <c r="X137" s="60">
        <f>IF(CODE('Levantamento dutos'!$E137)=73,'Levantamento dutos'!$D137/0.5*1.5,0)</f>
        <v>0</v>
      </c>
      <c r="Y137" s="60">
        <f>IF(CODE('Levantamento dutos'!$E137)=80,'Levantamento dutos'!$D137/0.5*1.5,0)</f>
        <v>0</v>
      </c>
      <c r="Z137" s="60">
        <f>IF(CODE('Levantamento dutos'!$E137)=76,ROUND(('Levantamento dutos'!$D137)+('Levantamento dutos'!$D137*Calculos!$G137*2)*1.1,0),0)</f>
        <v>0</v>
      </c>
      <c r="AA137" s="60">
        <f>IF(CODE('Levantamento dutos'!$G137)=80,('Levantamento dutos'!$D137/'Levantamento dutos'!$G$12)*8,0)</f>
        <v>0</v>
      </c>
      <c r="AB137" s="60">
        <f>IF(CODE('Levantamento dutos'!$G137)=80,IF('Levantamento dutos'!$B137&gt;30,('Levantamento dutos'!$D137/'Levantamento dutos'!$G$12)*4,0),0)</f>
        <v>0</v>
      </c>
      <c r="AC137" s="60">
        <f>IF('Levantamento dutos'!$B137&gt;220,('Levantamento dutos'!$D137/'Levantamento dutos'!$G$12*Calculos!$G137*2),0)</f>
        <v>0</v>
      </c>
      <c r="AD137" s="60">
        <f>IF(CODE('Levantamento dutos'!$E137)=73,((('Levantamento dutos'!$E$12/1000)+0.02)*'Levantamento dutos'!$D137)*4*1.3,0)</f>
        <v>0</v>
      </c>
      <c r="AE137" s="60">
        <f>IF(CODE('Levantamento dutos'!$E137)=80,((('Levantamento dutos'!$E$12/1000)+0.02)*'Levantamento dutos'!$D137)*4*1.3,0)</f>
        <v>0</v>
      </c>
    </row>
    <row r="138" spans="2:31" x14ac:dyDescent="0.2">
      <c r="B138" s="58">
        <f>IF('Levantamento dutos'!$B138&lt;=Calculos!$Z$3,((('Levantamento dutos'!$B138)/100+('Levantamento dutos'!$C138)/100)*2)*'Levantamento dutos'!$D138,0)</f>
        <v>0</v>
      </c>
      <c r="C138">
        <f>IF('Levantamento dutos'!$B138&gt;Calculos!$Z$3,IF('Levantamento dutos'!$B138&lt;=Calculos!$Z$4,((('Levantamento dutos'!$B138)/100+('Levantamento dutos'!$C138)/100)*2)*'Levantamento dutos'!$D138,0),0)</f>
        <v>0</v>
      </c>
      <c r="D138">
        <f>IF('Levantamento dutos'!$B138&gt;Calculos!$Z$4,IF('Levantamento dutos'!$B138&lt;=Calculos!$Z$5,((('Levantamento dutos'!$B138)/100+('Levantamento dutos'!$C138)/100)*2)*'Levantamento dutos'!$D138,0),0)</f>
        <v>0</v>
      </c>
      <c r="E138">
        <f>IF('Levantamento dutos'!$B138&gt;Calculos!$Z$5,IF('Levantamento dutos'!$B138&lt;=Calculos!$Z$6,((('Levantamento dutos'!$B138)/100+('Levantamento dutos'!$C138)/100)*2)*'Levantamento dutos'!$D138,0),0)</f>
        <v>0</v>
      </c>
      <c r="F138" s="59">
        <f>IF('Levantamento dutos'!$B138&gt;Calculos!$Z$7,((('Levantamento dutos'!$B138)/100+('Levantamento dutos'!$C138)/100)*2)*'Levantamento dutos'!$D138,0)</f>
        <v>0</v>
      </c>
      <c r="G138">
        <f>(('Levantamento dutos'!B138+'Levantamento dutos'!C138)/100)*2</f>
        <v>0</v>
      </c>
      <c r="H138" s="58">
        <f>IF(CODE('Levantamento dutos'!$E138)=76,SUM($B138:$F138),0)</f>
        <v>0</v>
      </c>
      <c r="I138">
        <f>IF(CODE('Levantamento dutos'!$E138)=73,SUM($B138:$F138),0)</f>
        <v>0</v>
      </c>
      <c r="J138">
        <f>IF(CODE('Levantamento dutos'!$E138)=80,SUM($B138:$F138),0)</f>
        <v>0</v>
      </c>
      <c r="K138">
        <f>IF(CODE('Levantamento dutos'!$F138)=66,SUM($B138:$F138),0)</f>
        <v>0</v>
      </c>
      <c r="L138">
        <f>IF(CODE('Levantamento dutos'!$F138)=70,SUM($B138:$F138),0)</f>
        <v>0</v>
      </c>
      <c r="M138" s="59">
        <f>IF(CODE('Levantamento dutos'!$E138)=84,SUM($B138:$F138),0)</f>
        <v>0</v>
      </c>
      <c r="N138" s="60">
        <f>IF(CODE('Levantamento dutos'!$G138)=80,IF('Levantamento dutos'!$B138&lt;=200,('Levantamento dutos'!$D138/'Levantamento dutos'!$G$12*Calculos!$G138*2),0),0)</f>
        <v>0</v>
      </c>
      <c r="O138" s="60">
        <f>IF(CODE('Levantamento dutos'!$G138)=80,IF('Levantamento dutos'!$B138&gt;200,('Levantamento dutos'!$D138/'Levantamento dutos'!$G$12*Calculos!$G138*2),0),0)</f>
        <v>0</v>
      </c>
      <c r="P138" s="60">
        <f>IF(CODE('Levantamento dutos'!$G138)=67,('Levantamento dutos'!$D138/'Levantamento dutos'!$G$12*Calculos!$G138*2),0)</f>
        <v>0</v>
      </c>
      <c r="Q138" s="60">
        <f>IF(CODE('Levantamento dutos'!H138)=83,((('Levantamento dutos'!B138/100)+('Levantamento dutos'!$H$12/1000))+(('Levantamento dutos'!C138/100)+('Levantamento dutos'!$H$12)/1000))*2*'Levantamento dutos'!D138,0)</f>
        <v>0</v>
      </c>
      <c r="S138" s="60">
        <f>IF(CODE('Levantamento dutos'!$I138)=83,$Q138,0)</f>
        <v>0</v>
      </c>
      <c r="T138" s="60">
        <f>IF(CODE('Levantamento dutos'!$E138)=76,ROUND((('Levantamento dutos'!$D138/5)*(Calculos!$G138+0.2)*1.2),0),0)</f>
        <v>0</v>
      </c>
      <c r="U138" s="60">
        <f>IF(CODE('Levantamento dutos'!$E138)=73,ROUND((('Levantamento dutos'!$D138/0.5)*(Calculos!$G138+0.2)*1.2),0),0)</f>
        <v>0</v>
      </c>
      <c r="V138" s="60">
        <f>IF(CODE('Levantamento dutos'!$E138)=80,ROUND((('Levantamento dutos'!$D138/0.5)*(Calculos!$G138+0.2)*1.2),0),0)</f>
        <v>0</v>
      </c>
      <c r="W138" s="60">
        <f>IF(CODE('Levantamento dutos'!$E138)=76,'Levantamento dutos'!$D138/0.5*1.5,0)</f>
        <v>0</v>
      </c>
      <c r="X138" s="60">
        <f>IF(CODE('Levantamento dutos'!$E138)=73,'Levantamento dutos'!$D138/0.5*1.5,0)</f>
        <v>0</v>
      </c>
      <c r="Y138" s="60">
        <f>IF(CODE('Levantamento dutos'!$E138)=80,'Levantamento dutos'!$D138/0.5*1.5,0)</f>
        <v>0</v>
      </c>
      <c r="Z138" s="60">
        <f>IF(CODE('Levantamento dutos'!$E138)=76,ROUND(('Levantamento dutos'!$D138)+('Levantamento dutos'!$D138*Calculos!$G138*2)*1.1,0),0)</f>
        <v>0</v>
      </c>
      <c r="AA138" s="60">
        <f>IF(CODE('Levantamento dutos'!$G138)=80,('Levantamento dutos'!$D138/'Levantamento dutos'!$G$12)*8,0)</f>
        <v>0</v>
      </c>
      <c r="AB138" s="60">
        <f>IF(CODE('Levantamento dutos'!$G138)=80,IF('Levantamento dutos'!$B138&gt;30,('Levantamento dutos'!$D138/'Levantamento dutos'!$G$12)*4,0),0)</f>
        <v>0</v>
      </c>
      <c r="AC138" s="60">
        <f>IF('Levantamento dutos'!$B138&gt;220,('Levantamento dutos'!$D138/'Levantamento dutos'!$G$12*Calculos!$G138*2),0)</f>
        <v>0</v>
      </c>
      <c r="AD138" s="60">
        <f>IF(CODE('Levantamento dutos'!$E138)=73,((('Levantamento dutos'!$E$12/1000)+0.02)*'Levantamento dutos'!$D138)*4*1.3,0)</f>
        <v>0</v>
      </c>
      <c r="AE138" s="60">
        <f>IF(CODE('Levantamento dutos'!$E138)=80,((('Levantamento dutos'!$E$12/1000)+0.02)*'Levantamento dutos'!$D138)*4*1.3,0)</f>
        <v>0</v>
      </c>
    </row>
    <row r="139" spans="2:31" x14ac:dyDescent="0.2">
      <c r="B139" s="58">
        <f>IF('Levantamento dutos'!$B139&lt;=Calculos!$Z$3,((('Levantamento dutos'!$B139)/100+('Levantamento dutos'!$C139)/100)*2)*'Levantamento dutos'!$D139,0)</f>
        <v>0</v>
      </c>
      <c r="C139">
        <f>IF('Levantamento dutos'!$B139&gt;Calculos!$Z$3,IF('Levantamento dutos'!$B139&lt;=Calculos!$Z$4,((('Levantamento dutos'!$B139)/100+('Levantamento dutos'!$C139)/100)*2)*'Levantamento dutos'!$D139,0),0)</f>
        <v>0</v>
      </c>
      <c r="D139">
        <f>IF('Levantamento dutos'!$B139&gt;Calculos!$Z$4,IF('Levantamento dutos'!$B139&lt;=Calculos!$Z$5,((('Levantamento dutos'!$B139)/100+('Levantamento dutos'!$C139)/100)*2)*'Levantamento dutos'!$D139,0),0)</f>
        <v>0</v>
      </c>
      <c r="E139">
        <f>IF('Levantamento dutos'!$B139&gt;Calculos!$Z$5,IF('Levantamento dutos'!$B139&lt;=Calculos!$Z$6,((('Levantamento dutos'!$B139)/100+('Levantamento dutos'!$C139)/100)*2)*'Levantamento dutos'!$D139,0),0)</f>
        <v>0</v>
      </c>
      <c r="F139" s="59">
        <f>IF('Levantamento dutos'!$B139&gt;Calculos!$Z$7,((('Levantamento dutos'!$B139)/100+('Levantamento dutos'!$C139)/100)*2)*'Levantamento dutos'!$D139,0)</f>
        <v>0</v>
      </c>
      <c r="G139">
        <f>(('Levantamento dutos'!B139+'Levantamento dutos'!C139)/100)*2</f>
        <v>0</v>
      </c>
      <c r="H139" s="58">
        <f>IF(CODE('Levantamento dutos'!$E139)=76,SUM($B139:$F139),0)</f>
        <v>0</v>
      </c>
      <c r="I139">
        <f>IF(CODE('Levantamento dutos'!$E139)=73,SUM($B139:$F139),0)</f>
        <v>0</v>
      </c>
      <c r="J139">
        <f>IF(CODE('Levantamento dutos'!$E139)=80,SUM($B139:$F139),0)</f>
        <v>0</v>
      </c>
      <c r="K139">
        <f>IF(CODE('Levantamento dutos'!$F139)=66,SUM($B139:$F139),0)</f>
        <v>0</v>
      </c>
      <c r="L139">
        <f>IF(CODE('Levantamento dutos'!$F139)=70,SUM($B139:$F139),0)</f>
        <v>0</v>
      </c>
      <c r="M139" s="59">
        <f>IF(CODE('Levantamento dutos'!$E139)=84,SUM($B139:$F139),0)</f>
        <v>0</v>
      </c>
      <c r="N139" s="60">
        <f>IF(CODE('Levantamento dutos'!$G139)=80,IF('Levantamento dutos'!$B139&lt;=200,('Levantamento dutos'!$D139/'Levantamento dutos'!$G$12*Calculos!$G139*2),0),0)</f>
        <v>0</v>
      </c>
      <c r="O139" s="60">
        <f>IF(CODE('Levantamento dutos'!$G139)=80,IF('Levantamento dutos'!$B139&gt;200,('Levantamento dutos'!$D139/'Levantamento dutos'!$G$12*Calculos!$G139*2),0),0)</f>
        <v>0</v>
      </c>
      <c r="P139" s="60">
        <f>IF(CODE('Levantamento dutos'!$G139)=67,('Levantamento dutos'!$D139/'Levantamento dutos'!$G$12*Calculos!$G139*2),0)</f>
        <v>0</v>
      </c>
      <c r="Q139" s="60">
        <f>IF(CODE('Levantamento dutos'!H139)=83,((('Levantamento dutos'!B139/100)+('Levantamento dutos'!$H$12/1000))+(('Levantamento dutos'!C139/100)+('Levantamento dutos'!$H$12)/1000))*2*'Levantamento dutos'!D139,0)</f>
        <v>0</v>
      </c>
      <c r="S139" s="60">
        <f>IF(CODE('Levantamento dutos'!$I139)=83,$Q139,0)</f>
        <v>0</v>
      </c>
      <c r="T139" s="60">
        <f>IF(CODE('Levantamento dutos'!$E139)=76,ROUND((('Levantamento dutos'!$D139/5)*(Calculos!$G139+0.2)*1.2),0),0)</f>
        <v>0</v>
      </c>
      <c r="U139" s="60">
        <f>IF(CODE('Levantamento dutos'!$E139)=73,ROUND((('Levantamento dutos'!$D139/0.5)*(Calculos!$G139+0.2)*1.2),0),0)</f>
        <v>0</v>
      </c>
      <c r="V139" s="60">
        <f>IF(CODE('Levantamento dutos'!$E139)=80,ROUND((('Levantamento dutos'!$D139/0.5)*(Calculos!$G139+0.2)*1.2),0),0)</f>
        <v>0</v>
      </c>
      <c r="W139" s="60">
        <f>IF(CODE('Levantamento dutos'!$E139)=76,'Levantamento dutos'!$D139/0.5*1.5,0)</f>
        <v>0</v>
      </c>
      <c r="X139" s="60">
        <f>IF(CODE('Levantamento dutos'!$E139)=73,'Levantamento dutos'!$D139/0.5*1.5,0)</f>
        <v>0</v>
      </c>
      <c r="Y139" s="60">
        <f>IF(CODE('Levantamento dutos'!$E139)=80,'Levantamento dutos'!$D139/0.5*1.5,0)</f>
        <v>0</v>
      </c>
      <c r="Z139" s="60">
        <f>IF(CODE('Levantamento dutos'!$E139)=76,ROUND(('Levantamento dutos'!$D139)+('Levantamento dutos'!$D139*Calculos!$G139*2)*1.1,0),0)</f>
        <v>0</v>
      </c>
      <c r="AA139" s="60">
        <f>IF(CODE('Levantamento dutos'!$G139)=80,('Levantamento dutos'!$D139/'Levantamento dutos'!$G$12)*8,0)</f>
        <v>0</v>
      </c>
      <c r="AB139" s="60">
        <f>IF(CODE('Levantamento dutos'!$G139)=80,IF('Levantamento dutos'!$B139&gt;30,('Levantamento dutos'!$D139/'Levantamento dutos'!$G$12)*4,0),0)</f>
        <v>0</v>
      </c>
      <c r="AC139" s="60">
        <f>IF('Levantamento dutos'!$B139&gt;220,('Levantamento dutos'!$D139/'Levantamento dutos'!$G$12*Calculos!$G139*2),0)</f>
        <v>0</v>
      </c>
      <c r="AD139" s="60">
        <f>IF(CODE('Levantamento dutos'!$E139)=73,((('Levantamento dutos'!$E$12/1000)+0.02)*'Levantamento dutos'!$D139)*4*1.3,0)</f>
        <v>0</v>
      </c>
      <c r="AE139" s="60">
        <f>IF(CODE('Levantamento dutos'!$E139)=80,((('Levantamento dutos'!$E$12/1000)+0.02)*'Levantamento dutos'!$D139)*4*1.3,0)</f>
        <v>0</v>
      </c>
    </row>
    <row r="140" spans="2:31" x14ac:dyDescent="0.2">
      <c r="B140" s="58">
        <f>IF('Levantamento dutos'!$B140&lt;=Calculos!$Z$3,((('Levantamento dutos'!$B140)/100+('Levantamento dutos'!$C140)/100)*2)*'Levantamento dutos'!$D140,0)</f>
        <v>0</v>
      </c>
      <c r="C140">
        <f>IF('Levantamento dutos'!$B140&gt;Calculos!$Z$3,IF('Levantamento dutos'!$B140&lt;=Calculos!$Z$4,((('Levantamento dutos'!$B140)/100+('Levantamento dutos'!$C140)/100)*2)*'Levantamento dutos'!$D140,0),0)</f>
        <v>0</v>
      </c>
      <c r="D140">
        <f>IF('Levantamento dutos'!$B140&gt;Calculos!$Z$4,IF('Levantamento dutos'!$B140&lt;=Calculos!$Z$5,((('Levantamento dutos'!$B140)/100+('Levantamento dutos'!$C140)/100)*2)*'Levantamento dutos'!$D140,0),0)</f>
        <v>0</v>
      </c>
      <c r="E140">
        <f>IF('Levantamento dutos'!$B140&gt;Calculos!$Z$5,IF('Levantamento dutos'!$B140&lt;=Calculos!$Z$6,((('Levantamento dutos'!$B140)/100+('Levantamento dutos'!$C140)/100)*2)*'Levantamento dutos'!$D140,0),0)</f>
        <v>0</v>
      </c>
      <c r="F140" s="59">
        <f>IF('Levantamento dutos'!$B140&gt;Calculos!$Z$7,((('Levantamento dutos'!$B140)/100+('Levantamento dutos'!$C140)/100)*2)*'Levantamento dutos'!$D140,0)</f>
        <v>0</v>
      </c>
      <c r="G140">
        <f>(('Levantamento dutos'!B140+'Levantamento dutos'!C140)/100)*2</f>
        <v>0</v>
      </c>
      <c r="H140" s="58">
        <f>IF(CODE('Levantamento dutos'!$E140)=76,SUM($B140:$F140),0)</f>
        <v>0</v>
      </c>
      <c r="I140">
        <f>IF(CODE('Levantamento dutos'!$E140)=73,SUM($B140:$F140),0)</f>
        <v>0</v>
      </c>
      <c r="J140">
        <f>IF(CODE('Levantamento dutos'!$E140)=80,SUM($B140:$F140),0)</f>
        <v>0</v>
      </c>
      <c r="K140">
        <f>IF(CODE('Levantamento dutos'!$F140)=66,SUM($B140:$F140),0)</f>
        <v>0</v>
      </c>
      <c r="L140">
        <f>IF(CODE('Levantamento dutos'!$F140)=70,SUM($B140:$F140),0)</f>
        <v>0</v>
      </c>
      <c r="M140" s="59">
        <f>IF(CODE('Levantamento dutos'!$E140)=84,SUM($B140:$F140),0)</f>
        <v>0</v>
      </c>
      <c r="N140" s="60">
        <f>IF(CODE('Levantamento dutos'!$G140)=80,IF('Levantamento dutos'!$B140&lt;=200,('Levantamento dutos'!$D140/'Levantamento dutos'!$G$12*Calculos!$G140*2),0),0)</f>
        <v>0</v>
      </c>
      <c r="O140" s="60">
        <f>IF(CODE('Levantamento dutos'!$G140)=80,IF('Levantamento dutos'!$B140&gt;200,('Levantamento dutos'!$D140/'Levantamento dutos'!$G$12*Calculos!$G140*2),0),0)</f>
        <v>0</v>
      </c>
      <c r="P140" s="60">
        <f>IF(CODE('Levantamento dutos'!$G140)=67,('Levantamento dutos'!$D140/'Levantamento dutos'!$G$12*Calculos!$G140*2),0)</f>
        <v>0</v>
      </c>
      <c r="Q140" s="60">
        <f>IF(CODE('Levantamento dutos'!H140)=83,((('Levantamento dutos'!B140/100)+('Levantamento dutos'!$H$12/1000))+(('Levantamento dutos'!C140/100)+('Levantamento dutos'!$H$12)/1000))*2*'Levantamento dutos'!D140,0)</f>
        <v>0</v>
      </c>
      <c r="S140" s="60">
        <f>IF(CODE('Levantamento dutos'!$I140)=83,$Q140,0)</f>
        <v>0</v>
      </c>
      <c r="T140" s="60">
        <f>IF(CODE('Levantamento dutos'!$E140)=76,ROUND((('Levantamento dutos'!$D140/5)*(Calculos!$G140+0.2)*1.2),0),0)</f>
        <v>0</v>
      </c>
      <c r="U140" s="60">
        <f>IF(CODE('Levantamento dutos'!$E140)=73,ROUND((('Levantamento dutos'!$D140/0.5)*(Calculos!$G140+0.2)*1.2),0),0)</f>
        <v>0</v>
      </c>
      <c r="V140" s="60">
        <f>IF(CODE('Levantamento dutos'!$E140)=80,ROUND((('Levantamento dutos'!$D140/0.5)*(Calculos!$G140+0.2)*1.2),0),0)</f>
        <v>0</v>
      </c>
      <c r="W140" s="60">
        <f>IF(CODE('Levantamento dutos'!$E140)=76,'Levantamento dutos'!$D140/0.5*1.5,0)</f>
        <v>0</v>
      </c>
      <c r="X140" s="60">
        <f>IF(CODE('Levantamento dutos'!$E140)=73,'Levantamento dutos'!$D140/0.5*1.5,0)</f>
        <v>0</v>
      </c>
      <c r="Y140" s="60">
        <f>IF(CODE('Levantamento dutos'!$E140)=80,'Levantamento dutos'!$D140/0.5*1.5,0)</f>
        <v>0</v>
      </c>
      <c r="Z140" s="60">
        <f>IF(CODE('Levantamento dutos'!$E140)=76,ROUND(('Levantamento dutos'!$D140)+('Levantamento dutos'!$D140*Calculos!$G140*2)*1.1,0),0)</f>
        <v>0</v>
      </c>
      <c r="AA140" s="60">
        <f>IF(CODE('Levantamento dutos'!$G140)=80,('Levantamento dutos'!$D140/'Levantamento dutos'!$G$12)*8,0)</f>
        <v>0</v>
      </c>
      <c r="AB140" s="60">
        <f>IF(CODE('Levantamento dutos'!$G140)=80,IF('Levantamento dutos'!$B140&gt;30,('Levantamento dutos'!$D140/'Levantamento dutos'!$G$12)*4,0),0)</f>
        <v>0</v>
      </c>
      <c r="AC140" s="60">
        <f>IF('Levantamento dutos'!$B140&gt;220,('Levantamento dutos'!$D140/'Levantamento dutos'!$G$12*Calculos!$G140*2),0)</f>
        <v>0</v>
      </c>
      <c r="AD140" s="60">
        <f>IF(CODE('Levantamento dutos'!$E140)=73,((('Levantamento dutos'!$E$12/1000)+0.02)*'Levantamento dutos'!$D140)*4*1.3,0)</f>
        <v>0</v>
      </c>
      <c r="AE140" s="60">
        <f>IF(CODE('Levantamento dutos'!$E140)=80,((('Levantamento dutos'!$E$12/1000)+0.02)*'Levantamento dutos'!$D140)*4*1.3,0)</f>
        <v>0</v>
      </c>
    </row>
    <row r="141" spans="2:31" x14ac:dyDescent="0.2">
      <c r="B141" s="58">
        <f>IF('Levantamento dutos'!$B141&lt;=Calculos!$Z$3,((('Levantamento dutos'!$B141)/100+('Levantamento dutos'!$C141)/100)*2)*'Levantamento dutos'!$D141,0)</f>
        <v>0</v>
      </c>
      <c r="C141">
        <f>IF('Levantamento dutos'!$B141&gt;Calculos!$Z$3,IF('Levantamento dutos'!$B141&lt;=Calculos!$Z$4,((('Levantamento dutos'!$B141)/100+('Levantamento dutos'!$C141)/100)*2)*'Levantamento dutos'!$D141,0),0)</f>
        <v>0</v>
      </c>
      <c r="D141">
        <f>IF('Levantamento dutos'!$B141&gt;Calculos!$Z$4,IF('Levantamento dutos'!$B141&lt;=Calculos!$Z$5,((('Levantamento dutos'!$B141)/100+('Levantamento dutos'!$C141)/100)*2)*'Levantamento dutos'!$D141,0),0)</f>
        <v>0</v>
      </c>
      <c r="E141">
        <f>IF('Levantamento dutos'!$B141&gt;Calculos!$Z$5,IF('Levantamento dutos'!$B141&lt;=Calculos!$Z$6,((('Levantamento dutos'!$B141)/100+('Levantamento dutos'!$C141)/100)*2)*'Levantamento dutos'!$D141,0),0)</f>
        <v>0</v>
      </c>
      <c r="F141" s="59">
        <f>IF('Levantamento dutos'!$B141&gt;Calculos!$Z$7,((('Levantamento dutos'!$B141)/100+('Levantamento dutos'!$C141)/100)*2)*'Levantamento dutos'!$D141,0)</f>
        <v>0</v>
      </c>
      <c r="G141">
        <f>(('Levantamento dutos'!B141+'Levantamento dutos'!C141)/100)*2</f>
        <v>0</v>
      </c>
      <c r="H141" s="58">
        <f>IF(CODE('Levantamento dutos'!$E141)=76,SUM($B141:$F141),0)</f>
        <v>0</v>
      </c>
      <c r="I141">
        <f>IF(CODE('Levantamento dutos'!$E141)=73,SUM($B141:$F141),0)</f>
        <v>0</v>
      </c>
      <c r="J141">
        <f>IF(CODE('Levantamento dutos'!$E141)=80,SUM($B141:$F141),0)</f>
        <v>0</v>
      </c>
      <c r="K141">
        <f>IF(CODE('Levantamento dutos'!$F141)=66,SUM($B141:$F141),0)</f>
        <v>0</v>
      </c>
      <c r="L141">
        <f>IF(CODE('Levantamento dutos'!$F141)=70,SUM($B141:$F141),0)</f>
        <v>0</v>
      </c>
      <c r="M141" s="59">
        <f>IF(CODE('Levantamento dutos'!$E141)=84,SUM($B141:$F141),0)</f>
        <v>0</v>
      </c>
      <c r="N141" s="60">
        <f>IF(CODE('Levantamento dutos'!$G141)=80,IF('Levantamento dutos'!$B141&lt;=200,('Levantamento dutos'!$D141/'Levantamento dutos'!$G$12*Calculos!$G141*2),0),0)</f>
        <v>0</v>
      </c>
      <c r="O141" s="60">
        <f>IF(CODE('Levantamento dutos'!$G141)=80,IF('Levantamento dutos'!$B141&gt;200,('Levantamento dutos'!$D141/'Levantamento dutos'!$G$12*Calculos!$G141*2),0),0)</f>
        <v>0</v>
      </c>
      <c r="P141" s="60">
        <f>IF(CODE('Levantamento dutos'!$G141)=67,('Levantamento dutos'!$D141/'Levantamento dutos'!$G$12*Calculos!$G141*2),0)</f>
        <v>0</v>
      </c>
      <c r="Q141" s="60">
        <f>IF(CODE('Levantamento dutos'!H141)=83,((('Levantamento dutos'!B141/100)+('Levantamento dutos'!$H$12/1000))+(('Levantamento dutos'!C141/100)+('Levantamento dutos'!$H$12)/1000))*2*'Levantamento dutos'!D141,0)</f>
        <v>0</v>
      </c>
      <c r="S141" s="60">
        <f>IF(CODE('Levantamento dutos'!$I141)=83,$Q141,0)</f>
        <v>0</v>
      </c>
      <c r="T141" s="60">
        <f>IF(CODE('Levantamento dutos'!$E141)=76,ROUND((('Levantamento dutos'!$D141/5)*(Calculos!$G141+0.2)*1.2),0),0)</f>
        <v>0</v>
      </c>
      <c r="U141" s="60">
        <f>IF(CODE('Levantamento dutos'!$E141)=73,ROUND((('Levantamento dutos'!$D141/0.5)*(Calculos!$G141+0.2)*1.2),0),0)</f>
        <v>0</v>
      </c>
      <c r="V141" s="60">
        <f>IF(CODE('Levantamento dutos'!$E141)=80,ROUND((('Levantamento dutos'!$D141/0.5)*(Calculos!$G141+0.2)*1.2),0),0)</f>
        <v>0</v>
      </c>
      <c r="W141" s="60">
        <f>IF(CODE('Levantamento dutos'!$E141)=76,'Levantamento dutos'!$D141/0.5*1.5,0)</f>
        <v>0</v>
      </c>
      <c r="X141" s="60">
        <f>IF(CODE('Levantamento dutos'!$E141)=73,'Levantamento dutos'!$D141/0.5*1.5,0)</f>
        <v>0</v>
      </c>
      <c r="Y141" s="60">
        <f>IF(CODE('Levantamento dutos'!$E141)=80,'Levantamento dutos'!$D141/0.5*1.5,0)</f>
        <v>0</v>
      </c>
      <c r="Z141" s="60">
        <f>IF(CODE('Levantamento dutos'!$E141)=76,ROUND(('Levantamento dutos'!$D141)+('Levantamento dutos'!$D141*Calculos!$G141*2)*1.1,0),0)</f>
        <v>0</v>
      </c>
      <c r="AA141" s="60">
        <f>IF(CODE('Levantamento dutos'!$G141)=80,('Levantamento dutos'!$D141/'Levantamento dutos'!$G$12)*8,0)</f>
        <v>0</v>
      </c>
      <c r="AB141" s="60">
        <f>IF(CODE('Levantamento dutos'!$G141)=80,IF('Levantamento dutos'!$B141&gt;30,('Levantamento dutos'!$D141/'Levantamento dutos'!$G$12)*4,0),0)</f>
        <v>0</v>
      </c>
      <c r="AC141" s="60">
        <f>IF('Levantamento dutos'!$B141&gt;220,('Levantamento dutos'!$D141/'Levantamento dutos'!$G$12*Calculos!$G141*2),0)</f>
        <v>0</v>
      </c>
      <c r="AD141" s="60">
        <f>IF(CODE('Levantamento dutos'!$E141)=73,((('Levantamento dutos'!$E$12/1000)+0.02)*'Levantamento dutos'!$D141)*4*1.3,0)</f>
        <v>0</v>
      </c>
      <c r="AE141" s="60">
        <f>IF(CODE('Levantamento dutos'!$E141)=80,((('Levantamento dutos'!$E$12/1000)+0.02)*'Levantamento dutos'!$D141)*4*1.3,0)</f>
        <v>0</v>
      </c>
    </row>
    <row r="142" spans="2:31" x14ac:dyDescent="0.2">
      <c r="B142" s="58">
        <f>IF('Levantamento dutos'!$B142&lt;=Calculos!$Z$3,((('Levantamento dutos'!$B142)/100+('Levantamento dutos'!$C142)/100)*2)*'Levantamento dutos'!$D142,0)</f>
        <v>0</v>
      </c>
      <c r="C142">
        <f>IF('Levantamento dutos'!$B142&gt;Calculos!$Z$3,IF('Levantamento dutos'!$B142&lt;=Calculos!$Z$4,((('Levantamento dutos'!$B142)/100+('Levantamento dutos'!$C142)/100)*2)*'Levantamento dutos'!$D142,0),0)</f>
        <v>0</v>
      </c>
      <c r="D142">
        <f>IF('Levantamento dutos'!$B142&gt;Calculos!$Z$4,IF('Levantamento dutos'!$B142&lt;=Calculos!$Z$5,((('Levantamento dutos'!$B142)/100+('Levantamento dutos'!$C142)/100)*2)*'Levantamento dutos'!$D142,0),0)</f>
        <v>0</v>
      </c>
      <c r="E142">
        <f>IF('Levantamento dutos'!$B142&gt;Calculos!$Z$5,IF('Levantamento dutos'!$B142&lt;=Calculos!$Z$6,((('Levantamento dutos'!$B142)/100+('Levantamento dutos'!$C142)/100)*2)*'Levantamento dutos'!$D142,0),0)</f>
        <v>0</v>
      </c>
      <c r="F142" s="59">
        <f>IF('Levantamento dutos'!$B142&gt;Calculos!$Z$7,((('Levantamento dutos'!$B142)/100+('Levantamento dutos'!$C142)/100)*2)*'Levantamento dutos'!$D142,0)</f>
        <v>0</v>
      </c>
      <c r="G142">
        <f>(('Levantamento dutos'!B142+'Levantamento dutos'!C142)/100)*2</f>
        <v>0</v>
      </c>
      <c r="H142" s="58">
        <f>IF(CODE('Levantamento dutos'!$E142)=76,SUM($B142:$F142),0)</f>
        <v>0</v>
      </c>
      <c r="I142">
        <f>IF(CODE('Levantamento dutos'!$E142)=73,SUM($B142:$F142),0)</f>
        <v>0</v>
      </c>
      <c r="J142">
        <f>IF(CODE('Levantamento dutos'!$E142)=80,SUM($B142:$F142),0)</f>
        <v>0</v>
      </c>
      <c r="K142">
        <f>IF(CODE('Levantamento dutos'!$F142)=66,SUM($B142:$F142),0)</f>
        <v>0</v>
      </c>
      <c r="L142">
        <f>IF(CODE('Levantamento dutos'!$F142)=70,SUM($B142:$F142),0)</f>
        <v>0</v>
      </c>
      <c r="M142" s="59">
        <f>IF(CODE('Levantamento dutos'!$E142)=84,SUM($B142:$F142),0)</f>
        <v>0</v>
      </c>
      <c r="N142" s="60">
        <f>IF(CODE('Levantamento dutos'!$G142)=80,IF('Levantamento dutos'!$B142&lt;=200,('Levantamento dutos'!$D142/'Levantamento dutos'!$G$12*Calculos!$G142*2),0),0)</f>
        <v>0</v>
      </c>
      <c r="O142" s="60">
        <f>IF(CODE('Levantamento dutos'!$G142)=80,IF('Levantamento dutos'!$B142&gt;200,('Levantamento dutos'!$D142/'Levantamento dutos'!$G$12*Calculos!$G142*2),0),0)</f>
        <v>0</v>
      </c>
      <c r="P142" s="60">
        <f>IF(CODE('Levantamento dutos'!$G142)=67,('Levantamento dutos'!$D142/'Levantamento dutos'!$G$12*Calculos!$G142*2),0)</f>
        <v>0</v>
      </c>
      <c r="Q142" s="60">
        <f>IF(CODE('Levantamento dutos'!H142)=83,((('Levantamento dutos'!B142/100)+('Levantamento dutos'!$H$12/1000))+(('Levantamento dutos'!C142/100)+('Levantamento dutos'!$H$12)/1000))*2*'Levantamento dutos'!D142,0)</f>
        <v>0</v>
      </c>
      <c r="S142" s="60">
        <f>IF(CODE('Levantamento dutos'!$I142)=83,$Q142,0)</f>
        <v>0</v>
      </c>
      <c r="T142" s="60">
        <f>IF(CODE('Levantamento dutos'!$E142)=76,ROUND((('Levantamento dutos'!$D142/5)*(Calculos!$G142+0.2)*1.2),0),0)</f>
        <v>0</v>
      </c>
      <c r="U142" s="60">
        <f>IF(CODE('Levantamento dutos'!$E142)=73,ROUND((('Levantamento dutos'!$D142/0.5)*(Calculos!$G142+0.2)*1.2),0),0)</f>
        <v>0</v>
      </c>
      <c r="V142" s="60">
        <f>IF(CODE('Levantamento dutos'!$E142)=80,ROUND((('Levantamento dutos'!$D142/0.5)*(Calculos!$G142+0.2)*1.2),0),0)</f>
        <v>0</v>
      </c>
      <c r="W142" s="60">
        <f>IF(CODE('Levantamento dutos'!$E142)=76,'Levantamento dutos'!$D142/0.5*1.5,0)</f>
        <v>0</v>
      </c>
      <c r="X142" s="60">
        <f>IF(CODE('Levantamento dutos'!$E142)=73,'Levantamento dutos'!$D142/0.5*1.5,0)</f>
        <v>0</v>
      </c>
      <c r="Y142" s="60">
        <f>IF(CODE('Levantamento dutos'!$E142)=80,'Levantamento dutos'!$D142/0.5*1.5,0)</f>
        <v>0</v>
      </c>
      <c r="Z142" s="60">
        <f>IF(CODE('Levantamento dutos'!$E142)=76,ROUND(('Levantamento dutos'!$D142)+('Levantamento dutos'!$D142*Calculos!$G142*2)*1.1,0),0)</f>
        <v>0</v>
      </c>
      <c r="AA142" s="60">
        <f>IF(CODE('Levantamento dutos'!$G142)=80,('Levantamento dutos'!$D142/'Levantamento dutos'!$G$12)*8,0)</f>
        <v>0</v>
      </c>
      <c r="AB142" s="60">
        <f>IF(CODE('Levantamento dutos'!$G142)=80,IF('Levantamento dutos'!$B142&gt;30,('Levantamento dutos'!$D142/'Levantamento dutos'!$G$12)*4,0),0)</f>
        <v>0</v>
      </c>
      <c r="AC142" s="60">
        <f>IF('Levantamento dutos'!$B142&gt;220,('Levantamento dutos'!$D142/'Levantamento dutos'!$G$12*Calculos!$G142*2),0)</f>
        <v>0</v>
      </c>
      <c r="AD142" s="60">
        <f>IF(CODE('Levantamento dutos'!$E142)=73,((('Levantamento dutos'!$E$12/1000)+0.02)*'Levantamento dutos'!$D142)*4*1.3,0)</f>
        <v>0</v>
      </c>
      <c r="AE142" s="60">
        <f>IF(CODE('Levantamento dutos'!$E142)=80,((('Levantamento dutos'!$E$12/1000)+0.02)*'Levantamento dutos'!$D142)*4*1.3,0)</f>
        <v>0</v>
      </c>
    </row>
    <row r="143" spans="2:31" x14ac:dyDescent="0.2">
      <c r="B143" s="58">
        <f>IF('Levantamento dutos'!$B143&lt;=Calculos!$Z$3,((('Levantamento dutos'!$B143)/100+('Levantamento dutos'!$C143)/100)*2)*'Levantamento dutos'!$D143,0)</f>
        <v>0</v>
      </c>
      <c r="C143">
        <f>IF('Levantamento dutos'!$B143&gt;Calculos!$Z$3,IF('Levantamento dutos'!$B143&lt;=Calculos!$Z$4,((('Levantamento dutos'!$B143)/100+('Levantamento dutos'!$C143)/100)*2)*'Levantamento dutos'!$D143,0),0)</f>
        <v>0</v>
      </c>
      <c r="D143">
        <f>IF('Levantamento dutos'!$B143&gt;Calculos!$Z$4,IF('Levantamento dutos'!$B143&lt;=Calculos!$Z$5,((('Levantamento dutos'!$B143)/100+('Levantamento dutos'!$C143)/100)*2)*'Levantamento dutos'!$D143,0),0)</f>
        <v>0</v>
      </c>
      <c r="E143">
        <f>IF('Levantamento dutos'!$B143&gt;Calculos!$Z$5,IF('Levantamento dutos'!$B143&lt;=Calculos!$Z$6,((('Levantamento dutos'!$B143)/100+('Levantamento dutos'!$C143)/100)*2)*'Levantamento dutos'!$D143,0),0)</f>
        <v>0</v>
      </c>
      <c r="F143" s="59">
        <f>IF('Levantamento dutos'!$B143&gt;Calculos!$Z$7,((('Levantamento dutos'!$B143)/100+('Levantamento dutos'!$C143)/100)*2)*'Levantamento dutos'!$D143,0)</f>
        <v>0</v>
      </c>
      <c r="G143">
        <f>(('Levantamento dutos'!B143+'Levantamento dutos'!C143)/100)*2</f>
        <v>0</v>
      </c>
      <c r="H143" s="58">
        <f>IF(CODE('Levantamento dutos'!$E143)=76,SUM($B143:$F143),0)</f>
        <v>0</v>
      </c>
      <c r="I143">
        <f>IF(CODE('Levantamento dutos'!$E143)=73,SUM($B143:$F143),0)</f>
        <v>0</v>
      </c>
      <c r="J143">
        <f>IF(CODE('Levantamento dutos'!$E143)=80,SUM($B143:$F143),0)</f>
        <v>0</v>
      </c>
      <c r="K143">
        <f>IF(CODE('Levantamento dutos'!$F143)=66,SUM($B143:$F143),0)</f>
        <v>0</v>
      </c>
      <c r="L143">
        <f>IF(CODE('Levantamento dutos'!$F143)=70,SUM($B143:$F143),0)</f>
        <v>0</v>
      </c>
      <c r="M143" s="59">
        <f>IF(CODE('Levantamento dutos'!$E143)=84,SUM($B143:$F143),0)</f>
        <v>0</v>
      </c>
      <c r="N143" s="60">
        <f>IF(CODE('Levantamento dutos'!$G143)=80,IF('Levantamento dutos'!$B143&lt;=200,('Levantamento dutos'!$D143/'Levantamento dutos'!$G$12*Calculos!$G143*2),0),0)</f>
        <v>0</v>
      </c>
      <c r="O143" s="60">
        <f>IF(CODE('Levantamento dutos'!$G143)=80,IF('Levantamento dutos'!$B143&gt;200,('Levantamento dutos'!$D143/'Levantamento dutos'!$G$12*Calculos!$G143*2),0),0)</f>
        <v>0</v>
      </c>
      <c r="P143" s="60">
        <f>IF(CODE('Levantamento dutos'!$G143)=67,('Levantamento dutos'!$D143/'Levantamento dutos'!$G$12*Calculos!$G143*2),0)</f>
        <v>0</v>
      </c>
      <c r="Q143" s="60">
        <f>IF(CODE('Levantamento dutos'!H143)=83,((('Levantamento dutos'!B143/100)+('Levantamento dutos'!$H$12/1000))+(('Levantamento dutos'!C143/100)+('Levantamento dutos'!$H$12)/1000))*2*'Levantamento dutos'!D143,0)</f>
        <v>0</v>
      </c>
      <c r="S143" s="60">
        <f>IF(CODE('Levantamento dutos'!$I143)=83,$Q143,0)</f>
        <v>0</v>
      </c>
      <c r="T143" s="60">
        <f>IF(CODE('Levantamento dutos'!$E143)=76,ROUND((('Levantamento dutos'!$D143/5)*(Calculos!$G143+0.2)*1.2),0),0)</f>
        <v>0</v>
      </c>
      <c r="U143" s="60">
        <f>IF(CODE('Levantamento dutos'!$E143)=73,ROUND((('Levantamento dutos'!$D143/0.5)*(Calculos!$G143+0.2)*1.2),0),0)</f>
        <v>0</v>
      </c>
      <c r="V143" s="60">
        <f>IF(CODE('Levantamento dutos'!$E143)=80,ROUND((('Levantamento dutos'!$D143/0.5)*(Calculos!$G143+0.2)*1.2),0),0)</f>
        <v>0</v>
      </c>
      <c r="W143" s="60">
        <f>IF(CODE('Levantamento dutos'!$E143)=76,'Levantamento dutos'!$D143/0.5*1.5,0)</f>
        <v>0</v>
      </c>
      <c r="X143" s="60">
        <f>IF(CODE('Levantamento dutos'!$E143)=73,'Levantamento dutos'!$D143/0.5*1.5,0)</f>
        <v>0</v>
      </c>
      <c r="Y143" s="60">
        <f>IF(CODE('Levantamento dutos'!$E143)=80,'Levantamento dutos'!$D143/0.5*1.5,0)</f>
        <v>0</v>
      </c>
      <c r="Z143" s="60">
        <f>IF(CODE('Levantamento dutos'!$E143)=76,ROUND(('Levantamento dutos'!$D143)+('Levantamento dutos'!$D143*Calculos!$G143*2)*1.1,0),0)</f>
        <v>0</v>
      </c>
      <c r="AA143" s="60">
        <f>IF(CODE('Levantamento dutos'!$G143)=80,('Levantamento dutos'!$D143/'Levantamento dutos'!$G$12)*8,0)</f>
        <v>0</v>
      </c>
      <c r="AB143" s="60">
        <f>IF(CODE('Levantamento dutos'!$G143)=80,IF('Levantamento dutos'!$B143&gt;30,('Levantamento dutos'!$D143/'Levantamento dutos'!$G$12)*4,0),0)</f>
        <v>0</v>
      </c>
      <c r="AC143" s="60">
        <f>IF('Levantamento dutos'!$B143&gt;220,('Levantamento dutos'!$D143/'Levantamento dutos'!$G$12*Calculos!$G143*2),0)</f>
        <v>0</v>
      </c>
      <c r="AD143" s="60">
        <f>IF(CODE('Levantamento dutos'!$E143)=73,((('Levantamento dutos'!$E$12/1000)+0.02)*'Levantamento dutos'!$D143)*4*1.3,0)</f>
        <v>0</v>
      </c>
      <c r="AE143" s="60">
        <f>IF(CODE('Levantamento dutos'!$E143)=80,((('Levantamento dutos'!$E$12/1000)+0.02)*'Levantamento dutos'!$D143)*4*1.3,0)</f>
        <v>0</v>
      </c>
    </row>
    <row r="144" spans="2:31" x14ac:dyDescent="0.2">
      <c r="B144" s="58">
        <f>IF('Levantamento dutos'!$B144&lt;=Calculos!$Z$3,((('Levantamento dutos'!$B144)/100+('Levantamento dutos'!$C144)/100)*2)*'Levantamento dutos'!$D144,0)</f>
        <v>0</v>
      </c>
      <c r="C144">
        <f>IF('Levantamento dutos'!$B144&gt;Calculos!$Z$3,IF('Levantamento dutos'!$B144&lt;=Calculos!$Z$4,((('Levantamento dutos'!$B144)/100+('Levantamento dutos'!$C144)/100)*2)*'Levantamento dutos'!$D144,0),0)</f>
        <v>0</v>
      </c>
      <c r="D144">
        <f>IF('Levantamento dutos'!$B144&gt;Calculos!$Z$4,IF('Levantamento dutos'!$B144&lt;=Calculos!$Z$5,((('Levantamento dutos'!$B144)/100+('Levantamento dutos'!$C144)/100)*2)*'Levantamento dutos'!$D144,0),0)</f>
        <v>0</v>
      </c>
      <c r="E144">
        <f>IF('Levantamento dutos'!$B144&gt;Calculos!$Z$5,IF('Levantamento dutos'!$B144&lt;=Calculos!$Z$6,((('Levantamento dutos'!$B144)/100+('Levantamento dutos'!$C144)/100)*2)*'Levantamento dutos'!$D144,0),0)</f>
        <v>0</v>
      </c>
      <c r="F144" s="59">
        <f>IF('Levantamento dutos'!$B144&gt;Calculos!$Z$7,((('Levantamento dutos'!$B144)/100+('Levantamento dutos'!$C144)/100)*2)*'Levantamento dutos'!$D144,0)</f>
        <v>0</v>
      </c>
      <c r="G144">
        <f>(('Levantamento dutos'!B144+'Levantamento dutos'!C144)/100)*2</f>
        <v>0</v>
      </c>
      <c r="H144" s="58">
        <f>IF(CODE('Levantamento dutos'!$E144)=76,SUM($B144:$F144),0)</f>
        <v>0</v>
      </c>
      <c r="I144">
        <f>IF(CODE('Levantamento dutos'!$E144)=73,SUM($B144:$F144),0)</f>
        <v>0</v>
      </c>
      <c r="J144">
        <f>IF(CODE('Levantamento dutos'!$E144)=80,SUM($B144:$F144),0)</f>
        <v>0</v>
      </c>
      <c r="K144">
        <f>IF(CODE('Levantamento dutos'!$F144)=66,SUM($B144:$F144),0)</f>
        <v>0</v>
      </c>
      <c r="L144">
        <f>IF(CODE('Levantamento dutos'!$F144)=70,SUM($B144:$F144),0)</f>
        <v>0</v>
      </c>
      <c r="M144" s="59">
        <f>IF(CODE('Levantamento dutos'!$E144)=84,SUM($B144:$F144),0)</f>
        <v>0</v>
      </c>
      <c r="N144" s="60">
        <f>IF(CODE('Levantamento dutos'!$G144)=80,IF('Levantamento dutos'!$B144&lt;=200,('Levantamento dutos'!$D144/'Levantamento dutos'!$G$12*Calculos!$G144*2),0),0)</f>
        <v>0</v>
      </c>
      <c r="O144" s="60">
        <f>IF(CODE('Levantamento dutos'!$G144)=80,IF('Levantamento dutos'!$B144&gt;200,('Levantamento dutos'!$D144/'Levantamento dutos'!$G$12*Calculos!$G144*2),0),0)</f>
        <v>0</v>
      </c>
      <c r="P144" s="60">
        <f>IF(CODE('Levantamento dutos'!$G144)=67,('Levantamento dutos'!$D144/'Levantamento dutos'!$G$12*Calculos!$G144*2),0)</f>
        <v>0</v>
      </c>
      <c r="Q144" s="60">
        <f>IF(CODE('Levantamento dutos'!H144)=83,((('Levantamento dutos'!B144/100)+('Levantamento dutos'!$H$12/1000))+(('Levantamento dutos'!C144/100)+('Levantamento dutos'!$H$12)/1000))*2*'Levantamento dutos'!D144,0)</f>
        <v>0</v>
      </c>
      <c r="S144" s="60">
        <f>IF(CODE('Levantamento dutos'!$I144)=83,$Q144,0)</f>
        <v>0</v>
      </c>
      <c r="T144" s="60">
        <f>IF(CODE('Levantamento dutos'!$E144)=76,ROUND((('Levantamento dutos'!$D144/5)*(Calculos!$G144+0.2)*1.2),0),0)</f>
        <v>0</v>
      </c>
      <c r="U144" s="60">
        <f>IF(CODE('Levantamento dutos'!$E144)=73,ROUND((('Levantamento dutos'!$D144/0.5)*(Calculos!$G144+0.2)*1.2),0),0)</f>
        <v>0</v>
      </c>
      <c r="V144" s="60">
        <f>IF(CODE('Levantamento dutos'!$E144)=80,ROUND((('Levantamento dutos'!$D144/0.5)*(Calculos!$G144+0.2)*1.2),0),0)</f>
        <v>0</v>
      </c>
      <c r="W144" s="60">
        <f>IF(CODE('Levantamento dutos'!$E144)=76,'Levantamento dutos'!$D144/0.5*1.5,0)</f>
        <v>0</v>
      </c>
      <c r="X144" s="60">
        <f>IF(CODE('Levantamento dutos'!$E144)=73,'Levantamento dutos'!$D144/0.5*1.5,0)</f>
        <v>0</v>
      </c>
      <c r="Y144" s="60">
        <f>IF(CODE('Levantamento dutos'!$E144)=80,'Levantamento dutos'!$D144/0.5*1.5,0)</f>
        <v>0</v>
      </c>
      <c r="Z144" s="60">
        <f>IF(CODE('Levantamento dutos'!$E144)=76,ROUND(('Levantamento dutos'!$D144)+('Levantamento dutos'!$D144*Calculos!$G144*2)*1.1,0),0)</f>
        <v>0</v>
      </c>
      <c r="AA144" s="60">
        <f>IF(CODE('Levantamento dutos'!$G144)=80,('Levantamento dutos'!$D144/'Levantamento dutos'!$G$12)*8,0)</f>
        <v>0</v>
      </c>
      <c r="AB144" s="60">
        <f>IF(CODE('Levantamento dutos'!$G144)=80,IF('Levantamento dutos'!$B144&gt;30,('Levantamento dutos'!$D144/'Levantamento dutos'!$G$12)*4,0),0)</f>
        <v>0</v>
      </c>
      <c r="AC144" s="60">
        <f>IF('Levantamento dutos'!$B144&gt;220,('Levantamento dutos'!$D144/'Levantamento dutos'!$G$12*Calculos!$G144*2),0)</f>
        <v>0</v>
      </c>
      <c r="AD144" s="60">
        <f>IF(CODE('Levantamento dutos'!$E144)=73,((('Levantamento dutos'!$E$12/1000)+0.02)*'Levantamento dutos'!$D144)*4*1.3,0)</f>
        <v>0</v>
      </c>
      <c r="AE144" s="60">
        <f>IF(CODE('Levantamento dutos'!$E144)=80,((('Levantamento dutos'!$E$12/1000)+0.02)*'Levantamento dutos'!$D144)*4*1.3,0)</f>
        <v>0</v>
      </c>
    </row>
    <row r="145" spans="2:31" x14ac:dyDescent="0.2">
      <c r="B145" s="58">
        <f>IF('Levantamento dutos'!$B145&lt;=Calculos!$Z$3,((('Levantamento dutos'!$B145)/100+('Levantamento dutos'!$C145)/100)*2)*'Levantamento dutos'!$D145,0)</f>
        <v>0</v>
      </c>
      <c r="C145">
        <f>IF('Levantamento dutos'!$B145&gt;Calculos!$Z$3,IF('Levantamento dutos'!$B145&lt;=Calculos!$Z$4,((('Levantamento dutos'!$B145)/100+('Levantamento dutos'!$C145)/100)*2)*'Levantamento dutos'!$D145,0),0)</f>
        <v>0</v>
      </c>
      <c r="D145">
        <f>IF('Levantamento dutos'!$B145&gt;Calculos!$Z$4,IF('Levantamento dutos'!$B145&lt;=Calculos!$Z$5,((('Levantamento dutos'!$B145)/100+('Levantamento dutos'!$C145)/100)*2)*'Levantamento dutos'!$D145,0),0)</f>
        <v>0</v>
      </c>
      <c r="E145">
        <f>IF('Levantamento dutos'!$B145&gt;Calculos!$Z$5,IF('Levantamento dutos'!$B145&lt;=Calculos!$Z$6,((('Levantamento dutos'!$B145)/100+('Levantamento dutos'!$C145)/100)*2)*'Levantamento dutos'!$D145,0),0)</f>
        <v>0</v>
      </c>
      <c r="F145" s="59">
        <f>IF('Levantamento dutos'!$B145&gt;Calculos!$Z$7,((('Levantamento dutos'!$B145)/100+('Levantamento dutos'!$C145)/100)*2)*'Levantamento dutos'!$D145,0)</f>
        <v>0</v>
      </c>
      <c r="G145">
        <f>(('Levantamento dutos'!B145+'Levantamento dutos'!C145)/100)*2</f>
        <v>0</v>
      </c>
      <c r="H145" s="58">
        <f>IF(CODE('Levantamento dutos'!$E145)=76,SUM($B145:$F145),0)</f>
        <v>0</v>
      </c>
      <c r="I145">
        <f>IF(CODE('Levantamento dutos'!$E145)=73,SUM($B145:$F145),0)</f>
        <v>0</v>
      </c>
      <c r="J145">
        <f>IF(CODE('Levantamento dutos'!$E145)=80,SUM($B145:$F145),0)</f>
        <v>0</v>
      </c>
      <c r="K145">
        <f>IF(CODE('Levantamento dutos'!$F145)=66,SUM($B145:$F145),0)</f>
        <v>0</v>
      </c>
      <c r="L145">
        <f>IF(CODE('Levantamento dutos'!$F145)=70,SUM($B145:$F145),0)</f>
        <v>0</v>
      </c>
      <c r="M145" s="59">
        <f>IF(CODE('Levantamento dutos'!$E145)=84,SUM($B145:$F145),0)</f>
        <v>0</v>
      </c>
      <c r="N145" s="60">
        <f>IF(CODE('Levantamento dutos'!$G145)=80,IF('Levantamento dutos'!$B145&lt;=200,('Levantamento dutos'!$D145/'Levantamento dutos'!$G$12*Calculos!$G145*2),0),0)</f>
        <v>0</v>
      </c>
      <c r="O145" s="60">
        <f>IF(CODE('Levantamento dutos'!$G145)=80,IF('Levantamento dutos'!$B145&gt;200,('Levantamento dutos'!$D145/'Levantamento dutos'!$G$12*Calculos!$G145*2),0),0)</f>
        <v>0</v>
      </c>
      <c r="P145" s="60">
        <f>IF(CODE('Levantamento dutos'!$G145)=67,('Levantamento dutos'!$D145/'Levantamento dutos'!$G$12*Calculos!$G145*2),0)</f>
        <v>0</v>
      </c>
      <c r="Q145" s="60">
        <f>IF(CODE('Levantamento dutos'!H145)=83,((('Levantamento dutos'!B145/100)+('Levantamento dutos'!$H$12/1000))+(('Levantamento dutos'!C145/100)+('Levantamento dutos'!$H$12)/1000))*2*'Levantamento dutos'!D145,0)</f>
        <v>0</v>
      </c>
      <c r="S145" s="60">
        <f>IF(CODE('Levantamento dutos'!$I145)=83,$Q145,0)</f>
        <v>0</v>
      </c>
      <c r="T145" s="60">
        <f>IF(CODE('Levantamento dutos'!$E145)=76,ROUND((('Levantamento dutos'!$D145/5)*(Calculos!$G145+0.2)*1.2),0),0)</f>
        <v>0</v>
      </c>
      <c r="U145" s="60">
        <f>IF(CODE('Levantamento dutos'!$E145)=73,ROUND((('Levantamento dutos'!$D145/0.5)*(Calculos!$G145+0.2)*1.2),0),0)</f>
        <v>0</v>
      </c>
      <c r="V145" s="60">
        <f>IF(CODE('Levantamento dutos'!$E145)=80,ROUND((('Levantamento dutos'!$D145/0.5)*(Calculos!$G145+0.2)*1.2),0),0)</f>
        <v>0</v>
      </c>
      <c r="W145" s="60">
        <f>IF(CODE('Levantamento dutos'!$E145)=76,'Levantamento dutos'!$D145/0.5*1.5,0)</f>
        <v>0</v>
      </c>
      <c r="X145" s="60">
        <f>IF(CODE('Levantamento dutos'!$E145)=73,'Levantamento dutos'!$D145/0.5*1.5,0)</f>
        <v>0</v>
      </c>
      <c r="Y145" s="60">
        <f>IF(CODE('Levantamento dutos'!$E145)=80,'Levantamento dutos'!$D145/0.5*1.5,0)</f>
        <v>0</v>
      </c>
      <c r="Z145" s="60">
        <f>IF(CODE('Levantamento dutos'!$E145)=76,ROUND(('Levantamento dutos'!$D145)+('Levantamento dutos'!$D145*Calculos!$G145*2)*1.1,0),0)</f>
        <v>0</v>
      </c>
      <c r="AA145" s="60">
        <f>IF(CODE('Levantamento dutos'!$G145)=80,('Levantamento dutos'!$D145/'Levantamento dutos'!$G$12)*8,0)</f>
        <v>0</v>
      </c>
      <c r="AB145" s="60">
        <f>IF(CODE('Levantamento dutos'!$G145)=80,IF('Levantamento dutos'!$B145&gt;30,('Levantamento dutos'!$D145/'Levantamento dutos'!$G$12)*4,0),0)</f>
        <v>0</v>
      </c>
      <c r="AC145" s="60">
        <f>IF('Levantamento dutos'!$B145&gt;220,('Levantamento dutos'!$D145/'Levantamento dutos'!$G$12*Calculos!$G145*2),0)</f>
        <v>0</v>
      </c>
      <c r="AD145" s="60">
        <f>IF(CODE('Levantamento dutos'!$E145)=73,((('Levantamento dutos'!$E$12/1000)+0.02)*'Levantamento dutos'!$D145)*4*1.3,0)</f>
        <v>0</v>
      </c>
      <c r="AE145" s="60">
        <f>IF(CODE('Levantamento dutos'!$E145)=80,((('Levantamento dutos'!$E$12/1000)+0.02)*'Levantamento dutos'!$D145)*4*1.3,0)</f>
        <v>0</v>
      </c>
    </row>
    <row r="146" spans="2:31" x14ac:dyDescent="0.2">
      <c r="B146" s="58">
        <f>IF('Levantamento dutos'!$B146&lt;=Calculos!$Z$3,((('Levantamento dutos'!$B146)/100+('Levantamento dutos'!$C146)/100)*2)*'Levantamento dutos'!$D146,0)</f>
        <v>0</v>
      </c>
      <c r="C146">
        <f>IF('Levantamento dutos'!$B146&gt;Calculos!$Z$3,IF('Levantamento dutos'!$B146&lt;=Calculos!$Z$4,((('Levantamento dutos'!$B146)/100+('Levantamento dutos'!$C146)/100)*2)*'Levantamento dutos'!$D146,0),0)</f>
        <v>0</v>
      </c>
      <c r="D146">
        <f>IF('Levantamento dutos'!$B146&gt;Calculos!$Z$4,IF('Levantamento dutos'!$B146&lt;=Calculos!$Z$5,((('Levantamento dutos'!$B146)/100+('Levantamento dutos'!$C146)/100)*2)*'Levantamento dutos'!$D146,0),0)</f>
        <v>0</v>
      </c>
      <c r="E146">
        <f>IF('Levantamento dutos'!$B146&gt;Calculos!$Z$5,IF('Levantamento dutos'!$B146&lt;=Calculos!$Z$6,((('Levantamento dutos'!$B146)/100+('Levantamento dutos'!$C146)/100)*2)*'Levantamento dutos'!$D146,0),0)</f>
        <v>0</v>
      </c>
      <c r="F146" s="59">
        <f>IF('Levantamento dutos'!$B146&gt;Calculos!$Z$7,((('Levantamento dutos'!$B146)/100+('Levantamento dutos'!$C146)/100)*2)*'Levantamento dutos'!$D146,0)</f>
        <v>0</v>
      </c>
      <c r="G146">
        <f>(('Levantamento dutos'!B146+'Levantamento dutos'!C146)/100)*2</f>
        <v>0</v>
      </c>
      <c r="H146" s="58">
        <f>IF(CODE('Levantamento dutos'!$E146)=76,SUM($B146:$F146),0)</f>
        <v>0</v>
      </c>
      <c r="I146">
        <f>IF(CODE('Levantamento dutos'!$E146)=73,SUM($B146:$F146),0)</f>
        <v>0</v>
      </c>
      <c r="J146">
        <f>IF(CODE('Levantamento dutos'!$E146)=80,SUM($B146:$F146),0)</f>
        <v>0</v>
      </c>
      <c r="K146">
        <f>IF(CODE('Levantamento dutos'!$F146)=66,SUM($B146:$F146),0)</f>
        <v>0</v>
      </c>
      <c r="L146">
        <f>IF(CODE('Levantamento dutos'!$F146)=70,SUM($B146:$F146),0)</f>
        <v>0</v>
      </c>
      <c r="M146" s="59">
        <f>IF(CODE('Levantamento dutos'!$E146)=84,SUM($B146:$F146),0)</f>
        <v>0</v>
      </c>
      <c r="N146" s="60">
        <f>IF(CODE('Levantamento dutos'!$G146)=80,IF('Levantamento dutos'!$B146&lt;=200,('Levantamento dutos'!$D146/'Levantamento dutos'!$G$12*Calculos!$G146*2),0),0)</f>
        <v>0</v>
      </c>
      <c r="O146" s="60">
        <f>IF(CODE('Levantamento dutos'!$G146)=80,IF('Levantamento dutos'!$B146&gt;200,('Levantamento dutos'!$D146/'Levantamento dutos'!$G$12*Calculos!$G146*2),0),0)</f>
        <v>0</v>
      </c>
      <c r="P146" s="60">
        <f>IF(CODE('Levantamento dutos'!$G146)=67,('Levantamento dutos'!$D146/'Levantamento dutos'!$G$12*Calculos!$G146*2),0)</f>
        <v>0</v>
      </c>
      <c r="Q146" s="60">
        <f>IF(CODE('Levantamento dutos'!H146)=83,((('Levantamento dutos'!B146/100)+('Levantamento dutos'!$H$12/1000))+(('Levantamento dutos'!C146/100)+('Levantamento dutos'!$H$12)/1000))*2*'Levantamento dutos'!D146,0)</f>
        <v>0</v>
      </c>
      <c r="S146" s="60">
        <f>IF(CODE('Levantamento dutos'!$I146)=83,$Q146,0)</f>
        <v>0</v>
      </c>
      <c r="T146" s="60">
        <f>IF(CODE('Levantamento dutos'!$E146)=76,ROUND((('Levantamento dutos'!$D146/5)*(Calculos!$G146+0.2)*1.2),0),0)</f>
        <v>0</v>
      </c>
      <c r="U146" s="60">
        <f>IF(CODE('Levantamento dutos'!$E146)=73,ROUND((('Levantamento dutos'!$D146/0.5)*(Calculos!$G146+0.2)*1.2),0),0)</f>
        <v>0</v>
      </c>
      <c r="V146" s="60">
        <f>IF(CODE('Levantamento dutos'!$E146)=80,ROUND((('Levantamento dutos'!$D146/0.5)*(Calculos!$G146+0.2)*1.2),0),0)</f>
        <v>0</v>
      </c>
      <c r="W146" s="60">
        <f>IF(CODE('Levantamento dutos'!$E146)=76,'Levantamento dutos'!$D146/0.5*1.5,0)</f>
        <v>0</v>
      </c>
      <c r="X146" s="60">
        <f>IF(CODE('Levantamento dutos'!$E146)=73,'Levantamento dutos'!$D146/0.5*1.5,0)</f>
        <v>0</v>
      </c>
      <c r="Y146" s="60">
        <f>IF(CODE('Levantamento dutos'!$E146)=80,'Levantamento dutos'!$D146/0.5*1.5,0)</f>
        <v>0</v>
      </c>
      <c r="Z146" s="60">
        <f>IF(CODE('Levantamento dutos'!$E146)=76,ROUND(('Levantamento dutos'!$D146)+('Levantamento dutos'!$D146*Calculos!$G146*2)*1.1,0),0)</f>
        <v>0</v>
      </c>
      <c r="AA146" s="60">
        <f>IF(CODE('Levantamento dutos'!$G146)=80,('Levantamento dutos'!$D146/'Levantamento dutos'!$G$12)*8,0)</f>
        <v>0</v>
      </c>
      <c r="AB146" s="60">
        <f>IF(CODE('Levantamento dutos'!$G146)=80,IF('Levantamento dutos'!$B146&gt;30,('Levantamento dutos'!$D146/'Levantamento dutos'!$G$12)*4,0),0)</f>
        <v>0</v>
      </c>
      <c r="AC146" s="60">
        <f>IF('Levantamento dutos'!$B146&gt;220,('Levantamento dutos'!$D146/'Levantamento dutos'!$G$12*Calculos!$G146*2),0)</f>
        <v>0</v>
      </c>
      <c r="AD146" s="60">
        <f>IF(CODE('Levantamento dutos'!$E146)=73,((('Levantamento dutos'!$E$12/1000)+0.02)*'Levantamento dutos'!$D146)*4*1.3,0)</f>
        <v>0</v>
      </c>
      <c r="AE146" s="60">
        <f>IF(CODE('Levantamento dutos'!$E146)=80,((('Levantamento dutos'!$E$12/1000)+0.02)*'Levantamento dutos'!$D146)*4*1.3,0)</f>
        <v>0</v>
      </c>
    </row>
    <row r="147" spans="2:31" x14ac:dyDescent="0.2">
      <c r="B147" s="58">
        <f>IF('Levantamento dutos'!$B147&lt;=Calculos!$Z$3,((('Levantamento dutos'!$B147)/100+('Levantamento dutos'!$C147)/100)*2)*'Levantamento dutos'!$D147,0)</f>
        <v>0</v>
      </c>
      <c r="C147">
        <f>IF('Levantamento dutos'!$B147&gt;Calculos!$Z$3,IF('Levantamento dutos'!$B147&lt;=Calculos!$Z$4,((('Levantamento dutos'!$B147)/100+('Levantamento dutos'!$C147)/100)*2)*'Levantamento dutos'!$D147,0),0)</f>
        <v>0</v>
      </c>
      <c r="D147">
        <f>IF('Levantamento dutos'!$B147&gt;Calculos!$Z$4,IF('Levantamento dutos'!$B147&lt;=Calculos!$Z$5,((('Levantamento dutos'!$B147)/100+('Levantamento dutos'!$C147)/100)*2)*'Levantamento dutos'!$D147,0),0)</f>
        <v>0</v>
      </c>
      <c r="E147">
        <f>IF('Levantamento dutos'!$B147&gt;Calculos!$Z$5,IF('Levantamento dutos'!$B147&lt;=Calculos!$Z$6,((('Levantamento dutos'!$B147)/100+('Levantamento dutos'!$C147)/100)*2)*'Levantamento dutos'!$D147,0),0)</f>
        <v>0</v>
      </c>
      <c r="F147" s="59">
        <f>IF('Levantamento dutos'!$B147&gt;Calculos!$Z$7,((('Levantamento dutos'!$B147)/100+('Levantamento dutos'!$C147)/100)*2)*'Levantamento dutos'!$D147,0)</f>
        <v>0</v>
      </c>
      <c r="G147">
        <f>(('Levantamento dutos'!B147+'Levantamento dutos'!C147)/100)*2</f>
        <v>0</v>
      </c>
      <c r="H147" s="58">
        <f>IF(CODE('Levantamento dutos'!$E147)=76,SUM($B147:$F147),0)</f>
        <v>0</v>
      </c>
      <c r="I147">
        <f>IF(CODE('Levantamento dutos'!$E147)=73,SUM($B147:$F147),0)</f>
        <v>0</v>
      </c>
      <c r="J147">
        <f>IF(CODE('Levantamento dutos'!$E147)=80,SUM($B147:$F147),0)</f>
        <v>0</v>
      </c>
      <c r="K147">
        <f>IF(CODE('Levantamento dutos'!$F147)=66,SUM($B147:$F147),0)</f>
        <v>0</v>
      </c>
      <c r="L147">
        <f>IF(CODE('Levantamento dutos'!$F147)=70,SUM($B147:$F147),0)</f>
        <v>0</v>
      </c>
      <c r="M147" s="59">
        <f>IF(CODE('Levantamento dutos'!$E147)=84,SUM($B147:$F147),0)</f>
        <v>0</v>
      </c>
      <c r="N147" s="60">
        <f>IF(CODE('Levantamento dutos'!$G147)=80,IF('Levantamento dutos'!$B147&lt;=200,('Levantamento dutos'!$D147/'Levantamento dutos'!$G$12*Calculos!$G147*2),0),0)</f>
        <v>0</v>
      </c>
      <c r="O147" s="60">
        <f>IF(CODE('Levantamento dutos'!$G147)=80,IF('Levantamento dutos'!$B147&gt;200,('Levantamento dutos'!$D147/'Levantamento dutos'!$G$12*Calculos!$G147*2),0),0)</f>
        <v>0</v>
      </c>
      <c r="P147" s="60">
        <f>IF(CODE('Levantamento dutos'!$G147)=67,('Levantamento dutos'!$D147/'Levantamento dutos'!$G$12*Calculos!$G147*2),0)</f>
        <v>0</v>
      </c>
      <c r="Q147" s="60">
        <f>IF(CODE('Levantamento dutos'!H147)=83,((('Levantamento dutos'!B147/100)+('Levantamento dutos'!$H$12/1000))+(('Levantamento dutos'!C147/100)+('Levantamento dutos'!$H$12)/1000))*2*'Levantamento dutos'!D147,0)</f>
        <v>0</v>
      </c>
      <c r="S147" s="60">
        <f>IF(CODE('Levantamento dutos'!$I147)=83,$Q147,0)</f>
        <v>0</v>
      </c>
      <c r="T147" s="60">
        <f>IF(CODE('Levantamento dutos'!$E147)=76,ROUND((('Levantamento dutos'!$D147/5)*(Calculos!$G147+0.2)*1.2),0),0)</f>
        <v>0</v>
      </c>
      <c r="U147" s="60">
        <f>IF(CODE('Levantamento dutos'!$E147)=73,ROUND((('Levantamento dutos'!$D147/0.5)*(Calculos!$G147+0.2)*1.2),0),0)</f>
        <v>0</v>
      </c>
      <c r="V147" s="60">
        <f>IF(CODE('Levantamento dutos'!$E147)=80,ROUND((('Levantamento dutos'!$D147/0.5)*(Calculos!$G147+0.2)*1.2),0),0)</f>
        <v>0</v>
      </c>
      <c r="W147" s="60">
        <f>IF(CODE('Levantamento dutos'!$E147)=76,'Levantamento dutos'!$D147/0.5*1.5,0)</f>
        <v>0</v>
      </c>
      <c r="X147" s="60">
        <f>IF(CODE('Levantamento dutos'!$E147)=73,'Levantamento dutos'!$D147/0.5*1.5,0)</f>
        <v>0</v>
      </c>
      <c r="Y147" s="60">
        <f>IF(CODE('Levantamento dutos'!$E147)=80,'Levantamento dutos'!$D147/0.5*1.5,0)</f>
        <v>0</v>
      </c>
      <c r="Z147" s="60">
        <f>IF(CODE('Levantamento dutos'!$E147)=76,ROUND(('Levantamento dutos'!$D147)+('Levantamento dutos'!$D147*Calculos!$G147*2)*1.1,0),0)</f>
        <v>0</v>
      </c>
      <c r="AA147" s="60">
        <f>IF(CODE('Levantamento dutos'!$G147)=80,('Levantamento dutos'!$D147/'Levantamento dutos'!$G$12)*8,0)</f>
        <v>0</v>
      </c>
      <c r="AB147" s="60">
        <f>IF(CODE('Levantamento dutos'!$G147)=80,IF('Levantamento dutos'!$B147&gt;30,('Levantamento dutos'!$D147/'Levantamento dutos'!$G$12)*4,0),0)</f>
        <v>0</v>
      </c>
      <c r="AC147" s="60">
        <f>IF('Levantamento dutos'!$B147&gt;220,('Levantamento dutos'!$D147/'Levantamento dutos'!$G$12*Calculos!$G147*2),0)</f>
        <v>0</v>
      </c>
      <c r="AD147" s="60">
        <f>IF(CODE('Levantamento dutos'!$E147)=73,((('Levantamento dutos'!$E$12/1000)+0.02)*'Levantamento dutos'!$D147)*4*1.3,0)</f>
        <v>0</v>
      </c>
      <c r="AE147" s="60">
        <f>IF(CODE('Levantamento dutos'!$E147)=80,((('Levantamento dutos'!$E$12/1000)+0.02)*'Levantamento dutos'!$D147)*4*1.3,0)</f>
        <v>0</v>
      </c>
    </row>
    <row r="148" spans="2:31" x14ac:dyDescent="0.2">
      <c r="B148" s="58">
        <f>IF('Levantamento dutos'!$B148&lt;=Calculos!$Z$3,((('Levantamento dutos'!$B148)/100+('Levantamento dutos'!$C148)/100)*2)*'Levantamento dutos'!$D148,0)</f>
        <v>0</v>
      </c>
      <c r="C148">
        <f>IF('Levantamento dutos'!$B148&gt;Calculos!$Z$3,IF('Levantamento dutos'!$B148&lt;=Calculos!$Z$4,((('Levantamento dutos'!$B148)/100+('Levantamento dutos'!$C148)/100)*2)*'Levantamento dutos'!$D148,0),0)</f>
        <v>0</v>
      </c>
      <c r="D148">
        <f>IF('Levantamento dutos'!$B148&gt;Calculos!$Z$4,IF('Levantamento dutos'!$B148&lt;=Calculos!$Z$5,((('Levantamento dutos'!$B148)/100+('Levantamento dutos'!$C148)/100)*2)*'Levantamento dutos'!$D148,0),0)</f>
        <v>0</v>
      </c>
      <c r="E148">
        <f>IF('Levantamento dutos'!$B148&gt;Calculos!$Z$5,IF('Levantamento dutos'!$B148&lt;=Calculos!$Z$6,((('Levantamento dutos'!$B148)/100+('Levantamento dutos'!$C148)/100)*2)*'Levantamento dutos'!$D148,0),0)</f>
        <v>0</v>
      </c>
      <c r="F148" s="59">
        <f>IF('Levantamento dutos'!$B148&gt;Calculos!$Z$7,((('Levantamento dutos'!$B148)/100+('Levantamento dutos'!$C148)/100)*2)*'Levantamento dutos'!$D148,0)</f>
        <v>0</v>
      </c>
      <c r="G148">
        <f>(('Levantamento dutos'!B148+'Levantamento dutos'!C148)/100)*2</f>
        <v>0</v>
      </c>
      <c r="H148" s="58">
        <f>IF(CODE('Levantamento dutos'!$E148)=76,SUM($B148:$F148),0)</f>
        <v>0</v>
      </c>
      <c r="I148">
        <f>IF(CODE('Levantamento dutos'!$E148)=73,SUM($B148:$F148),0)</f>
        <v>0</v>
      </c>
      <c r="J148">
        <f>IF(CODE('Levantamento dutos'!$E148)=80,SUM($B148:$F148),0)</f>
        <v>0</v>
      </c>
      <c r="K148">
        <f>IF(CODE('Levantamento dutos'!$F148)=66,SUM($B148:$F148),0)</f>
        <v>0</v>
      </c>
      <c r="L148">
        <f>IF(CODE('Levantamento dutos'!$F148)=70,SUM($B148:$F148),0)</f>
        <v>0</v>
      </c>
      <c r="M148" s="59">
        <f>IF(CODE('Levantamento dutos'!$E148)=84,SUM($B148:$F148),0)</f>
        <v>0</v>
      </c>
      <c r="N148" s="60">
        <f>IF(CODE('Levantamento dutos'!$G148)=80,IF('Levantamento dutos'!$B148&lt;=200,('Levantamento dutos'!$D148/'Levantamento dutos'!$G$12*Calculos!$G148*2),0),0)</f>
        <v>0</v>
      </c>
      <c r="O148" s="60">
        <f>IF(CODE('Levantamento dutos'!$G148)=80,IF('Levantamento dutos'!$B148&gt;200,('Levantamento dutos'!$D148/'Levantamento dutos'!$G$12*Calculos!$G148*2),0),0)</f>
        <v>0</v>
      </c>
      <c r="P148" s="60">
        <f>IF(CODE('Levantamento dutos'!$G148)=67,('Levantamento dutos'!$D148/'Levantamento dutos'!$G$12*Calculos!$G148*2),0)</f>
        <v>0</v>
      </c>
      <c r="Q148" s="60">
        <f>IF(CODE('Levantamento dutos'!H148)=83,((('Levantamento dutos'!B148/100)+('Levantamento dutos'!$H$12/1000))+(('Levantamento dutos'!C148/100)+('Levantamento dutos'!$H$12)/1000))*2*'Levantamento dutos'!D148,0)</f>
        <v>0</v>
      </c>
      <c r="S148" s="60">
        <f>IF(CODE('Levantamento dutos'!$I148)=83,$Q148,0)</f>
        <v>0</v>
      </c>
      <c r="T148" s="60">
        <f>IF(CODE('Levantamento dutos'!$E148)=76,ROUND((('Levantamento dutos'!$D148/5)*(Calculos!$G148+0.2)*1.2),0),0)</f>
        <v>0</v>
      </c>
      <c r="U148" s="60">
        <f>IF(CODE('Levantamento dutos'!$E148)=73,ROUND((('Levantamento dutos'!$D148/0.5)*(Calculos!$G148+0.2)*1.2),0),0)</f>
        <v>0</v>
      </c>
      <c r="V148" s="60">
        <f>IF(CODE('Levantamento dutos'!$E148)=80,ROUND((('Levantamento dutos'!$D148/0.5)*(Calculos!$G148+0.2)*1.2),0),0)</f>
        <v>0</v>
      </c>
      <c r="W148" s="60">
        <f>IF(CODE('Levantamento dutos'!$E148)=76,'Levantamento dutos'!$D148/0.5*1.5,0)</f>
        <v>0</v>
      </c>
      <c r="X148" s="60">
        <f>IF(CODE('Levantamento dutos'!$E148)=73,'Levantamento dutos'!$D148/0.5*1.5,0)</f>
        <v>0</v>
      </c>
      <c r="Y148" s="60">
        <f>IF(CODE('Levantamento dutos'!$E148)=80,'Levantamento dutos'!$D148/0.5*1.5,0)</f>
        <v>0</v>
      </c>
      <c r="Z148" s="60">
        <f>IF(CODE('Levantamento dutos'!$E148)=76,ROUND(('Levantamento dutos'!$D148)+('Levantamento dutos'!$D148*Calculos!$G148*2)*1.1,0),0)</f>
        <v>0</v>
      </c>
      <c r="AA148" s="60">
        <f>IF(CODE('Levantamento dutos'!$G148)=80,('Levantamento dutos'!$D148/'Levantamento dutos'!$G$12)*8,0)</f>
        <v>0</v>
      </c>
      <c r="AB148" s="60">
        <f>IF(CODE('Levantamento dutos'!$G148)=80,IF('Levantamento dutos'!$B148&gt;30,('Levantamento dutos'!$D148/'Levantamento dutos'!$G$12)*4,0),0)</f>
        <v>0</v>
      </c>
      <c r="AC148" s="60">
        <f>IF('Levantamento dutos'!$B148&gt;220,('Levantamento dutos'!$D148/'Levantamento dutos'!$G$12*Calculos!$G148*2),0)</f>
        <v>0</v>
      </c>
      <c r="AD148" s="60">
        <f>IF(CODE('Levantamento dutos'!$E148)=73,((('Levantamento dutos'!$E$12/1000)+0.02)*'Levantamento dutos'!$D148)*4*1.3,0)</f>
        <v>0</v>
      </c>
      <c r="AE148" s="60">
        <f>IF(CODE('Levantamento dutos'!$E148)=80,((('Levantamento dutos'!$E$12/1000)+0.02)*'Levantamento dutos'!$D148)*4*1.3,0)</f>
        <v>0</v>
      </c>
    </row>
    <row r="149" spans="2:31" x14ac:dyDescent="0.2">
      <c r="B149" s="58">
        <f>IF('Levantamento dutos'!$B149&lt;=Calculos!$Z$3,((('Levantamento dutos'!$B149)/100+('Levantamento dutos'!$C149)/100)*2)*'Levantamento dutos'!$D149,0)</f>
        <v>0</v>
      </c>
      <c r="C149">
        <f>IF('Levantamento dutos'!$B149&gt;Calculos!$Z$3,IF('Levantamento dutos'!$B149&lt;=Calculos!$Z$4,((('Levantamento dutos'!$B149)/100+('Levantamento dutos'!$C149)/100)*2)*'Levantamento dutos'!$D149,0),0)</f>
        <v>0</v>
      </c>
      <c r="D149">
        <f>IF('Levantamento dutos'!$B149&gt;Calculos!$Z$4,IF('Levantamento dutos'!$B149&lt;=Calculos!$Z$5,((('Levantamento dutos'!$B149)/100+('Levantamento dutos'!$C149)/100)*2)*'Levantamento dutos'!$D149,0),0)</f>
        <v>0</v>
      </c>
      <c r="E149">
        <f>IF('Levantamento dutos'!$B149&gt;Calculos!$Z$5,IF('Levantamento dutos'!$B149&lt;=Calculos!$Z$6,((('Levantamento dutos'!$B149)/100+('Levantamento dutos'!$C149)/100)*2)*'Levantamento dutos'!$D149,0),0)</f>
        <v>0</v>
      </c>
      <c r="F149" s="59">
        <f>IF('Levantamento dutos'!$B149&gt;Calculos!$Z$7,((('Levantamento dutos'!$B149)/100+('Levantamento dutos'!$C149)/100)*2)*'Levantamento dutos'!$D149,0)</f>
        <v>0</v>
      </c>
      <c r="G149">
        <f>(('Levantamento dutos'!B149+'Levantamento dutos'!C149)/100)*2</f>
        <v>0</v>
      </c>
      <c r="H149" s="58">
        <f>IF(CODE('Levantamento dutos'!$E149)=76,SUM($B149:$F149),0)</f>
        <v>0</v>
      </c>
      <c r="I149">
        <f>IF(CODE('Levantamento dutos'!$E149)=73,SUM($B149:$F149),0)</f>
        <v>0</v>
      </c>
      <c r="J149">
        <f>IF(CODE('Levantamento dutos'!$E149)=80,SUM($B149:$F149),0)</f>
        <v>0</v>
      </c>
      <c r="K149">
        <f>IF(CODE('Levantamento dutos'!$F149)=66,SUM($B149:$F149),0)</f>
        <v>0</v>
      </c>
      <c r="L149">
        <f>IF(CODE('Levantamento dutos'!$F149)=70,SUM($B149:$F149),0)</f>
        <v>0</v>
      </c>
      <c r="M149" s="59">
        <f>IF(CODE('Levantamento dutos'!$E149)=84,SUM($B149:$F149),0)</f>
        <v>0</v>
      </c>
      <c r="N149" s="60">
        <f>IF(CODE('Levantamento dutos'!$G149)=80,IF('Levantamento dutos'!$B149&lt;=200,('Levantamento dutos'!$D149/'Levantamento dutos'!$G$12*Calculos!$G149*2),0),0)</f>
        <v>0</v>
      </c>
      <c r="O149" s="60">
        <f>IF(CODE('Levantamento dutos'!$G149)=80,IF('Levantamento dutos'!$B149&gt;200,('Levantamento dutos'!$D149/'Levantamento dutos'!$G$12*Calculos!$G149*2),0),0)</f>
        <v>0</v>
      </c>
      <c r="P149" s="60">
        <f>IF(CODE('Levantamento dutos'!$G149)=67,('Levantamento dutos'!$D149/'Levantamento dutos'!$G$12*Calculos!$G149*2),0)</f>
        <v>0</v>
      </c>
      <c r="Q149" s="60">
        <f>IF(CODE('Levantamento dutos'!H149)=83,((('Levantamento dutos'!B149/100)+('Levantamento dutos'!$H$12/1000))+(('Levantamento dutos'!C149/100)+('Levantamento dutos'!$H$12)/1000))*2*'Levantamento dutos'!D149,0)</f>
        <v>0</v>
      </c>
      <c r="S149" s="60">
        <f>IF(CODE('Levantamento dutos'!$I149)=83,$Q149,0)</f>
        <v>0</v>
      </c>
      <c r="T149" s="60">
        <f>IF(CODE('Levantamento dutos'!$E149)=76,ROUND((('Levantamento dutos'!$D149/5)*(Calculos!$G149+0.2)*1.2),0),0)</f>
        <v>0</v>
      </c>
      <c r="U149" s="60">
        <f>IF(CODE('Levantamento dutos'!$E149)=73,ROUND((('Levantamento dutos'!$D149/0.5)*(Calculos!$G149+0.2)*1.2),0),0)</f>
        <v>0</v>
      </c>
      <c r="V149" s="60">
        <f>IF(CODE('Levantamento dutos'!$E149)=80,ROUND((('Levantamento dutos'!$D149/0.5)*(Calculos!$G149+0.2)*1.2),0),0)</f>
        <v>0</v>
      </c>
      <c r="W149" s="60">
        <f>IF(CODE('Levantamento dutos'!$E149)=76,'Levantamento dutos'!$D149/0.5*1.5,0)</f>
        <v>0</v>
      </c>
      <c r="X149" s="60">
        <f>IF(CODE('Levantamento dutos'!$E149)=73,'Levantamento dutos'!$D149/0.5*1.5,0)</f>
        <v>0</v>
      </c>
      <c r="Y149" s="60">
        <f>IF(CODE('Levantamento dutos'!$E149)=80,'Levantamento dutos'!$D149/0.5*1.5,0)</f>
        <v>0</v>
      </c>
      <c r="Z149" s="60">
        <f>IF(CODE('Levantamento dutos'!$E149)=76,ROUND(('Levantamento dutos'!$D149)+('Levantamento dutos'!$D149*Calculos!$G149*2)*1.1,0),0)</f>
        <v>0</v>
      </c>
      <c r="AA149" s="60">
        <f>IF(CODE('Levantamento dutos'!$G149)=80,('Levantamento dutos'!$D149/'Levantamento dutos'!$G$12)*8,0)</f>
        <v>0</v>
      </c>
      <c r="AB149" s="60">
        <f>IF(CODE('Levantamento dutos'!$G149)=80,IF('Levantamento dutos'!$B149&gt;30,('Levantamento dutos'!$D149/'Levantamento dutos'!$G$12)*4,0),0)</f>
        <v>0</v>
      </c>
      <c r="AC149" s="60">
        <f>IF('Levantamento dutos'!$B149&gt;220,('Levantamento dutos'!$D149/'Levantamento dutos'!$G$12*Calculos!$G149*2),0)</f>
        <v>0</v>
      </c>
      <c r="AD149" s="60">
        <f>IF(CODE('Levantamento dutos'!$E149)=73,((('Levantamento dutos'!$E$12/1000)+0.02)*'Levantamento dutos'!$D149)*4*1.3,0)</f>
        <v>0</v>
      </c>
      <c r="AE149" s="60">
        <f>IF(CODE('Levantamento dutos'!$E149)=80,((('Levantamento dutos'!$E$12/1000)+0.02)*'Levantamento dutos'!$D149)*4*1.3,0)</f>
        <v>0</v>
      </c>
    </row>
    <row r="150" spans="2:31" x14ac:dyDescent="0.2">
      <c r="B150" s="58">
        <f>IF('Levantamento dutos'!$B150&lt;=Calculos!$Z$3,((('Levantamento dutos'!$B150)/100+('Levantamento dutos'!$C150)/100)*2)*'Levantamento dutos'!$D150,0)</f>
        <v>0</v>
      </c>
      <c r="C150">
        <f>IF('Levantamento dutos'!$B150&gt;Calculos!$Z$3,IF('Levantamento dutos'!$B150&lt;=Calculos!$Z$4,((('Levantamento dutos'!$B150)/100+('Levantamento dutos'!$C150)/100)*2)*'Levantamento dutos'!$D150,0),0)</f>
        <v>0</v>
      </c>
      <c r="D150">
        <f>IF('Levantamento dutos'!$B150&gt;Calculos!$Z$4,IF('Levantamento dutos'!$B150&lt;=Calculos!$Z$5,((('Levantamento dutos'!$B150)/100+('Levantamento dutos'!$C150)/100)*2)*'Levantamento dutos'!$D150,0),0)</f>
        <v>0</v>
      </c>
      <c r="E150">
        <f>IF('Levantamento dutos'!$B150&gt;Calculos!$Z$5,IF('Levantamento dutos'!$B150&lt;=Calculos!$Z$6,((('Levantamento dutos'!$B150)/100+('Levantamento dutos'!$C150)/100)*2)*'Levantamento dutos'!$D150,0),0)</f>
        <v>0</v>
      </c>
      <c r="F150" s="59">
        <f>IF('Levantamento dutos'!$B150&gt;Calculos!$Z$7,((('Levantamento dutos'!$B150)/100+('Levantamento dutos'!$C150)/100)*2)*'Levantamento dutos'!$D150,0)</f>
        <v>0</v>
      </c>
      <c r="G150">
        <f>(('Levantamento dutos'!B150+'Levantamento dutos'!C150)/100)*2</f>
        <v>0</v>
      </c>
      <c r="H150" s="58">
        <f>IF(CODE('Levantamento dutos'!$E150)=76,SUM($B150:$F150),0)</f>
        <v>0</v>
      </c>
      <c r="I150">
        <f>IF(CODE('Levantamento dutos'!$E150)=73,SUM($B150:$F150),0)</f>
        <v>0</v>
      </c>
      <c r="J150">
        <f>IF(CODE('Levantamento dutos'!$E150)=80,SUM($B150:$F150),0)</f>
        <v>0</v>
      </c>
      <c r="K150">
        <f>IF(CODE('Levantamento dutos'!$F150)=66,SUM($B150:$F150),0)</f>
        <v>0</v>
      </c>
      <c r="L150">
        <f>IF(CODE('Levantamento dutos'!$F150)=70,SUM($B150:$F150),0)</f>
        <v>0</v>
      </c>
      <c r="M150" s="59">
        <f>IF(CODE('Levantamento dutos'!$E150)=84,SUM($B150:$F150),0)</f>
        <v>0</v>
      </c>
      <c r="N150" s="60">
        <f>IF(CODE('Levantamento dutos'!$G150)=80,IF('Levantamento dutos'!$B150&lt;=200,('Levantamento dutos'!$D150/'Levantamento dutos'!$G$12*Calculos!$G150*2),0),0)</f>
        <v>0</v>
      </c>
      <c r="O150" s="60">
        <f>IF(CODE('Levantamento dutos'!$G150)=80,IF('Levantamento dutos'!$B150&gt;200,('Levantamento dutos'!$D150/'Levantamento dutos'!$G$12*Calculos!$G150*2),0),0)</f>
        <v>0</v>
      </c>
      <c r="P150" s="60">
        <f>IF(CODE('Levantamento dutos'!$G150)=67,('Levantamento dutos'!$D150/'Levantamento dutos'!$G$12*Calculos!$G150*2),0)</f>
        <v>0</v>
      </c>
      <c r="Q150" s="60">
        <f>IF(CODE('Levantamento dutos'!H150)=83,((('Levantamento dutos'!B150/100)+('Levantamento dutos'!$H$12/1000))+(('Levantamento dutos'!C150/100)+('Levantamento dutos'!$H$12)/1000))*2*'Levantamento dutos'!D150,0)</f>
        <v>0</v>
      </c>
      <c r="S150" s="60">
        <f>IF(CODE('Levantamento dutos'!$I150)=83,$Q150,0)</f>
        <v>0</v>
      </c>
      <c r="T150" s="60">
        <f>IF(CODE('Levantamento dutos'!$E150)=76,ROUND((('Levantamento dutos'!$D150/5)*(Calculos!$G150+0.2)*1.2),0),0)</f>
        <v>0</v>
      </c>
      <c r="U150" s="60">
        <f>IF(CODE('Levantamento dutos'!$E150)=73,ROUND((('Levantamento dutos'!$D150/0.5)*(Calculos!$G150+0.2)*1.2),0),0)</f>
        <v>0</v>
      </c>
      <c r="V150" s="60">
        <f>IF(CODE('Levantamento dutos'!$E150)=80,ROUND((('Levantamento dutos'!$D150/0.5)*(Calculos!$G150+0.2)*1.2),0),0)</f>
        <v>0</v>
      </c>
      <c r="W150" s="60">
        <f>IF(CODE('Levantamento dutos'!$E150)=76,'Levantamento dutos'!$D150/0.5*1.5,0)</f>
        <v>0</v>
      </c>
      <c r="X150" s="60">
        <f>IF(CODE('Levantamento dutos'!$E150)=73,'Levantamento dutos'!$D150/0.5*1.5,0)</f>
        <v>0</v>
      </c>
      <c r="Y150" s="60">
        <f>IF(CODE('Levantamento dutos'!$E150)=80,'Levantamento dutos'!$D150/0.5*1.5,0)</f>
        <v>0</v>
      </c>
      <c r="Z150" s="60">
        <f>IF(CODE('Levantamento dutos'!$E150)=76,ROUND(('Levantamento dutos'!$D150)+('Levantamento dutos'!$D150*Calculos!$G150*2)*1.1,0),0)</f>
        <v>0</v>
      </c>
      <c r="AA150" s="60">
        <f>IF(CODE('Levantamento dutos'!$G150)=80,('Levantamento dutos'!$D150/'Levantamento dutos'!$G$12)*8,0)</f>
        <v>0</v>
      </c>
      <c r="AB150" s="60">
        <f>IF(CODE('Levantamento dutos'!$G150)=80,IF('Levantamento dutos'!$B150&gt;30,('Levantamento dutos'!$D150/'Levantamento dutos'!$G$12)*4,0),0)</f>
        <v>0</v>
      </c>
      <c r="AC150" s="60">
        <f>IF('Levantamento dutos'!$B150&gt;220,('Levantamento dutos'!$D150/'Levantamento dutos'!$G$12*Calculos!$G150*2),0)</f>
        <v>0</v>
      </c>
      <c r="AD150" s="60">
        <f>IF(CODE('Levantamento dutos'!$E150)=73,((('Levantamento dutos'!$E$12/1000)+0.02)*'Levantamento dutos'!$D150)*4*1.3,0)</f>
        <v>0</v>
      </c>
      <c r="AE150" s="60">
        <f>IF(CODE('Levantamento dutos'!$E150)=80,((('Levantamento dutos'!$E$12/1000)+0.02)*'Levantamento dutos'!$D150)*4*1.3,0)</f>
        <v>0</v>
      </c>
    </row>
    <row r="151" spans="2:31" x14ac:dyDescent="0.2">
      <c r="B151" s="58">
        <f>IF('Levantamento dutos'!$B151&lt;=Calculos!$Z$3,((('Levantamento dutos'!$B151)/100+('Levantamento dutos'!$C151)/100)*2)*'Levantamento dutos'!$D151,0)</f>
        <v>0</v>
      </c>
      <c r="C151">
        <f>IF('Levantamento dutos'!$B151&gt;Calculos!$Z$3,IF('Levantamento dutos'!$B151&lt;=Calculos!$Z$4,((('Levantamento dutos'!$B151)/100+('Levantamento dutos'!$C151)/100)*2)*'Levantamento dutos'!$D151,0),0)</f>
        <v>0</v>
      </c>
      <c r="D151">
        <f>IF('Levantamento dutos'!$B151&gt;Calculos!$Z$4,IF('Levantamento dutos'!$B151&lt;=Calculos!$Z$5,((('Levantamento dutos'!$B151)/100+('Levantamento dutos'!$C151)/100)*2)*'Levantamento dutos'!$D151,0),0)</f>
        <v>0</v>
      </c>
      <c r="E151">
        <f>IF('Levantamento dutos'!$B151&gt;Calculos!$Z$5,IF('Levantamento dutos'!$B151&lt;=Calculos!$Z$6,((('Levantamento dutos'!$B151)/100+('Levantamento dutos'!$C151)/100)*2)*'Levantamento dutos'!$D151,0),0)</f>
        <v>0</v>
      </c>
      <c r="F151" s="59">
        <f>IF('Levantamento dutos'!$B151&gt;Calculos!$Z$7,((('Levantamento dutos'!$B151)/100+('Levantamento dutos'!$C151)/100)*2)*'Levantamento dutos'!$D151,0)</f>
        <v>0</v>
      </c>
      <c r="G151">
        <f>(('Levantamento dutos'!B151+'Levantamento dutos'!C151)/100)*2</f>
        <v>0</v>
      </c>
      <c r="H151" s="58">
        <f>IF(CODE('Levantamento dutos'!$E151)=76,SUM($B151:$F151),0)</f>
        <v>0</v>
      </c>
      <c r="I151">
        <f>IF(CODE('Levantamento dutos'!$E151)=73,SUM($B151:$F151),0)</f>
        <v>0</v>
      </c>
      <c r="J151">
        <f>IF(CODE('Levantamento dutos'!$E151)=80,SUM($B151:$F151),0)</f>
        <v>0</v>
      </c>
      <c r="K151">
        <f>IF(CODE('Levantamento dutos'!$F151)=66,SUM($B151:$F151),0)</f>
        <v>0</v>
      </c>
      <c r="L151">
        <f>IF(CODE('Levantamento dutos'!$F151)=70,SUM($B151:$F151),0)</f>
        <v>0</v>
      </c>
      <c r="M151" s="59">
        <f>IF(CODE('Levantamento dutos'!$E151)=84,SUM($B151:$F151),0)</f>
        <v>0</v>
      </c>
      <c r="N151" s="60">
        <f>IF(CODE('Levantamento dutos'!$G151)=80,IF('Levantamento dutos'!$B151&lt;=200,('Levantamento dutos'!$D151/'Levantamento dutos'!$G$12*Calculos!$G151*2),0),0)</f>
        <v>0</v>
      </c>
      <c r="O151" s="60">
        <f>IF(CODE('Levantamento dutos'!$G151)=80,IF('Levantamento dutos'!$B151&gt;200,('Levantamento dutos'!$D151/'Levantamento dutos'!$G$12*Calculos!$G151*2),0),0)</f>
        <v>0</v>
      </c>
      <c r="P151" s="60">
        <f>IF(CODE('Levantamento dutos'!$G151)=67,('Levantamento dutos'!$D151/'Levantamento dutos'!$G$12*Calculos!$G151*2),0)</f>
        <v>0</v>
      </c>
      <c r="Q151" s="60">
        <f>IF(CODE('Levantamento dutos'!H151)=83,((('Levantamento dutos'!B151/100)+('Levantamento dutos'!$H$12/1000))+(('Levantamento dutos'!C151/100)+('Levantamento dutos'!$H$12)/1000))*2*'Levantamento dutos'!D151,0)</f>
        <v>0</v>
      </c>
      <c r="S151" s="60">
        <f>IF(CODE('Levantamento dutos'!$I151)=83,$Q151,0)</f>
        <v>0</v>
      </c>
      <c r="T151" s="60">
        <f>IF(CODE('Levantamento dutos'!$E151)=76,ROUND((('Levantamento dutos'!$D151/5)*(Calculos!$G151+0.2)*1.2),0),0)</f>
        <v>0</v>
      </c>
      <c r="U151" s="60">
        <f>IF(CODE('Levantamento dutos'!$E151)=73,ROUND((('Levantamento dutos'!$D151/0.5)*(Calculos!$G151+0.2)*1.2),0),0)</f>
        <v>0</v>
      </c>
      <c r="V151" s="60">
        <f>IF(CODE('Levantamento dutos'!$E151)=80,ROUND((('Levantamento dutos'!$D151/0.5)*(Calculos!$G151+0.2)*1.2),0),0)</f>
        <v>0</v>
      </c>
      <c r="W151" s="60">
        <f>IF(CODE('Levantamento dutos'!$E151)=76,'Levantamento dutos'!$D151/0.5*1.5,0)</f>
        <v>0</v>
      </c>
      <c r="X151" s="60">
        <f>IF(CODE('Levantamento dutos'!$E151)=73,'Levantamento dutos'!$D151/0.5*1.5,0)</f>
        <v>0</v>
      </c>
      <c r="Y151" s="60">
        <f>IF(CODE('Levantamento dutos'!$E151)=80,'Levantamento dutos'!$D151/0.5*1.5,0)</f>
        <v>0</v>
      </c>
      <c r="Z151" s="60">
        <f>IF(CODE('Levantamento dutos'!$E151)=76,ROUND(('Levantamento dutos'!$D151)+('Levantamento dutos'!$D151*Calculos!$G151*2)*1.1,0),0)</f>
        <v>0</v>
      </c>
      <c r="AA151" s="60">
        <f>IF(CODE('Levantamento dutos'!$G151)=80,('Levantamento dutos'!$D151/'Levantamento dutos'!$G$12)*8,0)</f>
        <v>0</v>
      </c>
      <c r="AB151" s="60">
        <f>IF(CODE('Levantamento dutos'!$G151)=80,IF('Levantamento dutos'!$B151&gt;30,('Levantamento dutos'!$D151/'Levantamento dutos'!$G$12)*4,0),0)</f>
        <v>0</v>
      </c>
      <c r="AC151" s="60">
        <f>IF('Levantamento dutos'!$B151&gt;220,('Levantamento dutos'!$D151/'Levantamento dutos'!$G$12*Calculos!$G151*2),0)</f>
        <v>0</v>
      </c>
      <c r="AD151" s="60">
        <f>IF(CODE('Levantamento dutos'!$E151)=73,((('Levantamento dutos'!$E$12/1000)+0.02)*'Levantamento dutos'!$D151)*4*1.3,0)</f>
        <v>0</v>
      </c>
      <c r="AE151" s="60">
        <f>IF(CODE('Levantamento dutos'!$E151)=80,((('Levantamento dutos'!$E$12/1000)+0.02)*'Levantamento dutos'!$D151)*4*1.3,0)</f>
        <v>0</v>
      </c>
    </row>
    <row r="152" spans="2:31" x14ac:dyDescent="0.2">
      <c r="B152" s="58">
        <f>IF('Levantamento dutos'!$B152&lt;=Calculos!$Z$3,((('Levantamento dutos'!$B152)/100+('Levantamento dutos'!$C152)/100)*2)*'Levantamento dutos'!$D152,0)</f>
        <v>0</v>
      </c>
      <c r="C152">
        <f>IF('Levantamento dutos'!$B152&gt;Calculos!$Z$3,IF('Levantamento dutos'!$B152&lt;=Calculos!$Z$4,((('Levantamento dutos'!$B152)/100+('Levantamento dutos'!$C152)/100)*2)*'Levantamento dutos'!$D152,0),0)</f>
        <v>0</v>
      </c>
      <c r="D152">
        <f>IF('Levantamento dutos'!$B152&gt;Calculos!$Z$4,IF('Levantamento dutos'!$B152&lt;=Calculos!$Z$5,((('Levantamento dutos'!$B152)/100+('Levantamento dutos'!$C152)/100)*2)*'Levantamento dutos'!$D152,0),0)</f>
        <v>0</v>
      </c>
      <c r="E152">
        <f>IF('Levantamento dutos'!$B152&gt;Calculos!$Z$5,IF('Levantamento dutos'!$B152&lt;=Calculos!$Z$6,((('Levantamento dutos'!$B152)/100+('Levantamento dutos'!$C152)/100)*2)*'Levantamento dutos'!$D152,0),0)</f>
        <v>0</v>
      </c>
      <c r="F152" s="59">
        <f>IF('Levantamento dutos'!$B152&gt;Calculos!$Z$7,((('Levantamento dutos'!$B152)/100+('Levantamento dutos'!$C152)/100)*2)*'Levantamento dutos'!$D152,0)</f>
        <v>0</v>
      </c>
      <c r="G152">
        <f>(('Levantamento dutos'!B152+'Levantamento dutos'!C152)/100)*2</f>
        <v>0</v>
      </c>
      <c r="H152" s="58">
        <f>IF(CODE('Levantamento dutos'!$E152)=76,SUM($B152:$F152),0)</f>
        <v>0</v>
      </c>
      <c r="I152">
        <f>IF(CODE('Levantamento dutos'!$E152)=73,SUM($B152:$F152),0)</f>
        <v>0</v>
      </c>
      <c r="J152">
        <f>IF(CODE('Levantamento dutos'!$E152)=80,SUM($B152:$F152),0)</f>
        <v>0</v>
      </c>
      <c r="K152">
        <f>IF(CODE('Levantamento dutos'!$F152)=66,SUM($B152:$F152),0)</f>
        <v>0</v>
      </c>
      <c r="L152">
        <f>IF(CODE('Levantamento dutos'!$F152)=70,SUM($B152:$F152),0)</f>
        <v>0</v>
      </c>
      <c r="M152" s="59">
        <f>IF(CODE('Levantamento dutos'!$E152)=84,SUM($B152:$F152),0)</f>
        <v>0</v>
      </c>
      <c r="N152" s="60">
        <f>IF(CODE('Levantamento dutos'!$G152)=80,IF('Levantamento dutos'!$B152&lt;=200,('Levantamento dutos'!$D152/'Levantamento dutos'!$G$12*Calculos!$G152*2),0),0)</f>
        <v>0</v>
      </c>
      <c r="O152" s="60">
        <f>IF(CODE('Levantamento dutos'!$G152)=80,IF('Levantamento dutos'!$B152&gt;200,('Levantamento dutos'!$D152/'Levantamento dutos'!$G$12*Calculos!$G152*2),0),0)</f>
        <v>0</v>
      </c>
      <c r="P152" s="60">
        <f>IF(CODE('Levantamento dutos'!$G152)=67,('Levantamento dutos'!$D152/'Levantamento dutos'!$G$12*Calculos!$G152*2),0)</f>
        <v>0</v>
      </c>
      <c r="Q152" s="60">
        <f>IF(CODE('Levantamento dutos'!H152)=83,((('Levantamento dutos'!B152/100)+('Levantamento dutos'!$H$12/1000))+(('Levantamento dutos'!C152/100)+('Levantamento dutos'!$H$12)/1000))*2*'Levantamento dutos'!D152,0)</f>
        <v>0</v>
      </c>
      <c r="S152" s="60">
        <f>IF(CODE('Levantamento dutos'!$I152)=83,$Q152,0)</f>
        <v>0</v>
      </c>
      <c r="T152" s="60">
        <f>IF(CODE('Levantamento dutos'!$E152)=76,ROUND((('Levantamento dutos'!$D152/5)*(Calculos!$G152+0.2)*1.2),0),0)</f>
        <v>0</v>
      </c>
      <c r="U152" s="60">
        <f>IF(CODE('Levantamento dutos'!$E152)=73,ROUND((('Levantamento dutos'!$D152/0.5)*(Calculos!$G152+0.2)*1.2),0),0)</f>
        <v>0</v>
      </c>
      <c r="V152" s="60">
        <f>IF(CODE('Levantamento dutos'!$E152)=80,ROUND((('Levantamento dutos'!$D152/0.5)*(Calculos!$G152+0.2)*1.2),0),0)</f>
        <v>0</v>
      </c>
      <c r="W152" s="60">
        <f>IF(CODE('Levantamento dutos'!$E152)=76,'Levantamento dutos'!$D152/0.5*1.5,0)</f>
        <v>0</v>
      </c>
      <c r="X152" s="60">
        <f>IF(CODE('Levantamento dutos'!$E152)=73,'Levantamento dutos'!$D152/0.5*1.5,0)</f>
        <v>0</v>
      </c>
      <c r="Y152" s="60">
        <f>IF(CODE('Levantamento dutos'!$E152)=80,'Levantamento dutos'!$D152/0.5*1.5,0)</f>
        <v>0</v>
      </c>
      <c r="Z152" s="60">
        <f>IF(CODE('Levantamento dutos'!$E152)=76,ROUND(('Levantamento dutos'!$D152)+('Levantamento dutos'!$D152*Calculos!$G152*2)*1.1,0),0)</f>
        <v>0</v>
      </c>
      <c r="AA152" s="60">
        <f>IF(CODE('Levantamento dutos'!$G152)=80,('Levantamento dutos'!$D152/'Levantamento dutos'!$G$12)*8,0)</f>
        <v>0</v>
      </c>
      <c r="AB152" s="60">
        <f>IF(CODE('Levantamento dutos'!$G152)=80,IF('Levantamento dutos'!$B152&gt;30,('Levantamento dutos'!$D152/'Levantamento dutos'!$G$12)*4,0),0)</f>
        <v>0</v>
      </c>
      <c r="AC152" s="60">
        <f>IF('Levantamento dutos'!$B152&gt;220,('Levantamento dutos'!$D152/'Levantamento dutos'!$G$12*Calculos!$G152*2),0)</f>
        <v>0</v>
      </c>
      <c r="AD152" s="60">
        <f>IF(CODE('Levantamento dutos'!$E152)=73,((('Levantamento dutos'!$E$12/1000)+0.02)*'Levantamento dutos'!$D152)*4*1.3,0)</f>
        <v>0</v>
      </c>
      <c r="AE152" s="60">
        <f>IF(CODE('Levantamento dutos'!$E152)=80,((('Levantamento dutos'!$E$12/1000)+0.02)*'Levantamento dutos'!$D152)*4*1.3,0)</f>
        <v>0</v>
      </c>
    </row>
    <row r="153" spans="2:31" x14ac:dyDescent="0.2">
      <c r="B153" s="58">
        <f>IF('Levantamento dutos'!$B153&lt;=Calculos!$Z$3,((('Levantamento dutos'!$B153)/100+('Levantamento dutos'!$C153)/100)*2)*'Levantamento dutos'!$D153,0)</f>
        <v>0</v>
      </c>
      <c r="C153">
        <f>IF('Levantamento dutos'!$B153&gt;Calculos!$Z$3,IF('Levantamento dutos'!$B153&lt;=Calculos!$Z$4,((('Levantamento dutos'!$B153)/100+('Levantamento dutos'!$C153)/100)*2)*'Levantamento dutos'!$D153,0),0)</f>
        <v>0</v>
      </c>
      <c r="D153">
        <f>IF('Levantamento dutos'!$B153&gt;Calculos!$Z$4,IF('Levantamento dutos'!$B153&lt;=Calculos!$Z$5,((('Levantamento dutos'!$B153)/100+('Levantamento dutos'!$C153)/100)*2)*'Levantamento dutos'!$D153,0),0)</f>
        <v>0</v>
      </c>
      <c r="E153">
        <f>IF('Levantamento dutos'!$B153&gt;Calculos!$Z$5,IF('Levantamento dutos'!$B153&lt;=Calculos!$Z$6,((('Levantamento dutos'!$B153)/100+('Levantamento dutos'!$C153)/100)*2)*'Levantamento dutos'!$D153,0),0)</f>
        <v>0</v>
      </c>
      <c r="F153" s="59">
        <f>IF('Levantamento dutos'!$B153&gt;Calculos!$Z$7,((('Levantamento dutos'!$B153)/100+('Levantamento dutos'!$C153)/100)*2)*'Levantamento dutos'!$D153,0)</f>
        <v>0</v>
      </c>
      <c r="G153">
        <f>(('Levantamento dutos'!B153+'Levantamento dutos'!C153)/100)*2</f>
        <v>0</v>
      </c>
      <c r="H153" s="58">
        <f>IF(CODE('Levantamento dutos'!$E153)=76,SUM($B153:$F153),0)</f>
        <v>0</v>
      </c>
      <c r="I153">
        <f>IF(CODE('Levantamento dutos'!$E153)=73,SUM($B153:$F153),0)</f>
        <v>0</v>
      </c>
      <c r="J153">
        <f>IF(CODE('Levantamento dutos'!$E153)=80,SUM($B153:$F153),0)</f>
        <v>0</v>
      </c>
      <c r="K153">
        <f>IF(CODE('Levantamento dutos'!$F153)=66,SUM($B153:$F153),0)</f>
        <v>0</v>
      </c>
      <c r="L153">
        <f>IF(CODE('Levantamento dutos'!$F153)=70,SUM($B153:$F153),0)</f>
        <v>0</v>
      </c>
      <c r="M153" s="59">
        <f>IF(CODE('Levantamento dutos'!$E153)=84,SUM($B153:$F153),0)</f>
        <v>0</v>
      </c>
      <c r="N153" s="60">
        <f>IF(CODE('Levantamento dutos'!$G153)=80,IF('Levantamento dutos'!$B153&lt;=200,('Levantamento dutos'!$D153/'Levantamento dutos'!$G$12*Calculos!$G153*2),0),0)</f>
        <v>0</v>
      </c>
      <c r="O153" s="60">
        <f>IF(CODE('Levantamento dutos'!$G153)=80,IF('Levantamento dutos'!$B153&gt;200,('Levantamento dutos'!$D153/'Levantamento dutos'!$G$12*Calculos!$G153*2),0),0)</f>
        <v>0</v>
      </c>
      <c r="P153" s="60">
        <f>IF(CODE('Levantamento dutos'!$G153)=67,('Levantamento dutos'!$D153/'Levantamento dutos'!$G$12*Calculos!$G153*2),0)</f>
        <v>0</v>
      </c>
      <c r="Q153" s="60">
        <f>IF(CODE('Levantamento dutos'!H153)=83,((('Levantamento dutos'!B153/100)+('Levantamento dutos'!$H$12/1000))+(('Levantamento dutos'!C153/100)+('Levantamento dutos'!$H$12)/1000))*2*'Levantamento dutos'!D153,0)</f>
        <v>0</v>
      </c>
      <c r="S153" s="60">
        <f>IF(CODE('Levantamento dutos'!$I153)=83,$Q153,0)</f>
        <v>0</v>
      </c>
      <c r="T153" s="60">
        <f>IF(CODE('Levantamento dutos'!$E153)=76,ROUND((('Levantamento dutos'!$D153/5)*(Calculos!$G153+0.2)*1.2),0),0)</f>
        <v>0</v>
      </c>
      <c r="U153" s="60">
        <f>IF(CODE('Levantamento dutos'!$E153)=73,ROUND((('Levantamento dutos'!$D153/0.5)*(Calculos!$G153+0.2)*1.2),0),0)</f>
        <v>0</v>
      </c>
      <c r="V153" s="60">
        <f>IF(CODE('Levantamento dutos'!$E153)=80,ROUND((('Levantamento dutos'!$D153/0.5)*(Calculos!$G153+0.2)*1.2),0),0)</f>
        <v>0</v>
      </c>
      <c r="W153" s="60">
        <f>IF(CODE('Levantamento dutos'!$E153)=76,'Levantamento dutos'!$D153/0.5*1.5,0)</f>
        <v>0</v>
      </c>
      <c r="X153" s="60">
        <f>IF(CODE('Levantamento dutos'!$E153)=73,'Levantamento dutos'!$D153/0.5*1.5,0)</f>
        <v>0</v>
      </c>
      <c r="Y153" s="60">
        <f>IF(CODE('Levantamento dutos'!$E153)=80,'Levantamento dutos'!$D153/0.5*1.5,0)</f>
        <v>0</v>
      </c>
      <c r="Z153" s="60">
        <f>IF(CODE('Levantamento dutos'!$E153)=76,ROUND(('Levantamento dutos'!$D153)+('Levantamento dutos'!$D153*Calculos!$G153*2)*1.1,0),0)</f>
        <v>0</v>
      </c>
      <c r="AA153" s="60">
        <f>IF(CODE('Levantamento dutos'!$G153)=80,('Levantamento dutos'!$D153/'Levantamento dutos'!$G$12)*8,0)</f>
        <v>0</v>
      </c>
      <c r="AB153" s="60">
        <f>IF(CODE('Levantamento dutos'!$G153)=80,IF('Levantamento dutos'!$B153&gt;30,('Levantamento dutos'!$D153/'Levantamento dutos'!$G$12)*4,0),0)</f>
        <v>0</v>
      </c>
      <c r="AC153" s="60">
        <f>IF('Levantamento dutos'!$B153&gt;220,('Levantamento dutos'!$D153/'Levantamento dutos'!$G$12*Calculos!$G153*2),0)</f>
        <v>0</v>
      </c>
      <c r="AD153" s="60">
        <f>IF(CODE('Levantamento dutos'!$E153)=73,((('Levantamento dutos'!$E$12/1000)+0.02)*'Levantamento dutos'!$D153)*4*1.3,0)</f>
        <v>0</v>
      </c>
      <c r="AE153" s="60">
        <f>IF(CODE('Levantamento dutos'!$E153)=80,((('Levantamento dutos'!$E$12/1000)+0.02)*'Levantamento dutos'!$D153)*4*1.3,0)</f>
        <v>0</v>
      </c>
    </row>
    <row r="154" spans="2:31" x14ac:dyDescent="0.2">
      <c r="B154" s="58">
        <f>IF('Levantamento dutos'!$B154&lt;=Calculos!$Z$3,((('Levantamento dutos'!$B154)/100+('Levantamento dutos'!$C154)/100)*2)*'Levantamento dutos'!$D154,0)</f>
        <v>0</v>
      </c>
      <c r="C154">
        <f>IF('Levantamento dutos'!$B154&gt;Calculos!$Z$3,IF('Levantamento dutos'!$B154&lt;=Calculos!$Z$4,((('Levantamento dutos'!$B154)/100+('Levantamento dutos'!$C154)/100)*2)*'Levantamento dutos'!$D154,0),0)</f>
        <v>0</v>
      </c>
      <c r="D154">
        <f>IF('Levantamento dutos'!$B154&gt;Calculos!$Z$4,IF('Levantamento dutos'!$B154&lt;=Calculos!$Z$5,((('Levantamento dutos'!$B154)/100+('Levantamento dutos'!$C154)/100)*2)*'Levantamento dutos'!$D154,0),0)</f>
        <v>0</v>
      </c>
      <c r="E154">
        <f>IF('Levantamento dutos'!$B154&gt;Calculos!$Z$5,IF('Levantamento dutos'!$B154&lt;=Calculos!$Z$6,((('Levantamento dutos'!$B154)/100+('Levantamento dutos'!$C154)/100)*2)*'Levantamento dutos'!$D154,0),0)</f>
        <v>0</v>
      </c>
      <c r="F154" s="59">
        <f>IF('Levantamento dutos'!$B154&gt;Calculos!$Z$7,((('Levantamento dutos'!$B154)/100+('Levantamento dutos'!$C154)/100)*2)*'Levantamento dutos'!$D154,0)</f>
        <v>0</v>
      </c>
      <c r="G154">
        <f>(('Levantamento dutos'!B154+'Levantamento dutos'!C154)/100)*2</f>
        <v>0</v>
      </c>
      <c r="H154" s="58">
        <f>IF(CODE('Levantamento dutos'!$E154)=76,SUM($B154:$F154),0)</f>
        <v>0</v>
      </c>
      <c r="I154">
        <f>IF(CODE('Levantamento dutos'!$E154)=73,SUM($B154:$F154),0)</f>
        <v>0</v>
      </c>
      <c r="J154">
        <f>IF(CODE('Levantamento dutos'!$E154)=80,SUM($B154:$F154),0)</f>
        <v>0</v>
      </c>
      <c r="K154">
        <f>IF(CODE('Levantamento dutos'!$F154)=66,SUM($B154:$F154),0)</f>
        <v>0</v>
      </c>
      <c r="L154">
        <f>IF(CODE('Levantamento dutos'!$F154)=70,SUM($B154:$F154),0)</f>
        <v>0</v>
      </c>
      <c r="M154" s="59">
        <f>IF(CODE('Levantamento dutos'!$E154)=84,SUM($B154:$F154),0)</f>
        <v>0</v>
      </c>
      <c r="N154" s="60">
        <f>IF(CODE('Levantamento dutos'!$G154)=80,IF('Levantamento dutos'!$B154&lt;=200,('Levantamento dutos'!$D154/'Levantamento dutos'!$G$12*Calculos!$G154*2),0),0)</f>
        <v>0</v>
      </c>
      <c r="O154" s="60">
        <f>IF(CODE('Levantamento dutos'!$G154)=80,IF('Levantamento dutos'!$B154&gt;200,('Levantamento dutos'!$D154/'Levantamento dutos'!$G$12*Calculos!$G154*2),0),0)</f>
        <v>0</v>
      </c>
      <c r="P154" s="60">
        <f>IF(CODE('Levantamento dutos'!$G154)=67,('Levantamento dutos'!$D154/'Levantamento dutos'!$G$12*Calculos!$G154*2),0)</f>
        <v>0</v>
      </c>
      <c r="Q154" s="60">
        <f>IF(CODE('Levantamento dutos'!H154)=83,((('Levantamento dutos'!B154/100)+('Levantamento dutos'!$H$12/1000))+(('Levantamento dutos'!C154/100)+('Levantamento dutos'!$H$12)/1000))*2*'Levantamento dutos'!D154,0)</f>
        <v>0</v>
      </c>
      <c r="S154" s="60">
        <f>IF(CODE('Levantamento dutos'!$I154)=83,$Q154,0)</f>
        <v>0</v>
      </c>
      <c r="T154" s="60">
        <f>IF(CODE('Levantamento dutos'!$E154)=76,ROUND((('Levantamento dutos'!$D154/5)*(Calculos!$G154+0.2)*1.2),0),0)</f>
        <v>0</v>
      </c>
      <c r="U154" s="60">
        <f>IF(CODE('Levantamento dutos'!$E154)=73,ROUND((('Levantamento dutos'!$D154/0.5)*(Calculos!$G154+0.2)*1.2),0),0)</f>
        <v>0</v>
      </c>
      <c r="V154" s="60">
        <f>IF(CODE('Levantamento dutos'!$E154)=80,ROUND((('Levantamento dutos'!$D154/0.5)*(Calculos!$G154+0.2)*1.2),0),0)</f>
        <v>0</v>
      </c>
      <c r="W154" s="60">
        <f>IF(CODE('Levantamento dutos'!$E154)=76,'Levantamento dutos'!$D154/0.5*1.5,0)</f>
        <v>0</v>
      </c>
      <c r="X154" s="60">
        <f>IF(CODE('Levantamento dutos'!$E154)=73,'Levantamento dutos'!$D154/0.5*1.5,0)</f>
        <v>0</v>
      </c>
      <c r="Y154" s="60">
        <f>IF(CODE('Levantamento dutos'!$E154)=80,'Levantamento dutos'!$D154/0.5*1.5,0)</f>
        <v>0</v>
      </c>
      <c r="Z154" s="60">
        <f>IF(CODE('Levantamento dutos'!$E154)=76,ROUND(('Levantamento dutos'!$D154)+('Levantamento dutos'!$D154*Calculos!$G154*2)*1.1,0),0)</f>
        <v>0</v>
      </c>
      <c r="AA154" s="60">
        <f>IF(CODE('Levantamento dutos'!$G154)=80,('Levantamento dutos'!$D154/'Levantamento dutos'!$G$12)*8,0)</f>
        <v>0</v>
      </c>
      <c r="AB154" s="60">
        <f>IF(CODE('Levantamento dutos'!$G154)=80,IF('Levantamento dutos'!$B154&gt;30,('Levantamento dutos'!$D154/'Levantamento dutos'!$G$12)*4,0),0)</f>
        <v>0</v>
      </c>
      <c r="AC154" s="60">
        <f>IF('Levantamento dutos'!$B154&gt;220,('Levantamento dutos'!$D154/'Levantamento dutos'!$G$12*Calculos!$G154*2),0)</f>
        <v>0</v>
      </c>
      <c r="AD154" s="60">
        <f>IF(CODE('Levantamento dutos'!$E154)=73,((('Levantamento dutos'!$E$12/1000)+0.02)*'Levantamento dutos'!$D154)*4*1.3,0)</f>
        <v>0</v>
      </c>
      <c r="AE154" s="60">
        <f>IF(CODE('Levantamento dutos'!$E154)=80,((('Levantamento dutos'!$E$12/1000)+0.02)*'Levantamento dutos'!$D154)*4*1.3,0)</f>
        <v>0</v>
      </c>
    </row>
    <row r="155" spans="2:31" x14ac:dyDescent="0.2">
      <c r="B155" s="58">
        <f>IF('Levantamento dutos'!$B155&lt;=Calculos!$Z$3,((('Levantamento dutos'!$B155)/100+('Levantamento dutos'!$C155)/100)*2)*'Levantamento dutos'!$D155,0)</f>
        <v>0</v>
      </c>
      <c r="C155">
        <f>IF('Levantamento dutos'!$B155&gt;Calculos!$Z$3,IF('Levantamento dutos'!$B155&lt;=Calculos!$Z$4,((('Levantamento dutos'!$B155)/100+('Levantamento dutos'!$C155)/100)*2)*'Levantamento dutos'!$D155,0),0)</f>
        <v>0</v>
      </c>
      <c r="D155">
        <f>IF('Levantamento dutos'!$B155&gt;Calculos!$Z$4,IF('Levantamento dutos'!$B155&lt;=Calculos!$Z$5,((('Levantamento dutos'!$B155)/100+('Levantamento dutos'!$C155)/100)*2)*'Levantamento dutos'!$D155,0),0)</f>
        <v>0</v>
      </c>
      <c r="E155">
        <f>IF('Levantamento dutos'!$B155&gt;Calculos!$Z$5,IF('Levantamento dutos'!$B155&lt;=Calculos!$Z$6,((('Levantamento dutos'!$B155)/100+('Levantamento dutos'!$C155)/100)*2)*'Levantamento dutos'!$D155,0),0)</f>
        <v>0</v>
      </c>
      <c r="F155" s="59">
        <f>IF('Levantamento dutos'!$B155&gt;Calculos!$Z$7,((('Levantamento dutos'!$B155)/100+('Levantamento dutos'!$C155)/100)*2)*'Levantamento dutos'!$D155,0)</f>
        <v>0</v>
      </c>
      <c r="G155">
        <f>(('Levantamento dutos'!B155+'Levantamento dutos'!C155)/100)*2</f>
        <v>0</v>
      </c>
      <c r="H155" s="58">
        <f>IF(CODE('Levantamento dutos'!$E155)=76,SUM($B155:$F155),0)</f>
        <v>0</v>
      </c>
      <c r="I155">
        <f>IF(CODE('Levantamento dutos'!$E155)=73,SUM($B155:$F155),0)</f>
        <v>0</v>
      </c>
      <c r="J155">
        <f>IF(CODE('Levantamento dutos'!$E155)=80,SUM($B155:$F155),0)</f>
        <v>0</v>
      </c>
      <c r="K155">
        <f>IF(CODE('Levantamento dutos'!$F155)=66,SUM($B155:$F155),0)</f>
        <v>0</v>
      </c>
      <c r="L155">
        <f>IF(CODE('Levantamento dutos'!$F155)=70,SUM($B155:$F155),0)</f>
        <v>0</v>
      </c>
      <c r="M155" s="59">
        <f>IF(CODE('Levantamento dutos'!$E155)=84,SUM($B155:$F155),0)</f>
        <v>0</v>
      </c>
      <c r="N155" s="60">
        <f>IF(CODE('Levantamento dutos'!$G155)=80,IF('Levantamento dutos'!$B155&lt;=200,('Levantamento dutos'!$D155/'Levantamento dutos'!$G$12*Calculos!$G155*2),0),0)</f>
        <v>0</v>
      </c>
      <c r="O155" s="60">
        <f>IF(CODE('Levantamento dutos'!$G155)=80,IF('Levantamento dutos'!$B155&gt;200,('Levantamento dutos'!$D155/'Levantamento dutos'!$G$12*Calculos!$G155*2),0),0)</f>
        <v>0</v>
      </c>
      <c r="P155" s="60">
        <f>IF(CODE('Levantamento dutos'!$G155)=67,('Levantamento dutos'!$D155/'Levantamento dutos'!$G$12*Calculos!$G155*2),0)</f>
        <v>0</v>
      </c>
      <c r="Q155" s="60">
        <f>IF(CODE('Levantamento dutos'!H155)=83,((('Levantamento dutos'!B155/100)+('Levantamento dutos'!$H$12/1000))+(('Levantamento dutos'!C155/100)+('Levantamento dutos'!$H$12)/1000))*2*'Levantamento dutos'!D155,0)</f>
        <v>0</v>
      </c>
      <c r="S155" s="60">
        <f>IF(CODE('Levantamento dutos'!$I155)=83,$Q155,0)</f>
        <v>0</v>
      </c>
      <c r="T155" s="60">
        <f>IF(CODE('Levantamento dutos'!$E155)=76,ROUND((('Levantamento dutos'!$D155/5)*(Calculos!$G155+0.2)*1.2),0),0)</f>
        <v>0</v>
      </c>
      <c r="U155" s="60">
        <f>IF(CODE('Levantamento dutos'!$E155)=73,ROUND((('Levantamento dutos'!$D155/0.5)*(Calculos!$G155+0.2)*1.2),0),0)</f>
        <v>0</v>
      </c>
      <c r="V155" s="60">
        <f>IF(CODE('Levantamento dutos'!$E155)=80,ROUND((('Levantamento dutos'!$D155/0.5)*(Calculos!$G155+0.2)*1.2),0),0)</f>
        <v>0</v>
      </c>
      <c r="W155" s="60">
        <f>IF(CODE('Levantamento dutos'!$E155)=76,'Levantamento dutos'!$D155/0.5*1.5,0)</f>
        <v>0</v>
      </c>
      <c r="X155" s="60">
        <f>IF(CODE('Levantamento dutos'!$E155)=73,'Levantamento dutos'!$D155/0.5*1.5,0)</f>
        <v>0</v>
      </c>
      <c r="Y155" s="60">
        <f>IF(CODE('Levantamento dutos'!$E155)=80,'Levantamento dutos'!$D155/0.5*1.5,0)</f>
        <v>0</v>
      </c>
      <c r="Z155" s="60">
        <f>IF(CODE('Levantamento dutos'!$E155)=76,ROUND(('Levantamento dutos'!$D155)+('Levantamento dutos'!$D155*Calculos!$G155*2)*1.1,0),0)</f>
        <v>0</v>
      </c>
      <c r="AA155" s="60">
        <f>IF(CODE('Levantamento dutos'!$G155)=80,('Levantamento dutos'!$D155/'Levantamento dutos'!$G$12)*8,0)</f>
        <v>0</v>
      </c>
      <c r="AB155" s="60">
        <f>IF(CODE('Levantamento dutos'!$G155)=80,IF('Levantamento dutos'!$B155&gt;30,('Levantamento dutos'!$D155/'Levantamento dutos'!$G$12)*4,0),0)</f>
        <v>0</v>
      </c>
      <c r="AC155" s="60">
        <f>IF('Levantamento dutos'!$B155&gt;220,('Levantamento dutos'!$D155/'Levantamento dutos'!$G$12*Calculos!$G155*2),0)</f>
        <v>0</v>
      </c>
      <c r="AD155" s="60">
        <f>IF(CODE('Levantamento dutos'!$E155)=73,((('Levantamento dutos'!$E$12/1000)+0.02)*'Levantamento dutos'!$D155)*4*1.3,0)</f>
        <v>0</v>
      </c>
      <c r="AE155" s="60">
        <f>IF(CODE('Levantamento dutos'!$E155)=80,((('Levantamento dutos'!$E$12/1000)+0.02)*'Levantamento dutos'!$D155)*4*1.3,0)</f>
        <v>0</v>
      </c>
    </row>
    <row r="156" spans="2:31" x14ac:dyDescent="0.2">
      <c r="B156" s="58">
        <f>IF('Levantamento dutos'!$B156&lt;=Calculos!$Z$3,((('Levantamento dutos'!$B156)/100+('Levantamento dutos'!$C156)/100)*2)*'Levantamento dutos'!$D156,0)</f>
        <v>0</v>
      </c>
      <c r="C156">
        <f>IF('Levantamento dutos'!$B156&gt;Calculos!$Z$3,IF('Levantamento dutos'!$B156&lt;=Calculos!$Z$4,((('Levantamento dutos'!$B156)/100+('Levantamento dutos'!$C156)/100)*2)*'Levantamento dutos'!$D156,0),0)</f>
        <v>0</v>
      </c>
      <c r="D156">
        <f>IF('Levantamento dutos'!$B156&gt;Calculos!$Z$4,IF('Levantamento dutos'!$B156&lt;=Calculos!$Z$5,((('Levantamento dutos'!$B156)/100+('Levantamento dutos'!$C156)/100)*2)*'Levantamento dutos'!$D156,0),0)</f>
        <v>0</v>
      </c>
      <c r="E156">
        <f>IF('Levantamento dutos'!$B156&gt;Calculos!$Z$5,IF('Levantamento dutos'!$B156&lt;=Calculos!$Z$6,((('Levantamento dutos'!$B156)/100+('Levantamento dutos'!$C156)/100)*2)*'Levantamento dutos'!$D156,0),0)</f>
        <v>0</v>
      </c>
      <c r="F156" s="59">
        <f>IF('Levantamento dutos'!$B156&gt;Calculos!$Z$7,((('Levantamento dutos'!$B156)/100+('Levantamento dutos'!$C156)/100)*2)*'Levantamento dutos'!$D156,0)</f>
        <v>0</v>
      </c>
      <c r="G156">
        <f>(('Levantamento dutos'!B156+'Levantamento dutos'!C156)/100)*2</f>
        <v>0</v>
      </c>
      <c r="H156" s="58">
        <f>IF(CODE('Levantamento dutos'!$E156)=76,SUM($B156:$F156),0)</f>
        <v>0</v>
      </c>
      <c r="I156">
        <f>IF(CODE('Levantamento dutos'!$E156)=73,SUM($B156:$F156),0)</f>
        <v>0</v>
      </c>
      <c r="J156">
        <f>IF(CODE('Levantamento dutos'!$E156)=80,SUM($B156:$F156),0)</f>
        <v>0</v>
      </c>
      <c r="K156">
        <f>IF(CODE('Levantamento dutos'!$F156)=66,SUM($B156:$F156),0)</f>
        <v>0</v>
      </c>
      <c r="L156">
        <f>IF(CODE('Levantamento dutos'!$F156)=70,SUM($B156:$F156),0)</f>
        <v>0</v>
      </c>
      <c r="M156" s="59">
        <f>IF(CODE('Levantamento dutos'!$E156)=84,SUM($B156:$F156),0)</f>
        <v>0</v>
      </c>
      <c r="N156" s="60">
        <f>IF(CODE('Levantamento dutos'!$G156)=80,IF('Levantamento dutos'!$B156&lt;=200,('Levantamento dutos'!$D156/'Levantamento dutos'!$G$12*Calculos!$G156*2),0),0)</f>
        <v>0</v>
      </c>
      <c r="O156" s="60">
        <f>IF(CODE('Levantamento dutos'!$G156)=80,IF('Levantamento dutos'!$B156&gt;200,('Levantamento dutos'!$D156/'Levantamento dutos'!$G$12*Calculos!$G156*2),0),0)</f>
        <v>0</v>
      </c>
      <c r="P156" s="60">
        <f>IF(CODE('Levantamento dutos'!$G156)=67,('Levantamento dutos'!$D156/'Levantamento dutos'!$G$12*Calculos!$G156*2),0)</f>
        <v>0</v>
      </c>
      <c r="Q156" s="60">
        <f>IF(CODE('Levantamento dutos'!H156)=83,((('Levantamento dutos'!B156/100)+('Levantamento dutos'!$H$12/1000))+(('Levantamento dutos'!C156/100)+('Levantamento dutos'!$H$12)/1000))*2*'Levantamento dutos'!D156,0)</f>
        <v>0</v>
      </c>
      <c r="S156" s="60">
        <f>IF(CODE('Levantamento dutos'!$I156)=83,$Q156,0)</f>
        <v>0</v>
      </c>
      <c r="T156" s="60">
        <f>IF(CODE('Levantamento dutos'!$E156)=76,ROUND((('Levantamento dutos'!$D156/5)*(Calculos!$G156+0.2)*1.2),0),0)</f>
        <v>0</v>
      </c>
      <c r="U156" s="60">
        <f>IF(CODE('Levantamento dutos'!$E156)=73,ROUND((('Levantamento dutos'!$D156/0.5)*(Calculos!$G156+0.2)*1.2),0),0)</f>
        <v>0</v>
      </c>
      <c r="V156" s="60">
        <f>IF(CODE('Levantamento dutos'!$E156)=80,ROUND((('Levantamento dutos'!$D156/0.5)*(Calculos!$G156+0.2)*1.2),0),0)</f>
        <v>0</v>
      </c>
      <c r="W156" s="60">
        <f>IF(CODE('Levantamento dutos'!$E156)=76,'Levantamento dutos'!$D156/0.5*1.5,0)</f>
        <v>0</v>
      </c>
      <c r="X156" s="60">
        <f>IF(CODE('Levantamento dutos'!$E156)=73,'Levantamento dutos'!$D156/0.5*1.5,0)</f>
        <v>0</v>
      </c>
      <c r="Y156" s="60">
        <f>IF(CODE('Levantamento dutos'!$E156)=80,'Levantamento dutos'!$D156/0.5*1.5,0)</f>
        <v>0</v>
      </c>
      <c r="Z156" s="60">
        <f>IF(CODE('Levantamento dutos'!$E156)=76,ROUND(('Levantamento dutos'!$D156)+('Levantamento dutos'!$D156*Calculos!$G156*2)*1.1,0),0)</f>
        <v>0</v>
      </c>
      <c r="AA156" s="60">
        <f>IF(CODE('Levantamento dutos'!$G156)=80,('Levantamento dutos'!$D156/'Levantamento dutos'!$G$12)*8,0)</f>
        <v>0</v>
      </c>
      <c r="AB156" s="60">
        <f>IF(CODE('Levantamento dutos'!$G156)=80,IF('Levantamento dutos'!$B156&gt;30,('Levantamento dutos'!$D156/'Levantamento dutos'!$G$12)*4,0),0)</f>
        <v>0</v>
      </c>
      <c r="AC156" s="60">
        <f>IF('Levantamento dutos'!$B156&gt;220,('Levantamento dutos'!$D156/'Levantamento dutos'!$G$12*Calculos!$G156*2),0)</f>
        <v>0</v>
      </c>
      <c r="AD156" s="60">
        <f>IF(CODE('Levantamento dutos'!$E156)=73,((('Levantamento dutos'!$E$12/1000)+0.02)*'Levantamento dutos'!$D156)*4*1.3,0)</f>
        <v>0</v>
      </c>
      <c r="AE156" s="60">
        <f>IF(CODE('Levantamento dutos'!$E156)=80,((('Levantamento dutos'!$E$12/1000)+0.02)*'Levantamento dutos'!$D156)*4*1.3,0)</f>
        <v>0</v>
      </c>
    </row>
    <row r="157" spans="2:31" x14ac:dyDescent="0.2">
      <c r="B157" s="58">
        <f>IF('Levantamento dutos'!$B157&lt;=Calculos!$Z$3,((('Levantamento dutos'!$B157)/100+('Levantamento dutos'!$C157)/100)*2)*'Levantamento dutos'!$D157,0)</f>
        <v>0</v>
      </c>
      <c r="C157">
        <f>IF('Levantamento dutos'!$B157&gt;Calculos!$Z$3,IF('Levantamento dutos'!$B157&lt;=Calculos!$Z$4,((('Levantamento dutos'!$B157)/100+('Levantamento dutos'!$C157)/100)*2)*'Levantamento dutos'!$D157,0),0)</f>
        <v>0</v>
      </c>
      <c r="D157">
        <f>IF('Levantamento dutos'!$B157&gt;Calculos!$Z$4,IF('Levantamento dutos'!$B157&lt;=Calculos!$Z$5,((('Levantamento dutos'!$B157)/100+('Levantamento dutos'!$C157)/100)*2)*'Levantamento dutos'!$D157,0),0)</f>
        <v>0</v>
      </c>
      <c r="E157">
        <f>IF('Levantamento dutos'!$B157&gt;Calculos!$Z$5,IF('Levantamento dutos'!$B157&lt;=Calculos!$Z$6,((('Levantamento dutos'!$B157)/100+('Levantamento dutos'!$C157)/100)*2)*'Levantamento dutos'!$D157,0),0)</f>
        <v>0</v>
      </c>
      <c r="F157" s="59">
        <f>IF('Levantamento dutos'!$B157&gt;Calculos!$Z$7,((('Levantamento dutos'!$B157)/100+('Levantamento dutos'!$C157)/100)*2)*'Levantamento dutos'!$D157,0)</f>
        <v>0</v>
      </c>
      <c r="G157">
        <f>(('Levantamento dutos'!B157+'Levantamento dutos'!C157)/100)*2</f>
        <v>0</v>
      </c>
      <c r="H157" s="58">
        <f>IF(CODE('Levantamento dutos'!$E157)=76,SUM($B157:$F157),0)</f>
        <v>0</v>
      </c>
      <c r="I157">
        <f>IF(CODE('Levantamento dutos'!$E157)=73,SUM($B157:$F157),0)</f>
        <v>0</v>
      </c>
      <c r="J157">
        <f>IF(CODE('Levantamento dutos'!$E157)=80,SUM($B157:$F157),0)</f>
        <v>0</v>
      </c>
      <c r="K157">
        <f>IF(CODE('Levantamento dutos'!$F157)=66,SUM($B157:$F157),0)</f>
        <v>0</v>
      </c>
      <c r="L157">
        <f>IF(CODE('Levantamento dutos'!$F157)=70,SUM($B157:$F157),0)</f>
        <v>0</v>
      </c>
      <c r="M157" s="59">
        <f>IF(CODE('Levantamento dutos'!$E157)=84,SUM($B157:$F157),0)</f>
        <v>0</v>
      </c>
      <c r="N157" s="60">
        <f>IF(CODE('Levantamento dutos'!$G157)=80,IF('Levantamento dutos'!$B157&lt;=200,('Levantamento dutos'!$D157/'Levantamento dutos'!$G$12*Calculos!$G157*2),0),0)</f>
        <v>0</v>
      </c>
      <c r="O157" s="60">
        <f>IF(CODE('Levantamento dutos'!$G157)=80,IF('Levantamento dutos'!$B157&gt;200,('Levantamento dutos'!$D157/'Levantamento dutos'!$G$12*Calculos!$G157*2),0),0)</f>
        <v>0</v>
      </c>
      <c r="P157" s="60">
        <f>IF(CODE('Levantamento dutos'!$G157)=67,('Levantamento dutos'!$D157/'Levantamento dutos'!$G$12*Calculos!$G157*2),0)</f>
        <v>0</v>
      </c>
      <c r="Q157" s="60">
        <f>IF(CODE('Levantamento dutos'!H157)=83,((('Levantamento dutos'!B157/100)+('Levantamento dutos'!$H$12/1000))+(('Levantamento dutos'!C157/100)+('Levantamento dutos'!$H$12)/1000))*2*'Levantamento dutos'!D157,0)</f>
        <v>0</v>
      </c>
      <c r="S157" s="60">
        <f>IF(CODE('Levantamento dutos'!$I157)=83,$Q157,0)</f>
        <v>0</v>
      </c>
      <c r="T157" s="60">
        <f>IF(CODE('Levantamento dutos'!$E157)=76,ROUND((('Levantamento dutos'!$D157/5)*(Calculos!$G157+0.2)*1.2),0),0)</f>
        <v>0</v>
      </c>
      <c r="U157" s="60">
        <f>IF(CODE('Levantamento dutos'!$E157)=73,ROUND((('Levantamento dutos'!$D157/0.5)*(Calculos!$G157+0.2)*1.2),0),0)</f>
        <v>0</v>
      </c>
      <c r="V157" s="60">
        <f>IF(CODE('Levantamento dutos'!$E157)=80,ROUND((('Levantamento dutos'!$D157/0.5)*(Calculos!$G157+0.2)*1.2),0),0)</f>
        <v>0</v>
      </c>
      <c r="W157" s="60">
        <f>IF(CODE('Levantamento dutos'!$E157)=76,'Levantamento dutos'!$D157/0.5*1.5,0)</f>
        <v>0</v>
      </c>
      <c r="X157" s="60">
        <f>IF(CODE('Levantamento dutos'!$E157)=73,'Levantamento dutos'!$D157/0.5*1.5,0)</f>
        <v>0</v>
      </c>
      <c r="Y157" s="60">
        <f>IF(CODE('Levantamento dutos'!$E157)=80,'Levantamento dutos'!$D157/0.5*1.5,0)</f>
        <v>0</v>
      </c>
      <c r="Z157" s="60">
        <f>IF(CODE('Levantamento dutos'!$E157)=76,ROUND(('Levantamento dutos'!$D157)+('Levantamento dutos'!$D157*Calculos!$G157*2)*1.1,0),0)</f>
        <v>0</v>
      </c>
      <c r="AA157" s="60">
        <f>IF(CODE('Levantamento dutos'!$G157)=80,('Levantamento dutos'!$D157/'Levantamento dutos'!$G$12)*8,0)</f>
        <v>0</v>
      </c>
      <c r="AB157" s="60">
        <f>IF(CODE('Levantamento dutos'!$G157)=80,IF('Levantamento dutos'!$B157&gt;30,('Levantamento dutos'!$D157/'Levantamento dutos'!$G$12)*4,0),0)</f>
        <v>0</v>
      </c>
      <c r="AC157" s="60">
        <f>IF('Levantamento dutos'!$B157&gt;220,('Levantamento dutos'!$D157/'Levantamento dutos'!$G$12*Calculos!$G157*2),0)</f>
        <v>0</v>
      </c>
      <c r="AD157" s="60">
        <f>IF(CODE('Levantamento dutos'!$E157)=73,((('Levantamento dutos'!$E$12/1000)+0.02)*'Levantamento dutos'!$D157)*4*1.3,0)</f>
        <v>0</v>
      </c>
      <c r="AE157" s="60">
        <f>IF(CODE('Levantamento dutos'!$E157)=80,((('Levantamento dutos'!$E$12/1000)+0.02)*'Levantamento dutos'!$D157)*4*1.3,0)</f>
        <v>0</v>
      </c>
    </row>
    <row r="158" spans="2:31" x14ac:dyDescent="0.2">
      <c r="B158" s="58">
        <f>IF('Levantamento dutos'!$B158&lt;=Calculos!$Z$3,((('Levantamento dutos'!$B158)/100+('Levantamento dutos'!$C158)/100)*2)*'Levantamento dutos'!$D158,0)</f>
        <v>0</v>
      </c>
      <c r="C158">
        <f>IF('Levantamento dutos'!$B158&gt;Calculos!$Z$3,IF('Levantamento dutos'!$B158&lt;=Calculos!$Z$4,((('Levantamento dutos'!$B158)/100+('Levantamento dutos'!$C158)/100)*2)*'Levantamento dutos'!$D158,0),0)</f>
        <v>0</v>
      </c>
      <c r="D158">
        <f>IF('Levantamento dutos'!$B158&gt;Calculos!$Z$4,IF('Levantamento dutos'!$B158&lt;=Calculos!$Z$5,((('Levantamento dutos'!$B158)/100+('Levantamento dutos'!$C158)/100)*2)*'Levantamento dutos'!$D158,0),0)</f>
        <v>0</v>
      </c>
      <c r="E158">
        <f>IF('Levantamento dutos'!$B158&gt;Calculos!$Z$5,IF('Levantamento dutos'!$B158&lt;=Calculos!$Z$6,((('Levantamento dutos'!$B158)/100+('Levantamento dutos'!$C158)/100)*2)*'Levantamento dutos'!$D158,0),0)</f>
        <v>0</v>
      </c>
      <c r="F158" s="59">
        <f>IF('Levantamento dutos'!$B158&gt;Calculos!$Z$7,((('Levantamento dutos'!$B158)/100+('Levantamento dutos'!$C158)/100)*2)*'Levantamento dutos'!$D158,0)</f>
        <v>0</v>
      </c>
      <c r="G158">
        <f>(('Levantamento dutos'!B158+'Levantamento dutos'!C158)/100)*2</f>
        <v>0</v>
      </c>
      <c r="H158" s="58">
        <f>IF(CODE('Levantamento dutos'!$E158)=76,SUM($B158:$F158),0)</f>
        <v>0</v>
      </c>
      <c r="I158">
        <f>IF(CODE('Levantamento dutos'!$E158)=73,SUM($B158:$F158),0)</f>
        <v>0</v>
      </c>
      <c r="J158">
        <f>IF(CODE('Levantamento dutos'!$E158)=80,SUM($B158:$F158),0)</f>
        <v>0</v>
      </c>
      <c r="K158">
        <f>IF(CODE('Levantamento dutos'!$F158)=66,SUM($B158:$F158),0)</f>
        <v>0</v>
      </c>
      <c r="L158">
        <f>IF(CODE('Levantamento dutos'!$F158)=70,SUM($B158:$F158),0)</f>
        <v>0</v>
      </c>
      <c r="M158" s="59">
        <f>IF(CODE('Levantamento dutos'!$E158)=84,SUM($B158:$F158),0)</f>
        <v>0</v>
      </c>
      <c r="N158" s="60">
        <f>IF(CODE('Levantamento dutos'!$G158)=80,IF('Levantamento dutos'!$B158&lt;=200,('Levantamento dutos'!$D158/'Levantamento dutos'!$G$12*Calculos!$G158*2),0),0)</f>
        <v>0</v>
      </c>
      <c r="O158" s="60">
        <f>IF(CODE('Levantamento dutos'!$G158)=80,IF('Levantamento dutos'!$B158&gt;200,('Levantamento dutos'!$D158/'Levantamento dutos'!$G$12*Calculos!$G158*2),0),0)</f>
        <v>0</v>
      </c>
      <c r="P158" s="60">
        <f>IF(CODE('Levantamento dutos'!$G158)=67,('Levantamento dutos'!$D158/'Levantamento dutos'!$G$12*Calculos!$G158*2),0)</f>
        <v>0</v>
      </c>
      <c r="Q158" s="60">
        <f>IF(CODE('Levantamento dutos'!H158)=83,((('Levantamento dutos'!B158/100)+('Levantamento dutos'!$H$12/1000))+(('Levantamento dutos'!C158/100)+('Levantamento dutos'!$H$12)/1000))*2*'Levantamento dutos'!D158,0)</f>
        <v>0</v>
      </c>
      <c r="S158" s="60">
        <f>IF(CODE('Levantamento dutos'!$I158)=83,$Q158,0)</f>
        <v>0</v>
      </c>
      <c r="T158" s="60">
        <f>IF(CODE('Levantamento dutos'!$E158)=76,ROUND((('Levantamento dutos'!$D158/5)*(Calculos!$G158+0.2)*1.2),0),0)</f>
        <v>0</v>
      </c>
      <c r="U158" s="60">
        <f>IF(CODE('Levantamento dutos'!$E158)=73,ROUND((('Levantamento dutos'!$D158/0.5)*(Calculos!$G158+0.2)*1.2),0),0)</f>
        <v>0</v>
      </c>
      <c r="V158" s="60">
        <f>IF(CODE('Levantamento dutos'!$E158)=80,ROUND((('Levantamento dutos'!$D158/0.5)*(Calculos!$G158+0.2)*1.2),0),0)</f>
        <v>0</v>
      </c>
      <c r="W158" s="60">
        <f>IF(CODE('Levantamento dutos'!$E158)=76,'Levantamento dutos'!$D158/0.5*1.5,0)</f>
        <v>0</v>
      </c>
      <c r="X158" s="60">
        <f>IF(CODE('Levantamento dutos'!$E158)=73,'Levantamento dutos'!$D158/0.5*1.5,0)</f>
        <v>0</v>
      </c>
      <c r="Y158" s="60">
        <f>IF(CODE('Levantamento dutos'!$E158)=80,'Levantamento dutos'!$D158/0.5*1.5,0)</f>
        <v>0</v>
      </c>
      <c r="Z158" s="60">
        <f>IF(CODE('Levantamento dutos'!$E158)=76,ROUND(('Levantamento dutos'!$D158)+('Levantamento dutos'!$D158*Calculos!$G158*2)*1.1,0),0)</f>
        <v>0</v>
      </c>
      <c r="AA158" s="60">
        <f>IF(CODE('Levantamento dutos'!$G158)=80,('Levantamento dutos'!$D158/'Levantamento dutos'!$G$12)*8,0)</f>
        <v>0</v>
      </c>
      <c r="AB158" s="60">
        <f>IF(CODE('Levantamento dutos'!$G158)=80,IF('Levantamento dutos'!$B158&gt;30,('Levantamento dutos'!$D158/'Levantamento dutos'!$G$12)*4,0),0)</f>
        <v>0</v>
      </c>
      <c r="AC158" s="60">
        <f>IF('Levantamento dutos'!$B158&gt;220,('Levantamento dutos'!$D158/'Levantamento dutos'!$G$12*Calculos!$G158*2),0)</f>
        <v>0</v>
      </c>
      <c r="AD158" s="60">
        <f>IF(CODE('Levantamento dutos'!$E158)=73,((('Levantamento dutos'!$E$12/1000)+0.02)*'Levantamento dutos'!$D158)*4*1.3,0)</f>
        <v>0</v>
      </c>
      <c r="AE158" s="60">
        <f>IF(CODE('Levantamento dutos'!$E158)=80,((('Levantamento dutos'!$E$12/1000)+0.02)*'Levantamento dutos'!$D158)*4*1.3,0)</f>
        <v>0</v>
      </c>
    </row>
    <row r="159" spans="2:31" x14ac:dyDescent="0.2">
      <c r="B159" s="58">
        <f>IF('Levantamento dutos'!$B159&lt;=Calculos!$Z$3,((('Levantamento dutos'!$B159)/100+('Levantamento dutos'!$C159)/100)*2)*'Levantamento dutos'!$D159,0)</f>
        <v>0</v>
      </c>
      <c r="C159">
        <f>IF('Levantamento dutos'!$B159&gt;Calculos!$Z$3,IF('Levantamento dutos'!$B159&lt;=Calculos!$Z$4,((('Levantamento dutos'!$B159)/100+('Levantamento dutos'!$C159)/100)*2)*'Levantamento dutos'!$D159,0),0)</f>
        <v>0</v>
      </c>
      <c r="D159">
        <f>IF('Levantamento dutos'!$B159&gt;Calculos!$Z$4,IF('Levantamento dutos'!$B159&lt;=Calculos!$Z$5,((('Levantamento dutos'!$B159)/100+('Levantamento dutos'!$C159)/100)*2)*'Levantamento dutos'!$D159,0),0)</f>
        <v>0</v>
      </c>
      <c r="E159">
        <f>IF('Levantamento dutos'!$B159&gt;Calculos!$Z$5,IF('Levantamento dutos'!$B159&lt;=Calculos!$Z$6,((('Levantamento dutos'!$B159)/100+('Levantamento dutos'!$C159)/100)*2)*'Levantamento dutos'!$D159,0),0)</f>
        <v>0</v>
      </c>
      <c r="F159" s="59">
        <f>IF('Levantamento dutos'!$B159&gt;Calculos!$Z$7,((('Levantamento dutos'!$B159)/100+('Levantamento dutos'!$C159)/100)*2)*'Levantamento dutos'!$D159,0)</f>
        <v>0</v>
      </c>
      <c r="G159">
        <f>(('Levantamento dutos'!B159+'Levantamento dutos'!C159)/100)*2</f>
        <v>0</v>
      </c>
      <c r="H159" s="58">
        <f>IF(CODE('Levantamento dutos'!$E159)=76,SUM($B159:$F159),0)</f>
        <v>0</v>
      </c>
      <c r="I159">
        <f>IF(CODE('Levantamento dutos'!$E159)=73,SUM($B159:$F159),0)</f>
        <v>0</v>
      </c>
      <c r="J159">
        <f>IF(CODE('Levantamento dutos'!$E159)=80,SUM($B159:$F159),0)</f>
        <v>0</v>
      </c>
      <c r="K159">
        <f>IF(CODE('Levantamento dutos'!$F159)=66,SUM($B159:$F159),0)</f>
        <v>0</v>
      </c>
      <c r="L159">
        <f>IF(CODE('Levantamento dutos'!$F159)=70,SUM($B159:$F159),0)</f>
        <v>0</v>
      </c>
      <c r="M159" s="59">
        <f>IF(CODE('Levantamento dutos'!$E159)=84,SUM($B159:$F159),0)</f>
        <v>0</v>
      </c>
      <c r="N159" s="60">
        <f>IF(CODE('Levantamento dutos'!$G159)=80,IF('Levantamento dutos'!$B159&lt;=200,('Levantamento dutos'!$D159/'Levantamento dutos'!$G$12*Calculos!$G159*2),0),0)</f>
        <v>0</v>
      </c>
      <c r="O159" s="60">
        <f>IF(CODE('Levantamento dutos'!$G159)=80,IF('Levantamento dutos'!$B159&gt;200,('Levantamento dutos'!$D159/'Levantamento dutos'!$G$12*Calculos!$G159*2),0),0)</f>
        <v>0</v>
      </c>
      <c r="P159" s="60">
        <f>IF(CODE('Levantamento dutos'!$G159)=67,('Levantamento dutos'!$D159/'Levantamento dutos'!$G$12*Calculos!$G159*2),0)</f>
        <v>0</v>
      </c>
      <c r="Q159" s="60">
        <f>IF(CODE('Levantamento dutos'!H159)=83,((('Levantamento dutos'!B159/100)+('Levantamento dutos'!$H$12/1000))+(('Levantamento dutos'!C159/100)+('Levantamento dutos'!$H$12)/1000))*2*'Levantamento dutos'!D159,0)</f>
        <v>0</v>
      </c>
      <c r="S159" s="60">
        <f>IF(CODE('Levantamento dutos'!$I159)=83,$Q159,0)</f>
        <v>0</v>
      </c>
      <c r="T159" s="60">
        <f>IF(CODE('Levantamento dutos'!$E159)=76,ROUND((('Levantamento dutos'!$D159/5)*(Calculos!$G159+0.2)*1.2),0),0)</f>
        <v>0</v>
      </c>
      <c r="U159" s="60">
        <f>IF(CODE('Levantamento dutos'!$E159)=73,ROUND((('Levantamento dutos'!$D159/0.5)*(Calculos!$G159+0.2)*1.2),0),0)</f>
        <v>0</v>
      </c>
      <c r="V159" s="60">
        <f>IF(CODE('Levantamento dutos'!$E159)=80,ROUND((('Levantamento dutos'!$D159/0.5)*(Calculos!$G159+0.2)*1.2),0),0)</f>
        <v>0</v>
      </c>
      <c r="W159" s="60">
        <f>IF(CODE('Levantamento dutos'!$E159)=76,'Levantamento dutos'!$D159/0.5*1.5,0)</f>
        <v>0</v>
      </c>
      <c r="X159" s="60">
        <f>IF(CODE('Levantamento dutos'!$E159)=73,'Levantamento dutos'!$D159/0.5*1.5,0)</f>
        <v>0</v>
      </c>
      <c r="Y159" s="60">
        <f>IF(CODE('Levantamento dutos'!$E159)=80,'Levantamento dutos'!$D159/0.5*1.5,0)</f>
        <v>0</v>
      </c>
      <c r="Z159" s="60">
        <f>IF(CODE('Levantamento dutos'!$E159)=76,ROUND(('Levantamento dutos'!$D159)+('Levantamento dutos'!$D159*Calculos!$G159*2)*1.1,0),0)</f>
        <v>0</v>
      </c>
      <c r="AA159" s="60">
        <f>IF(CODE('Levantamento dutos'!$G159)=80,('Levantamento dutos'!$D159/'Levantamento dutos'!$G$12)*8,0)</f>
        <v>0</v>
      </c>
      <c r="AB159" s="60">
        <f>IF(CODE('Levantamento dutos'!$G159)=80,IF('Levantamento dutos'!$B159&gt;30,('Levantamento dutos'!$D159/'Levantamento dutos'!$G$12)*4,0),0)</f>
        <v>0</v>
      </c>
      <c r="AC159" s="60">
        <f>IF('Levantamento dutos'!$B159&gt;220,('Levantamento dutos'!$D159/'Levantamento dutos'!$G$12*Calculos!$G159*2),0)</f>
        <v>0</v>
      </c>
      <c r="AD159" s="60">
        <f>IF(CODE('Levantamento dutos'!$E159)=73,((('Levantamento dutos'!$E$12/1000)+0.02)*'Levantamento dutos'!$D159)*4*1.3,0)</f>
        <v>0</v>
      </c>
      <c r="AE159" s="60">
        <f>IF(CODE('Levantamento dutos'!$E159)=80,((('Levantamento dutos'!$E$12/1000)+0.02)*'Levantamento dutos'!$D159)*4*1.3,0)</f>
        <v>0</v>
      </c>
    </row>
    <row r="160" spans="2:31" x14ac:dyDescent="0.2">
      <c r="B160" s="58">
        <f>IF('Levantamento dutos'!$B160&lt;=Calculos!$Z$3,((('Levantamento dutos'!$B160)/100+('Levantamento dutos'!$C160)/100)*2)*'Levantamento dutos'!$D160,0)</f>
        <v>0</v>
      </c>
      <c r="C160">
        <f>IF('Levantamento dutos'!$B160&gt;Calculos!$Z$3,IF('Levantamento dutos'!$B160&lt;=Calculos!$Z$4,((('Levantamento dutos'!$B160)/100+('Levantamento dutos'!$C160)/100)*2)*'Levantamento dutos'!$D160,0),0)</f>
        <v>0</v>
      </c>
      <c r="D160">
        <f>IF('Levantamento dutos'!$B160&gt;Calculos!$Z$4,IF('Levantamento dutos'!$B160&lt;=Calculos!$Z$5,((('Levantamento dutos'!$B160)/100+('Levantamento dutos'!$C160)/100)*2)*'Levantamento dutos'!$D160,0),0)</f>
        <v>0</v>
      </c>
      <c r="E160">
        <f>IF('Levantamento dutos'!$B160&gt;Calculos!$Z$5,IF('Levantamento dutos'!$B160&lt;=Calculos!$Z$6,((('Levantamento dutos'!$B160)/100+('Levantamento dutos'!$C160)/100)*2)*'Levantamento dutos'!$D160,0),0)</f>
        <v>0</v>
      </c>
      <c r="F160" s="59">
        <f>IF('Levantamento dutos'!$B160&gt;Calculos!$Z$7,((('Levantamento dutos'!$B160)/100+('Levantamento dutos'!$C160)/100)*2)*'Levantamento dutos'!$D160,0)</f>
        <v>0</v>
      </c>
      <c r="G160">
        <f>(('Levantamento dutos'!B160+'Levantamento dutos'!C160)/100)*2</f>
        <v>0</v>
      </c>
      <c r="H160" s="58">
        <f>IF(CODE('Levantamento dutos'!$E160)=76,SUM($B160:$F160),0)</f>
        <v>0</v>
      </c>
      <c r="I160">
        <f>IF(CODE('Levantamento dutos'!$E160)=73,SUM($B160:$F160),0)</f>
        <v>0</v>
      </c>
      <c r="J160">
        <f>IF(CODE('Levantamento dutos'!$E160)=80,SUM($B160:$F160),0)</f>
        <v>0</v>
      </c>
      <c r="K160">
        <f>IF(CODE('Levantamento dutos'!$F160)=66,SUM($B160:$F160),0)</f>
        <v>0</v>
      </c>
      <c r="L160">
        <f>IF(CODE('Levantamento dutos'!$F160)=70,SUM($B160:$F160),0)</f>
        <v>0</v>
      </c>
      <c r="M160" s="59">
        <f>IF(CODE('Levantamento dutos'!$E160)=84,SUM($B160:$F160),0)</f>
        <v>0</v>
      </c>
      <c r="N160" s="60">
        <f>IF(CODE('Levantamento dutos'!$G160)=80,IF('Levantamento dutos'!$B160&lt;=200,('Levantamento dutos'!$D160/'Levantamento dutos'!$G$12*Calculos!$G160*2),0),0)</f>
        <v>0</v>
      </c>
      <c r="O160" s="60">
        <f>IF(CODE('Levantamento dutos'!$G160)=80,IF('Levantamento dutos'!$B160&gt;200,('Levantamento dutos'!$D160/'Levantamento dutos'!$G$12*Calculos!$G160*2),0),0)</f>
        <v>0</v>
      </c>
      <c r="P160" s="60">
        <f>IF(CODE('Levantamento dutos'!$G160)=67,('Levantamento dutos'!$D160/'Levantamento dutos'!$G$12*Calculos!$G160*2),0)</f>
        <v>0</v>
      </c>
      <c r="Q160" s="60">
        <f>IF(CODE('Levantamento dutos'!H160)=83,((('Levantamento dutos'!B160/100)+('Levantamento dutos'!$H$12/1000))+(('Levantamento dutos'!C160/100)+('Levantamento dutos'!$H$12)/1000))*2*'Levantamento dutos'!D160,0)</f>
        <v>0</v>
      </c>
      <c r="S160" s="60">
        <f>IF(CODE('Levantamento dutos'!$I160)=83,$Q160,0)</f>
        <v>0</v>
      </c>
      <c r="T160" s="60">
        <f>IF(CODE('Levantamento dutos'!$E160)=76,ROUND((('Levantamento dutos'!$D160/5)*(Calculos!$G160+0.2)*1.2),0),0)</f>
        <v>0</v>
      </c>
      <c r="U160" s="60">
        <f>IF(CODE('Levantamento dutos'!$E160)=73,ROUND((('Levantamento dutos'!$D160/0.5)*(Calculos!$G160+0.2)*1.2),0),0)</f>
        <v>0</v>
      </c>
      <c r="V160" s="60">
        <f>IF(CODE('Levantamento dutos'!$E160)=80,ROUND((('Levantamento dutos'!$D160/0.5)*(Calculos!$G160+0.2)*1.2),0),0)</f>
        <v>0</v>
      </c>
      <c r="W160" s="60">
        <f>IF(CODE('Levantamento dutos'!$E160)=76,'Levantamento dutos'!$D160/0.5*1.5,0)</f>
        <v>0</v>
      </c>
      <c r="X160" s="60">
        <f>IF(CODE('Levantamento dutos'!$E160)=73,'Levantamento dutos'!$D160/0.5*1.5,0)</f>
        <v>0</v>
      </c>
      <c r="Y160" s="60">
        <f>IF(CODE('Levantamento dutos'!$E160)=80,'Levantamento dutos'!$D160/0.5*1.5,0)</f>
        <v>0</v>
      </c>
      <c r="Z160" s="60">
        <f>IF(CODE('Levantamento dutos'!$E160)=76,ROUND(('Levantamento dutos'!$D160)+('Levantamento dutos'!$D160*Calculos!$G160*2)*1.1,0),0)</f>
        <v>0</v>
      </c>
      <c r="AA160" s="60">
        <f>IF(CODE('Levantamento dutos'!$G160)=80,('Levantamento dutos'!$D160/'Levantamento dutos'!$G$12)*8,0)</f>
        <v>0</v>
      </c>
      <c r="AB160" s="60">
        <f>IF(CODE('Levantamento dutos'!$G160)=80,IF('Levantamento dutos'!$B160&gt;30,('Levantamento dutos'!$D160/'Levantamento dutos'!$G$12)*4,0),0)</f>
        <v>0</v>
      </c>
      <c r="AC160" s="60">
        <f>IF('Levantamento dutos'!$B160&gt;220,('Levantamento dutos'!$D160/'Levantamento dutos'!$G$12*Calculos!$G160*2),0)</f>
        <v>0</v>
      </c>
      <c r="AD160" s="60">
        <f>IF(CODE('Levantamento dutos'!$E160)=73,((('Levantamento dutos'!$E$12/1000)+0.02)*'Levantamento dutos'!$D160)*4*1.3,0)</f>
        <v>0</v>
      </c>
      <c r="AE160" s="60">
        <f>IF(CODE('Levantamento dutos'!$E160)=80,((('Levantamento dutos'!$E$12/1000)+0.02)*'Levantamento dutos'!$D160)*4*1.3,0)</f>
        <v>0</v>
      </c>
    </row>
    <row r="161" spans="2:31" x14ac:dyDescent="0.2">
      <c r="B161" s="58">
        <f>IF('Levantamento dutos'!$B161&lt;=Calculos!$Z$3,((('Levantamento dutos'!$B161)/100+('Levantamento dutos'!$C161)/100)*2)*'Levantamento dutos'!$D161,0)</f>
        <v>0</v>
      </c>
      <c r="C161">
        <f>IF('Levantamento dutos'!$B161&gt;Calculos!$Z$3,IF('Levantamento dutos'!$B161&lt;=Calculos!$Z$4,((('Levantamento dutos'!$B161)/100+('Levantamento dutos'!$C161)/100)*2)*'Levantamento dutos'!$D161,0),0)</f>
        <v>0</v>
      </c>
      <c r="D161">
        <f>IF('Levantamento dutos'!$B161&gt;Calculos!$Z$4,IF('Levantamento dutos'!$B161&lt;=Calculos!$Z$5,((('Levantamento dutos'!$B161)/100+('Levantamento dutos'!$C161)/100)*2)*'Levantamento dutos'!$D161,0),0)</f>
        <v>0</v>
      </c>
      <c r="E161">
        <f>IF('Levantamento dutos'!$B161&gt;Calculos!$Z$5,IF('Levantamento dutos'!$B161&lt;=Calculos!$Z$6,((('Levantamento dutos'!$B161)/100+('Levantamento dutos'!$C161)/100)*2)*'Levantamento dutos'!$D161,0),0)</f>
        <v>0</v>
      </c>
      <c r="F161" s="59">
        <f>IF('Levantamento dutos'!$B161&gt;Calculos!$Z$7,((('Levantamento dutos'!$B161)/100+('Levantamento dutos'!$C161)/100)*2)*'Levantamento dutos'!$D161,0)</f>
        <v>0</v>
      </c>
      <c r="G161">
        <f>(('Levantamento dutos'!B161+'Levantamento dutos'!C161)/100)*2</f>
        <v>0</v>
      </c>
      <c r="H161" s="58">
        <f>IF(CODE('Levantamento dutos'!$E161)=76,SUM($B161:$F161),0)</f>
        <v>0</v>
      </c>
      <c r="I161">
        <f>IF(CODE('Levantamento dutos'!$E161)=73,SUM($B161:$F161),0)</f>
        <v>0</v>
      </c>
      <c r="J161">
        <f>IF(CODE('Levantamento dutos'!$E161)=80,SUM($B161:$F161),0)</f>
        <v>0</v>
      </c>
      <c r="K161">
        <f>IF(CODE('Levantamento dutos'!$F161)=66,SUM($B161:$F161),0)</f>
        <v>0</v>
      </c>
      <c r="L161">
        <f>IF(CODE('Levantamento dutos'!$F161)=70,SUM($B161:$F161),0)</f>
        <v>0</v>
      </c>
      <c r="M161" s="59">
        <f>IF(CODE('Levantamento dutos'!$E161)=84,SUM($B161:$F161),0)</f>
        <v>0</v>
      </c>
      <c r="N161" s="60">
        <f>IF(CODE('Levantamento dutos'!$G161)=80,IF('Levantamento dutos'!$B161&lt;=200,('Levantamento dutos'!$D161/'Levantamento dutos'!$G$12*Calculos!$G161*2),0),0)</f>
        <v>0</v>
      </c>
      <c r="O161" s="60">
        <f>IF(CODE('Levantamento dutos'!$G161)=80,IF('Levantamento dutos'!$B161&gt;200,('Levantamento dutos'!$D161/'Levantamento dutos'!$G$12*Calculos!$G161*2),0),0)</f>
        <v>0</v>
      </c>
      <c r="P161" s="60">
        <f>IF(CODE('Levantamento dutos'!$G161)=67,('Levantamento dutos'!$D161/'Levantamento dutos'!$G$12*Calculos!$G161*2),0)</f>
        <v>0</v>
      </c>
      <c r="Q161" s="60">
        <f>IF(CODE('Levantamento dutos'!H161)=83,((('Levantamento dutos'!B161/100)+('Levantamento dutos'!$H$12/1000))+(('Levantamento dutos'!C161/100)+('Levantamento dutos'!$H$12)/1000))*2*'Levantamento dutos'!D161,0)</f>
        <v>0</v>
      </c>
      <c r="S161" s="60">
        <f>IF(CODE('Levantamento dutos'!$I161)=83,$Q161,0)</f>
        <v>0</v>
      </c>
      <c r="T161" s="60">
        <f>IF(CODE('Levantamento dutos'!$E161)=76,ROUND((('Levantamento dutos'!$D161/5)*(Calculos!$G161+0.2)*1.2),0),0)</f>
        <v>0</v>
      </c>
      <c r="U161" s="60">
        <f>IF(CODE('Levantamento dutos'!$E161)=73,ROUND((('Levantamento dutos'!$D161/0.5)*(Calculos!$G161+0.2)*1.2),0),0)</f>
        <v>0</v>
      </c>
      <c r="V161" s="60">
        <f>IF(CODE('Levantamento dutos'!$E161)=80,ROUND((('Levantamento dutos'!$D161/0.5)*(Calculos!$G161+0.2)*1.2),0),0)</f>
        <v>0</v>
      </c>
      <c r="W161" s="60">
        <f>IF(CODE('Levantamento dutos'!$E161)=76,'Levantamento dutos'!$D161/0.5*1.5,0)</f>
        <v>0</v>
      </c>
      <c r="X161" s="60">
        <f>IF(CODE('Levantamento dutos'!$E161)=73,'Levantamento dutos'!$D161/0.5*1.5,0)</f>
        <v>0</v>
      </c>
      <c r="Y161" s="60">
        <f>IF(CODE('Levantamento dutos'!$E161)=80,'Levantamento dutos'!$D161/0.5*1.5,0)</f>
        <v>0</v>
      </c>
      <c r="Z161" s="60">
        <f>IF(CODE('Levantamento dutos'!$E161)=76,ROUND(('Levantamento dutos'!$D161)+('Levantamento dutos'!$D161*Calculos!$G161*2)*1.1,0),0)</f>
        <v>0</v>
      </c>
      <c r="AA161" s="60">
        <f>IF(CODE('Levantamento dutos'!$G161)=80,('Levantamento dutos'!$D161/'Levantamento dutos'!$G$12)*8,0)</f>
        <v>0</v>
      </c>
      <c r="AB161" s="60">
        <f>IF(CODE('Levantamento dutos'!$G161)=80,IF('Levantamento dutos'!$B161&gt;30,('Levantamento dutos'!$D161/'Levantamento dutos'!$G$12)*4,0),0)</f>
        <v>0</v>
      </c>
      <c r="AC161" s="60">
        <f>IF('Levantamento dutos'!$B161&gt;220,('Levantamento dutos'!$D161/'Levantamento dutos'!$G$12*Calculos!$G161*2),0)</f>
        <v>0</v>
      </c>
      <c r="AD161" s="60">
        <f>IF(CODE('Levantamento dutos'!$E161)=73,((('Levantamento dutos'!$E$12/1000)+0.02)*'Levantamento dutos'!$D161)*4*1.3,0)</f>
        <v>0</v>
      </c>
      <c r="AE161" s="60">
        <f>IF(CODE('Levantamento dutos'!$E161)=80,((('Levantamento dutos'!$E$12/1000)+0.02)*'Levantamento dutos'!$D161)*4*1.3,0)</f>
        <v>0</v>
      </c>
    </row>
    <row r="162" spans="2:31" x14ac:dyDescent="0.2">
      <c r="B162" s="58">
        <f>IF('Levantamento dutos'!$B162&lt;=Calculos!$Z$3,((('Levantamento dutos'!$B162)/100+('Levantamento dutos'!$C162)/100)*2)*'Levantamento dutos'!$D162,0)</f>
        <v>0</v>
      </c>
      <c r="C162">
        <f>IF('Levantamento dutos'!$B162&gt;Calculos!$Z$3,IF('Levantamento dutos'!$B162&lt;=Calculos!$Z$4,((('Levantamento dutos'!$B162)/100+('Levantamento dutos'!$C162)/100)*2)*'Levantamento dutos'!$D162,0),0)</f>
        <v>0</v>
      </c>
      <c r="D162">
        <f>IF('Levantamento dutos'!$B162&gt;Calculos!$Z$4,IF('Levantamento dutos'!$B162&lt;=Calculos!$Z$5,((('Levantamento dutos'!$B162)/100+('Levantamento dutos'!$C162)/100)*2)*'Levantamento dutos'!$D162,0),0)</f>
        <v>0</v>
      </c>
      <c r="E162">
        <f>IF('Levantamento dutos'!$B162&gt;Calculos!$Z$5,IF('Levantamento dutos'!$B162&lt;=Calculos!$Z$6,((('Levantamento dutos'!$B162)/100+('Levantamento dutos'!$C162)/100)*2)*'Levantamento dutos'!$D162,0),0)</f>
        <v>0</v>
      </c>
      <c r="F162" s="59">
        <f>IF('Levantamento dutos'!$B162&gt;Calculos!$Z$7,((('Levantamento dutos'!$B162)/100+('Levantamento dutos'!$C162)/100)*2)*'Levantamento dutos'!$D162,0)</f>
        <v>0</v>
      </c>
      <c r="G162">
        <f>(('Levantamento dutos'!B162+'Levantamento dutos'!C162)/100)*2</f>
        <v>0</v>
      </c>
      <c r="H162" s="58">
        <f>IF(CODE('Levantamento dutos'!$E162)=76,SUM($B162:$F162),0)</f>
        <v>0</v>
      </c>
      <c r="I162">
        <f>IF(CODE('Levantamento dutos'!$E162)=73,SUM($B162:$F162),0)</f>
        <v>0</v>
      </c>
      <c r="J162">
        <f>IF(CODE('Levantamento dutos'!$E162)=80,SUM($B162:$F162),0)</f>
        <v>0</v>
      </c>
      <c r="K162">
        <f>IF(CODE('Levantamento dutos'!$F162)=66,SUM($B162:$F162),0)</f>
        <v>0</v>
      </c>
      <c r="L162">
        <f>IF(CODE('Levantamento dutos'!$F162)=70,SUM($B162:$F162),0)</f>
        <v>0</v>
      </c>
      <c r="M162" s="59">
        <f>IF(CODE('Levantamento dutos'!$E162)=84,SUM($B162:$F162),0)</f>
        <v>0</v>
      </c>
      <c r="N162" s="60">
        <f>IF(CODE('Levantamento dutos'!$G162)=80,IF('Levantamento dutos'!$B162&lt;=200,('Levantamento dutos'!$D162/'Levantamento dutos'!$G$12*Calculos!$G162*2),0),0)</f>
        <v>0</v>
      </c>
      <c r="O162" s="60">
        <f>IF(CODE('Levantamento dutos'!$G162)=80,IF('Levantamento dutos'!$B162&gt;200,('Levantamento dutos'!$D162/'Levantamento dutos'!$G$12*Calculos!$G162*2),0),0)</f>
        <v>0</v>
      </c>
      <c r="P162" s="60">
        <f>IF(CODE('Levantamento dutos'!$G162)=67,('Levantamento dutos'!$D162/'Levantamento dutos'!$G$12*Calculos!$G162*2),0)</f>
        <v>0</v>
      </c>
      <c r="Q162" s="60">
        <f>IF(CODE('Levantamento dutos'!H162)=83,((('Levantamento dutos'!B162/100)+('Levantamento dutos'!$H$12/1000))+(('Levantamento dutos'!C162/100)+('Levantamento dutos'!$H$12)/1000))*2*'Levantamento dutos'!D162,0)</f>
        <v>0</v>
      </c>
      <c r="S162" s="60">
        <f>IF(CODE('Levantamento dutos'!$I162)=83,$Q162,0)</f>
        <v>0</v>
      </c>
      <c r="T162" s="60">
        <f>IF(CODE('Levantamento dutos'!$E162)=76,ROUND((('Levantamento dutos'!$D162/5)*(Calculos!$G162+0.2)*1.2),0),0)</f>
        <v>0</v>
      </c>
      <c r="U162" s="60">
        <f>IF(CODE('Levantamento dutos'!$E162)=73,ROUND((('Levantamento dutos'!$D162/0.5)*(Calculos!$G162+0.2)*1.2),0),0)</f>
        <v>0</v>
      </c>
      <c r="V162" s="60">
        <f>IF(CODE('Levantamento dutos'!$E162)=80,ROUND((('Levantamento dutos'!$D162/0.5)*(Calculos!$G162+0.2)*1.2),0),0)</f>
        <v>0</v>
      </c>
      <c r="W162" s="60">
        <f>IF(CODE('Levantamento dutos'!$E162)=76,'Levantamento dutos'!$D162/0.5*1.5,0)</f>
        <v>0</v>
      </c>
      <c r="X162" s="60">
        <f>IF(CODE('Levantamento dutos'!$E162)=73,'Levantamento dutos'!$D162/0.5*1.5,0)</f>
        <v>0</v>
      </c>
      <c r="Y162" s="60">
        <f>IF(CODE('Levantamento dutos'!$E162)=80,'Levantamento dutos'!$D162/0.5*1.5,0)</f>
        <v>0</v>
      </c>
      <c r="Z162" s="60">
        <f>IF(CODE('Levantamento dutos'!$E162)=76,ROUND(('Levantamento dutos'!$D162)+('Levantamento dutos'!$D162*Calculos!$G162*2)*1.1,0),0)</f>
        <v>0</v>
      </c>
      <c r="AA162" s="60">
        <f>IF(CODE('Levantamento dutos'!$G162)=80,('Levantamento dutos'!$D162/'Levantamento dutos'!$G$12)*8,0)</f>
        <v>0</v>
      </c>
      <c r="AB162" s="60">
        <f>IF(CODE('Levantamento dutos'!$G162)=80,IF('Levantamento dutos'!$B162&gt;30,('Levantamento dutos'!$D162/'Levantamento dutos'!$G$12)*4,0),0)</f>
        <v>0</v>
      </c>
      <c r="AC162" s="60">
        <f>IF('Levantamento dutos'!$B162&gt;220,('Levantamento dutos'!$D162/'Levantamento dutos'!$G$12*Calculos!$G162*2),0)</f>
        <v>0</v>
      </c>
      <c r="AD162" s="60">
        <f>IF(CODE('Levantamento dutos'!$E162)=73,((('Levantamento dutos'!$E$12/1000)+0.02)*'Levantamento dutos'!$D162)*4*1.3,0)</f>
        <v>0</v>
      </c>
      <c r="AE162" s="60">
        <f>IF(CODE('Levantamento dutos'!$E162)=80,((('Levantamento dutos'!$E$12/1000)+0.02)*'Levantamento dutos'!$D162)*4*1.3,0)</f>
        <v>0</v>
      </c>
    </row>
    <row r="163" spans="2:31" x14ac:dyDescent="0.2">
      <c r="B163" s="58">
        <f>IF('Levantamento dutos'!$B163&lt;=Calculos!$Z$3,((('Levantamento dutos'!$B163)/100+('Levantamento dutos'!$C163)/100)*2)*'Levantamento dutos'!$D163,0)</f>
        <v>0</v>
      </c>
      <c r="C163">
        <f>IF('Levantamento dutos'!$B163&gt;Calculos!$Z$3,IF('Levantamento dutos'!$B163&lt;=Calculos!$Z$4,((('Levantamento dutos'!$B163)/100+('Levantamento dutos'!$C163)/100)*2)*'Levantamento dutos'!$D163,0),0)</f>
        <v>0</v>
      </c>
      <c r="D163">
        <f>IF('Levantamento dutos'!$B163&gt;Calculos!$Z$4,IF('Levantamento dutos'!$B163&lt;=Calculos!$Z$5,((('Levantamento dutos'!$B163)/100+('Levantamento dutos'!$C163)/100)*2)*'Levantamento dutos'!$D163,0),0)</f>
        <v>0</v>
      </c>
      <c r="E163">
        <f>IF('Levantamento dutos'!$B163&gt;Calculos!$Z$5,IF('Levantamento dutos'!$B163&lt;=Calculos!$Z$6,((('Levantamento dutos'!$B163)/100+('Levantamento dutos'!$C163)/100)*2)*'Levantamento dutos'!$D163,0),0)</f>
        <v>0</v>
      </c>
      <c r="F163" s="59">
        <f>IF('Levantamento dutos'!$B163&gt;Calculos!$Z$7,((('Levantamento dutos'!$B163)/100+('Levantamento dutos'!$C163)/100)*2)*'Levantamento dutos'!$D163,0)</f>
        <v>0</v>
      </c>
      <c r="G163">
        <f>(('Levantamento dutos'!B163+'Levantamento dutos'!C163)/100)*2</f>
        <v>0</v>
      </c>
      <c r="H163" s="58">
        <f>IF(CODE('Levantamento dutos'!$E163)=76,SUM($B163:$F163),0)</f>
        <v>0</v>
      </c>
      <c r="I163">
        <f>IF(CODE('Levantamento dutos'!$E163)=73,SUM($B163:$F163),0)</f>
        <v>0</v>
      </c>
      <c r="J163">
        <f>IF(CODE('Levantamento dutos'!$E163)=80,SUM($B163:$F163),0)</f>
        <v>0</v>
      </c>
      <c r="K163">
        <f>IF(CODE('Levantamento dutos'!$F163)=66,SUM($B163:$F163),0)</f>
        <v>0</v>
      </c>
      <c r="L163">
        <f>IF(CODE('Levantamento dutos'!$F163)=70,SUM($B163:$F163),0)</f>
        <v>0</v>
      </c>
      <c r="M163" s="59">
        <f>IF(CODE('Levantamento dutos'!$E163)=84,SUM($B163:$F163),0)</f>
        <v>0</v>
      </c>
      <c r="N163" s="60">
        <f>IF(CODE('Levantamento dutos'!$G163)=80,IF('Levantamento dutos'!$B163&lt;=200,('Levantamento dutos'!$D163/'Levantamento dutos'!$G$12*Calculos!$G163*2),0),0)</f>
        <v>0</v>
      </c>
      <c r="O163" s="60">
        <f>IF(CODE('Levantamento dutos'!$G163)=80,IF('Levantamento dutos'!$B163&gt;200,('Levantamento dutos'!$D163/'Levantamento dutos'!$G$12*Calculos!$G163*2),0),0)</f>
        <v>0</v>
      </c>
      <c r="P163" s="60">
        <f>IF(CODE('Levantamento dutos'!$G163)=67,('Levantamento dutos'!$D163/'Levantamento dutos'!$G$12*Calculos!$G163*2),0)</f>
        <v>0</v>
      </c>
      <c r="Q163" s="60">
        <f>IF(CODE('Levantamento dutos'!H163)=83,((('Levantamento dutos'!B163/100)+('Levantamento dutos'!$H$12/1000))+(('Levantamento dutos'!C163/100)+('Levantamento dutos'!$H$12)/1000))*2*'Levantamento dutos'!D163,0)</f>
        <v>0</v>
      </c>
      <c r="S163" s="60">
        <f>IF(CODE('Levantamento dutos'!$I163)=83,$Q163,0)</f>
        <v>0</v>
      </c>
      <c r="T163" s="60">
        <f>IF(CODE('Levantamento dutos'!$E163)=76,ROUND((('Levantamento dutos'!$D163/5)*(Calculos!$G163+0.2)*1.2),0),0)</f>
        <v>0</v>
      </c>
      <c r="U163" s="60">
        <f>IF(CODE('Levantamento dutos'!$E163)=73,ROUND((('Levantamento dutos'!$D163/0.5)*(Calculos!$G163+0.2)*1.2),0),0)</f>
        <v>0</v>
      </c>
      <c r="V163" s="60">
        <f>IF(CODE('Levantamento dutos'!$E163)=80,ROUND((('Levantamento dutos'!$D163/0.5)*(Calculos!$G163+0.2)*1.2),0),0)</f>
        <v>0</v>
      </c>
      <c r="W163" s="60">
        <f>IF(CODE('Levantamento dutos'!$E163)=76,'Levantamento dutos'!$D163/0.5*1.5,0)</f>
        <v>0</v>
      </c>
      <c r="X163" s="60">
        <f>IF(CODE('Levantamento dutos'!$E163)=73,'Levantamento dutos'!$D163/0.5*1.5,0)</f>
        <v>0</v>
      </c>
      <c r="Y163" s="60">
        <f>IF(CODE('Levantamento dutos'!$E163)=80,'Levantamento dutos'!$D163/0.5*1.5,0)</f>
        <v>0</v>
      </c>
      <c r="Z163" s="60">
        <f>IF(CODE('Levantamento dutos'!$E163)=76,ROUND(('Levantamento dutos'!$D163)+('Levantamento dutos'!$D163*Calculos!$G163*2)*1.1,0),0)</f>
        <v>0</v>
      </c>
      <c r="AA163" s="60">
        <f>IF(CODE('Levantamento dutos'!$G163)=80,('Levantamento dutos'!$D163/'Levantamento dutos'!$G$12)*8,0)</f>
        <v>0</v>
      </c>
      <c r="AB163" s="60">
        <f>IF(CODE('Levantamento dutos'!$G163)=80,IF('Levantamento dutos'!$B163&gt;30,('Levantamento dutos'!$D163/'Levantamento dutos'!$G$12)*4,0),0)</f>
        <v>0</v>
      </c>
      <c r="AC163" s="60">
        <f>IF('Levantamento dutos'!$B163&gt;220,('Levantamento dutos'!$D163/'Levantamento dutos'!$G$12*Calculos!$G163*2),0)</f>
        <v>0</v>
      </c>
      <c r="AD163" s="60">
        <f>IF(CODE('Levantamento dutos'!$E163)=73,((('Levantamento dutos'!$E$12/1000)+0.02)*'Levantamento dutos'!$D163)*4*1.3,0)</f>
        <v>0</v>
      </c>
      <c r="AE163" s="60">
        <f>IF(CODE('Levantamento dutos'!$E163)=80,((('Levantamento dutos'!$E$12/1000)+0.02)*'Levantamento dutos'!$D163)*4*1.3,0)</f>
        <v>0</v>
      </c>
    </row>
    <row r="164" spans="2:31" x14ac:dyDescent="0.2">
      <c r="B164" s="58">
        <f>IF('Levantamento dutos'!$B164&lt;=Calculos!$Z$3,((('Levantamento dutos'!$B164)/100+('Levantamento dutos'!$C164)/100)*2)*'Levantamento dutos'!$D164,0)</f>
        <v>0</v>
      </c>
      <c r="C164">
        <f>IF('Levantamento dutos'!$B164&gt;Calculos!$Z$3,IF('Levantamento dutos'!$B164&lt;=Calculos!$Z$4,((('Levantamento dutos'!$B164)/100+('Levantamento dutos'!$C164)/100)*2)*'Levantamento dutos'!$D164,0),0)</f>
        <v>0</v>
      </c>
      <c r="D164">
        <f>IF('Levantamento dutos'!$B164&gt;Calculos!$Z$4,IF('Levantamento dutos'!$B164&lt;=Calculos!$Z$5,((('Levantamento dutos'!$B164)/100+('Levantamento dutos'!$C164)/100)*2)*'Levantamento dutos'!$D164,0),0)</f>
        <v>0</v>
      </c>
      <c r="E164">
        <f>IF('Levantamento dutos'!$B164&gt;Calculos!$Z$5,IF('Levantamento dutos'!$B164&lt;=Calculos!$Z$6,((('Levantamento dutos'!$B164)/100+('Levantamento dutos'!$C164)/100)*2)*'Levantamento dutos'!$D164,0),0)</f>
        <v>0</v>
      </c>
      <c r="F164" s="59">
        <f>IF('Levantamento dutos'!$B164&gt;Calculos!$Z$7,((('Levantamento dutos'!$B164)/100+('Levantamento dutos'!$C164)/100)*2)*'Levantamento dutos'!$D164,0)</f>
        <v>0</v>
      </c>
      <c r="G164">
        <f>(('Levantamento dutos'!B164+'Levantamento dutos'!C164)/100)*2</f>
        <v>0</v>
      </c>
      <c r="H164" s="58">
        <f>IF(CODE('Levantamento dutos'!$E164)=76,SUM($B164:$F164),0)</f>
        <v>0</v>
      </c>
      <c r="I164">
        <f>IF(CODE('Levantamento dutos'!$E164)=73,SUM($B164:$F164),0)</f>
        <v>0</v>
      </c>
      <c r="J164">
        <f>IF(CODE('Levantamento dutos'!$E164)=80,SUM($B164:$F164),0)</f>
        <v>0</v>
      </c>
      <c r="K164">
        <f>IF(CODE('Levantamento dutos'!$F164)=66,SUM($B164:$F164),0)</f>
        <v>0</v>
      </c>
      <c r="L164">
        <f>IF(CODE('Levantamento dutos'!$F164)=70,SUM($B164:$F164),0)</f>
        <v>0</v>
      </c>
      <c r="M164" s="59">
        <f>IF(CODE('Levantamento dutos'!$E164)=84,SUM($B164:$F164),0)</f>
        <v>0</v>
      </c>
      <c r="N164" s="60">
        <f>IF(CODE('Levantamento dutos'!$G164)=80,IF('Levantamento dutos'!$B164&lt;=200,('Levantamento dutos'!$D164/'Levantamento dutos'!$G$12*Calculos!$G164*2),0),0)</f>
        <v>0</v>
      </c>
      <c r="O164" s="60">
        <f>IF(CODE('Levantamento dutos'!$G164)=80,IF('Levantamento dutos'!$B164&gt;200,('Levantamento dutos'!$D164/'Levantamento dutos'!$G$12*Calculos!$G164*2),0),0)</f>
        <v>0</v>
      </c>
      <c r="P164" s="60">
        <f>IF(CODE('Levantamento dutos'!$G164)=67,('Levantamento dutos'!$D164/'Levantamento dutos'!$G$12*Calculos!$G164*2),0)</f>
        <v>0</v>
      </c>
      <c r="Q164" s="60">
        <f>IF(CODE('Levantamento dutos'!H164)=83,((('Levantamento dutos'!B164/100)+('Levantamento dutos'!$H$12/1000))+(('Levantamento dutos'!C164/100)+('Levantamento dutos'!$H$12)/1000))*2*'Levantamento dutos'!D164,0)</f>
        <v>0</v>
      </c>
      <c r="S164" s="60">
        <f>IF(CODE('Levantamento dutos'!$I164)=83,$Q164,0)</f>
        <v>0</v>
      </c>
      <c r="T164" s="60">
        <f>IF(CODE('Levantamento dutos'!$E164)=76,ROUND((('Levantamento dutos'!$D164/5)*(Calculos!$G164+0.2)*1.2),0),0)</f>
        <v>0</v>
      </c>
      <c r="U164" s="60">
        <f>IF(CODE('Levantamento dutos'!$E164)=73,ROUND((('Levantamento dutos'!$D164/0.5)*(Calculos!$G164+0.2)*1.2),0),0)</f>
        <v>0</v>
      </c>
      <c r="V164" s="60">
        <f>IF(CODE('Levantamento dutos'!$E164)=80,ROUND((('Levantamento dutos'!$D164/0.5)*(Calculos!$G164+0.2)*1.2),0),0)</f>
        <v>0</v>
      </c>
      <c r="W164" s="60">
        <f>IF(CODE('Levantamento dutos'!$E164)=76,'Levantamento dutos'!$D164/0.5*1.5,0)</f>
        <v>0</v>
      </c>
      <c r="X164" s="60">
        <f>IF(CODE('Levantamento dutos'!$E164)=73,'Levantamento dutos'!$D164/0.5*1.5,0)</f>
        <v>0</v>
      </c>
      <c r="Y164" s="60">
        <f>IF(CODE('Levantamento dutos'!$E164)=80,'Levantamento dutos'!$D164/0.5*1.5,0)</f>
        <v>0</v>
      </c>
      <c r="Z164" s="60">
        <f>IF(CODE('Levantamento dutos'!$E164)=76,ROUND(('Levantamento dutos'!$D164)+('Levantamento dutos'!$D164*Calculos!$G164*2)*1.1,0),0)</f>
        <v>0</v>
      </c>
      <c r="AA164" s="60">
        <f>IF(CODE('Levantamento dutos'!$G164)=80,('Levantamento dutos'!$D164/'Levantamento dutos'!$G$12)*8,0)</f>
        <v>0</v>
      </c>
      <c r="AB164" s="60">
        <f>IF(CODE('Levantamento dutos'!$G164)=80,IF('Levantamento dutos'!$B164&gt;30,('Levantamento dutos'!$D164/'Levantamento dutos'!$G$12)*4,0),0)</f>
        <v>0</v>
      </c>
      <c r="AC164" s="60">
        <f>IF('Levantamento dutos'!$B164&gt;220,('Levantamento dutos'!$D164/'Levantamento dutos'!$G$12*Calculos!$G164*2),0)</f>
        <v>0</v>
      </c>
      <c r="AD164" s="60">
        <f>IF(CODE('Levantamento dutos'!$E164)=73,((('Levantamento dutos'!$E$12/1000)+0.02)*'Levantamento dutos'!$D164)*4*1.3,0)</f>
        <v>0</v>
      </c>
      <c r="AE164" s="60">
        <f>IF(CODE('Levantamento dutos'!$E164)=80,((('Levantamento dutos'!$E$12/1000)+0.02)*'Levantamento dutos'!$D164)*4*1.3,0)</f>
        <v>0</v>
      </c>
    </row>
    <row r="165" spans="2:31" x14ac:dyDescent="0.2">
      <c r="B165" s="58">
        <f>IF('Levantamento dutos'!$B165&lt;=Calculos!$Z$3,((('Levantamento dutos'!$B165)/100+('Levantamento dutos'!$C165)/100)*2)*'Levantamento dutos'!$D165,0)</f>
        <v>0</v>
      </c>
      <c r="C165">
        <f>IF('Levantamento dutos'!$B165&gt;Calculos!$Z$3,IF('Levantamento dutos'!$B165&lt;=Calculos!$Z$4,((('Levantamento dutos'!$B165)/100+('Levantamento dutos'!$C165)/100)*2)*'Levantamento dutos'!$D165,0),0)</f>
        <v>0</v>
      </c>
      <c r="D165">
        <f>IF('Levantamento dutos'!$B165&gt;Calculos!$Z$4,IF('Levantamento dutos'!$B165&lt;=Calculos!$Z$5,((('Levantamento dutos'!$B165)/100+('Levantamento dutos'!$C165)/100)*2)*'Levantamento dutos'!$D165,0),0)</f>
        <v>0</v>
      </c>
      <c r="E165">
        <f>IF('Levantamento dutos'!$B165&gt;Calculos!$Z$5,IF('Levantamento dutos'!$B165&lt;=Calculos!$Z$6,((('Levantamento dutos'!$B165)/100+('Levantamento dutos'!$C165)/100)*2)*'Levantamento dutos'!$D165,0),0)</f>
        <v>0</v>
      </c>
      <c r="F165" s="59">
        <f>IF('Levantamento dutos'!$B165&gt;Calculos!$Z$7,((('Levantamento dutos'!$B165)/100+('Levantamento dutos'!$C165)/100)*2)*'Levantamento dutos'!$D165,0)</f>
        <v>0</v>
      </c>
      <c r="G165">
        <f>(('Levantamento dutos'!B165+'Levantamento dutos'!C165)/100)*2</f>
        <v>0</v>
      </c>
      <c r="H165" s="58">
        <f>IF(CODE('Levantamento dutos'!$E165)=76,SUM($B165:$F165),0)</f>
        <v>0</v>
      </c>
      <c r="I165">
        <f>IF(CODE('Levantamento dutos'!$E165)=73,SUM($B165:$F165),0)</f>
        <v>0</v>
      </c>
      <c r="J165">
        <f>IF(CODE('Levantamento dutos'!$E165)=80,SUM($B165:$F165),0)</f>
        <v>0</v>
      </c>
      <c r="K165">
        <f>IF(CODE('Levantamento dutos'!$F165)=66,SUM($B165:$F165),0)</f>
        <v>0</v>
      </c>
      <c r="L165">
        <f>IF(CODE('Levantamento dutos'!$F165)=70,SUM($B165:$F165),0)</f>
        <v>0</v>
      </c>
      <c r="M165" s="59">
        <f>IF(CODE('Levantamento dutos'!$E165)=84,SUM($B165:$F165),0)</f>
        <v>0</v>
      </c>
      <c r="N165" s="60">
        <f>IF(CODE('Levantamento dutos'!$G165)=80,IF('Levantamento dutos'!$B165&lt;=200,('Levantamento dutos'!$D165/'Levantamento dutos'!$G$12*Calculos!$G165*2),0),0)</f>
        <v>0</v>
      </c>
      <c r="O165" s="60">
        <f>IF(CODE('Levantamento dutos'!$G165)=80,IF('Levantamento dutos'!$B165&gt;200,('Levantamento dutos'!$D165/'Levantamento dutos'!$G$12*Calculos!$G165*2),0),0)</f>
        <v>0</v>
      </c>
      <c r="P165" s="60">
        <f>IF(CODE('Levantamento dutos'!$G165)=67,('Levantamento dutos'!$D165/'Levantamento dutos'!$G$12*Calculos!$G165*2),0)</f>
        <v>0</v>
      </c>
      <c r="Q165" s="60">
        <f>IF(CODE('Levantamento dutos'!H165)=83,((('Levantamento dutos'!B165/100)+('Levantamento dutos'!$H$12/1000))+(('Levantamento dutos'!C165/100)+('Levantamento dutos'!$H$12)/1000))*2*'Levantamento dutos'!D165,0)</f>
        <v>0</v>
      </c>
      <c r="S165" s="60">
        <f>IF(CODE('Levantamento dutos'!$I165)=83,$Q165,0)</f>
        <v>0</v>
      </c>
      <c r="T165" s="60">
        <f>IF(CODE('Levantamento dutos'!$E165)=76,ROUND((('Levantamento dutos'!$D165/5)*(Calculos!$G165+0.2)*1.2),0),0)</f>
        <v>0</v>
      </c>
      <c r="U165" s="60">
        <f>IF(CODE('Levantamento dutos'!$E165)=73,ROUND((('Levantamento dutos'!$D165/0.5)*(Calculos!$G165+0.2)*1.2),0),0)</f>
        <v>0</v>
      </c>
      <c r="V165" s="60">
        <f>IF(CODE('Levantamento dutos'!$E165)=80,ROUND((('Levantamento dutos'!$D165/0.5)*(Calculos!$G165+0.2)*1.2),0),0)</f>
        <v>0</v>
      </c>
      <c r="W165" s="60">
        <f>IF(CODE('Levantamento dutos'!$E165)=76,'Levantamento dutos'!$D165/0.5*1.5,0)</f>
        <v>0</v>
      </c>
      <c r="X165" s="60">
        <f>IF(CODE('Levantamento dutos'!$E165)=73,'Levantamento dutos'!$D165/0.5*1.5,0)</f>
        <v>0</v>
      </c>
      <c r="Y165" s="60">
        <f>IF(CODE('Levantamento dutos'!$E165)=80,'Levantamento dutos'!$D165/0.5*1.5,0)</f>
        <v>0</v>
      </c>
      <c r="Z165" s="60">
        <f>IF(CODE('Levantamento dutos'!$E165)=76,ROUND(('Levantamento dutos'!$D165)+('Levantamento dutos'!$D165*Calculos!$G165*2)*1.1,0),0)</f>
        <v>0</v>
      </c>
      <c r="AA165" s="60">
        <f>IF(CODE('Levantamento dutos'!$G165)=80,('Levantamento dutos'!$D165/'Levantamento dutos'!$G$12)*8,0)</f>
        <v>0</v>
      </c>
      <c r="AB165" s="60">
        <f>IF(CODE('Levantamento dutos'!$G165)=80,IF('Levantamento dutos'!$B165&gt;30,('Levantamento dutos'!$D165/'Levantamento dutos'!$G$12)*4,0),0)</f>
        <v>0</v>
      </c>
      <c r="AC165" s="60">
        <f>IF('Levantamento dutos'!$B165&gt;220,('Levantamento dutos'!$D165/'Levantamento dutos'!$G$12*Calculos!$G165*2),0)</f>
        <v>0</v>
      </c>
      <c r="AD165" s="60">
        <f>IF(CODE('Levantamento dutos'!$E165)=73,((('Levantamento dutos'!$E$12/1000)+0.02)*'Levantamento dutos'!$D165)*4*1.3,0)</f>
        <v>0</v>
      </c>
      <c r="AE165" s="60">
        <f>IF(CODE('Levantamento dutos'!$E165)=80,((('Levantamento dutos'!$E$12/1000)+0.02)*'Levantamento dutos'!$D165)*4*1.3,0)</f>
        <v>0</v>
      </c>
    </row>
    <row r="166" spans="2:31" x14ac:dyDescent="0.2">
      <c r="B166" s="58">
        <f>IF('Levantamento dutos'!$B166&lt;=Calculos!$Z$3,((('Levantamento dutos'!$B166)/100+('Levantamento dutos'!$C166)/100)*2)*'Levantamento dutos'!$D166,0)</f>
        <v>0</v>
      </c>
      <c r="C166">
        <f>IF('Levantamento dutos'!$B166&gt;Calculos!$Z$3,IF('Levantamento dutos'!$B166&lt;=Calculos!$Z$4,((('Levantamento dutos'!$B166)/100+('Levantamento dutos'!$C166)/100)*2)*'Levantamento dutos'!$D166,0),0)</f>
        <v>0</v>
      </c>
      <c r="D166">
        <f>IF('Levantamento dutos'!$B166&gt;Calculos!$Z$4,IF('Levantamento dutos'!$B166&lt;=Calculos!$Z$5,((('Levantamento dutos'!$B166)/100+('Levantamento dutos'!$C166)/100)*2)*'Levantamento dutos'!$D166,0),0)</f>
        <v>0</v>
      </c>
      <c r="E166">
        <f>IF('Levantamento dutos'!$B166&gt;Calculos!$Z$5,IF('Levantamento dutos'!$B166&lt;=Calculos!$Z$6,((('Levantamento dutos'!$B166)/100+('Levantamento dutos'!$C166)/100)*2)*'Levantamento dutos'!$D166,0),0)</f>
        <v>0</v>
      </c>
      <c r="F166" s="59">
        <f>IF('Levantamento dutos'!$B166&gt;Calculos!$Z$7,((('Levantamento dutos'!$B166)/100+('Levantamento dutos'!$C166)/100)*2)*'Levantamento dutos'!$D166,0)</f>
        <v>0</v>
      </c>
      <c r="G166">
        <f>(('Levantamento dutos'!B166+'Levantamento dutos'!C166)/100)*2</f>
        <v>0</v>
      </c>
      <c r="H166" s="58">
        <f>IF(CODE('Levantamento dutos'!$E166)=76,SUM($B166:$F166),0)</f>
        <v>0</v>
      </c>
      <c r="I166">
        <f>IF(CODE('Levantamento dutos'!$E166)=73,SUM($B166:$F166),0)</f>
        <v>0</v>
      </c>
      <c r="J166">
        <f>IF(CODE('Levantamento dutos'!$E166)=80,SUM($B166:$F166),0)</f>
        <v>0</v>
      </c>
      <c r="K166">
        <f>IF(CODE('Levantamento dutos'!$F166)=66,SUM($B166:$F166),0)</f>
        <v>0</v>
      </c>
      <c r="L166">
        <f>IF(CODE('Levantamento dutos'!$F166)=70,SUM($B166:$F166),0)</f>
        <v>0</v>
      </c>
      <c r="M166" s="59">
        <f>IF(CODE('Levantamento dutos'!$E166)=84,SUM($B166:$F166),0)</f>
        <v>0</v>
      </c>
      <c r="N166" s="60">
        <f>IF(CODE('Levantamento dutos'!$G166)=80,IF('Levantamento dutos'!$B166&lt;=200,('Levantamento dutos'!$D166/'Levantamento dutos'!$G$12*Calculos!$G166*2),0),0)</f>
        <v>0</v>
      </c>
      <c r="O166" s="60">
        <f>IF(CODE('Levantamento dutos'!$G166)=80,IF('Levantamento dutos'!$B166&gt;200,('Levantamento dutos'!$D166/'Levantamento dutos'!$G$12*Calculos!$G166*2),0),0)</f>
        <v>0</v>
      </c>
      <c r="P166" s="60">
        <f>IF(CODE('Levantamento dutos'!$G166)=67,('Levantamento dutos'!$D166/'Levantamento dutos'!$G$12*Calculos!$G166*2),0)</f>
        <v>0</v>
      </c>
      <c r="Q166" s="60">
        <f>IF(CODE('Levantamento dutos'!H166)=83,((('Levantamento dutos'!B166/100)+('Levantamento dutos'!$H$12/1000))+(('Levantamento dutos'!C166/100)+('Levantamento dutos'!$H$12)/1000))*2*'Levantamento dutos'!D166,0)</f>
        <v>0</v>
      </c>
      <c r="S166" s="60">
        <f>IF(CODE('Levantamento dutos'!$I166)=83,$Q166,0)</f>
        <v>0</v>
      </c>
      <c r="T166" s="60">
        <f>IF(CODE('Levantamento dutos'!$E166)=76,ROUND((('Levantamento dutos'!$D166/5)*(Calculos!$G166+0.2)*1.2),0),0)</f>
        <v>0</v>
      </c>
      <c r="U166" s="60">
        <f>IF(CODE('Levantamento dutos'!$E166)=73,ROUND((('Levantamento dutos'!$D166/0.5)*(Calculos!$G166+0.2)*1.2),0),0)</f>
        <v>0</v>
      </c>
      <c r="V166" s="60">
        <f>IF(CODE('Levantamento dutos'!$E166)=80,ROUND((('Levantamento dutos'!$D166/0.5)*(Calculos!$G166+0.2)*1.2),0),0)</f>
        <v>0</v>
      </c>
      <c r="W166" s="60">
        <f>IF(CODE('Levantamento dutos'!$E166)=76,'Levantamento dutos'!$D166/0.5*1.5,0)</f>
        <v>0</v>
      </c>
      <c r="X166" s="60">
        <f>IF(CODE('Levantamento dutos'!$E166)=73,'Levantamento dutos'!$D166/0.5*1.5,0)</f>
        <v>0</v>
      </c>
      <c r="Y166" s="60">
        <f>IF(CODE('Levantamento dutos'!$E166)=80,'Levantamento dutos'!$D166/0.5*1.5,0)</f>
        <v>0</v>
      </c>
      <c r="Z166" s="60">
        <f>IF(CODE('Levantamento dutos'!$E166)=76,ROUND(('Levantamento dutos'!$D166)+('Levantamento dutos'!$D166*Calculos!$G166*2)*1.1,0),0)</f>
        <v>0</v>
      </c>
      <c r="AA166" s="60">
        <f>IF(CODE('Levantamento dutos'!$G166)=80,('Levantamento dutos'!$D166/'Levantamento dutos'!$G$12)*8,0)</f>
        <v>0</v>
      </c>
      <c r="AB166" s="60">
        <f>IF(CODE('Levantamento dutos'!$G166)=80,IF('Levantamento dutos'!$B166&gt;30,('Levantamento dutos'!$D166/'Levantamento dutos'!$G$12)*4,0),0)</f>
        <v>0</v>
      </c>
      <c r="AC166" s="60">
        <f>IF('Levantamento dutos'!$B166&gt;220,('Levantamento dutos'!$D166/'Levantamento dutos'!$G$12*Calculos!$G166*2),0)</f>
        <v>0</v>
      </c>
      <c r="AD166" s="60">
        <f>IF(CODE('Levantamento dutos'!$E166)=73,((('Levantamento dutos'!$E$12/1000)+0.02)*'Levantamento dutos'!$D166)*4*1.3,0)</f>
        <v>0</v>
      </c>
      <c r="AE166" s="60">
        <f>IF(CODE('Levantamento dutos'!$E166)=80,((('Levantamento dutos'!$E$12/1000)+0.02)*'Levantamento dutos'!$D166)*4*1.3,0)</f>
        <v>0</v>
      </c>
    </row>
    <row r="167" spans="2:31" x14ac:dyDescent="0.2">
      <c r="B167" s="58">
        <f>IF('Levantamento dutos'!$B167&lt;=Calculos!$Z$3,((('Levantamento dutos'!$B167)/100+('Levantamento dutos'!$C167)/100)*2)*'Levantamento dutos'!$D167,0)</f>
        <v>0</v>
      </c>
      <c r="C167">
        <f>IF('Levantamento dutos'!$B167&gt;Calculos!$Z$3,IF('Levantamento dutos'!$B167&lt;=Calculos!$Z$4,((('Levantamento dutos'!$B167)/100+('Levantamento dutos'!$C167)/100)*2)*'Levantamento dutos'!$D167,0),0)</f>
        <v>0</v>
      </c>
      <c r="D167">
        <f>IF('Levantamento dutos'!$B167&gt;Calculos!$Z$4,IF('Levantamento dutos'!$B167&lt;=Calculos!$Z$5,((('Levantamento dutos'!$B167)/100+('Levantamento dutos'!$C167)/100)*2)*'Levantamento dutos'!$D167,0),0)</f>
        <v>0</v>
      </c>
      <c r="E167">
        <f>IF('Levantamento dutos'!$B167&gt;Calculos!$Z$5,IF('Levantamento dutos'!$B167&lt;=Calculos!$Z$6,((('Levantamento dutos'!$B167)/100+('Levantamento dutos'!$C167)/100)*2)*'Levantamento dutos'!$D167,0),0)</f>
        <v>0</v>
      </c>
      <c r="F167" s="59">
        <f>IF('Levantamento dutos'!$B167&gt;Calculos!$Z$7,((('Levantamento dutos'!$B167)/100+('Levantamento dutos'!$C167)/100)*2)*'Levantamento dutos'!$D167,0)</f>
        <v>0</v>
      </c>
      <c r="G167">
        <f>(('Levantamento dutos'!B167+'Levantamento dutos'!C167)/100)*2</f>
        <v>0</v>
      </c>
      <c r="H167" s="58">
        <f>IF(CODE('Levantamento dutos'!$E167)=76,SUM($B167:$F167),0)</f>
        <v>0</v>
      </c>
      <c r="I167">
        <f>IF(CODE('Levantamento dutos'!$E167)=73,SUM($B167:$F167),0)</f>
        <v>0</v>
      </c>
      <c r="J167">
        <f>IF(CODE('Levantamento dutos'!$E167)=80,SUM($B167:$F167),0)</f>
        <v>0</v>
      </c>
      <c r="K167">
        <f>IF(CODE('Levantamento dutos'!$F167)=66,SUM($B167:$F167),0)</f>
        <v>0</v>
      </c>
      <c r="L167">
        <f>IF(CODE('Levantamento dutos'!$F167)=70,SUM($B167:$F167),0)</f>
        <v>0</v>
      </c>
      <c r="M167" s="59">
        <f>IF(CODE('Levantamento dutos'!$E167)=84,SUM($B167:$F167),0)</f>
        <v>0</v>
      </c>
      <c r="N167" s="60">
        <f>IF(CODE('Levantamento dutos'!$G167)=80,IF('Levantamento dutos'!$B167&lt;=200,('Levantamento dutos'!$D167/'Levantamento dutos'!$G$12*Calculos!$G167*2),0),0)</f>
        <v>0</v>
      </c>
      <c r="O167" s="60">
        <f>IF(CODE('Levantamento dutos'!$G167)=80,IF('Levantamento dutos'!$B167&gt;200,('Levantamento dutos'!$D167/'Levantamento dutos'!$G$12*Calculos!$G167*2),0),0)</f>
        <v>0</v>
      </c>
      <c r="P167" s="60">
        <f>IF(CODE('Levantamento dutos'!$G167)=67,('Levantamento dutos'!$D167/'Levantamento dutos'!$G$12*Calculos!$G167*2),0)</f>
        <v>0</v>
      </c>
      <c r="Q167" s="60">
        <f>IF(CODE('Levantamento dutos'!H167)=83,((('Levantamento dutos'!B167/100)+('Levantamento dutos'!$H$12/1000))+(('Levantamento dutos'!C167/100)+('Levantamento dutos'!$H$12)/1000))*2*'Levantamento dutos'!D167,0)</f>
        <v>0</v>
      </c>
      <c r="S167" s="60">
        <f>IF(CODE('Levantamento dutos'!$I167)=83,$Q167,0)</f>
        <v>0</v>
      </c>
      <c r="T167" s="60">
        <f>IF(CODE('Levantamento dutos'!$E167)=76,ROUND((('Levantamento dutos'!$D167/5)*(Calculos!$G167+0.2)*1.2),0),0)</f>
        <v>0</v>
      </c>
      <c r="U167" s="60">
        <f>IF(CODE('Levantamento dutos'!$E167)=73,ROUND((('Levantamento dutos'!$D167/0.5)*(Calculos!$G167+0.2)*1.2),0),0)</f>
        <v>0</v>
      </c>
      <c r="V167" s="60">
        <f>IF(CODE('Levantamento dutos'!$E167)=80,ROUND((('Levantamento dutos'!$D167/0.5)*(Calculos!$G167+0.2)*1.2),0),0)</f>
        <v>0</v>
      </c>
      <c r="W167" s="60">
        <f>IF(CODE('Levantamento dutos'!$E167)=76,'Levantamento dutos'!$D167/0.5*1.5,0)</f>
        <v>0</v>
      </c>
      <c r="X167" s="60">
        <f>IF(CODE('Levantamento dutos'!$E167)=73,'Levantamento dutos'!$D167/0.5*1.5,0)</f>
        <v>0</v>
      </c>
      <c r="Y167" s="60">
        <f>IF(CODE('Levantamento dutos'!$E167)=80,'Levantamento dutos'!$D167/0.5*1.5,0)</f>
        <v>0</v>
      </c>
      <c r="Z167" s="60">
        <f>IF(CODE('Levantamento dutos'!$E167)=76,ROUND(('Levantamento dutos'!$D167)+('Levantamento dutos'!$D167*Calculos!$G167*2)*1.1,0),0)</f>
        <v>0</v>
      </c>
      <c r="AA167" s="60">
        <f>IF(CODE('Levantamento dutos'!$G167)=80,('Levantamento dutos'!$D167/'Levantamento dutos'!$G$12)*8,0)</f>
        <v>0</v>
      </c>
      <c r="AB167" s="60">
        <f>IF(CODE('Levantamento dutos'!$G167)=80,IF('Levantamento dutos'!$B167&gt;30,('Levantamento dutos'!$D167/'Levantamento dutos'!$G$12)*4,0),0)</f>
        <v>0</v>
      </c>
      <c r="AC167" s="60">
        <f>IF('Levantamento dutos'!$B167&gt;220,('Levantamento dutos'!$D167/'Levantamento dutos'!$G$12*Calculos!$G167*2),0)</f>
        <v>0</v>
      </c>
      <c r="AD167" s="60">
        <f>IF(CODE('Levantamento dutos'!$E167)=73,((('Levantamento dutos'!$E$12/1000)+0.02)*'Levantamento dutos'!$D167)*4*1.3,0)</f>
        <v>0</v>
      </c>
      <c r="AE167" s="60">
        <f>IF(CODE('Levantamento dutos'!$E167)=80,((('Levantamento dutos'!$E$12/1000)+0.02)*'Levantamento dutos'!$D167)*4*1.3,0)</f>
        <v>0</v>
      </c>
    </row>
    <row r="168" spans="2:31" x14ac:dyDescent="0.2">
      <c r="B168" s="58">
        <f>IF('Levantamento dutos'!$B168&lt;=Calculos!$Z$3,((('Levantamento dutos'!$B168)/100+('Levantamento dutos'!$C168)/100)*2)*'Levantamento dutos'!$D168,0)</f>
        <v>0</v>
      </c>
      <c r="C168">
        <f>IF('Levantamento dutos'!$B168&gt;Calculos!$Z$3,IF('Levantamento dutos'!$B168&lt;=Calculos!$Z$4,((('Levantamento dutos'!$B168)/100+('Levantamento dutos'!$C168)/100)*2)*'Levantamento dutos'!$D168,0),0)</f>
        <v>0</v>
      </c>
      <c r="D168">
        <f>IF('Levantamento dutos'!$B168&gt;Calculos!$Z$4,IF('Levantamento dutos'!$B168&lt;=Calculos!$Z$5,((('Levantamento dutos'!$B168)/100+('Levantamento dutos'!$C168)/100)*2)*'Levantamento dutos'!$D168,0),0)</f>
        <v>0</v>
      </c>
      <c r="E168">
        <f>IF('Levantamento dutos'!$B168&gt;Calculos!$Z$5,IF('Levantamento dutos'!$B168&lt;=Calculos!$Z$6,((('Levantamento dutos'!$B168)/100+('Levantamento dutos'!$C168)/100)*2)*'Levantamento dutos'!$D168,0),0)</f>
        <v>0</v>
      </c>
      <c r="F168" s="59">
        <f>IF('Levantamento dutos'!$B168&gt;Calculos!$Z$7,((('Levantamento dutos'!$B168)/100+('Levantamento dutos'!$C168)/100)*2)*'Levantamento dutos'!$D168,0)</f>
        <v>0</v>
      </c>
      <c r="G168">
        <f>(('Levantamento dutos'!B168+'Levantamento dutos'!C168)/100)*2</f>
        <v>0</v>
      </c>
      <c r="H168" s="58">
        <f>IF(CODE('Levantamento dutos'!$E168)=76,SUM($B168:$F168),0)</f>
        <v>0</v>
      </c>
      <c r="I168">
        <f>IF(CODE('Levantamento dutos'!$E168)=73,SUM($B168:$F168),0)</f>
        <v>0</v>
      </c>
      <c r="J168">
        <f>IF(CODE('Levantamento dutos'!$E168)=80,SUM($B168:$F168),0)</f>
        <v>0</v>
      </c>
      <c r="K168">
        <f>IF(CODE('Levantamento dutos'!$F168)=66,SUM($B168:$F168),0)</f>
        <v>0</v>
      </c>
      <c r="L168">
        <f>IF(CODE('Levantamento dutos'!$F168)=70,SUM($B168:$F168),0)</f>
        <v>0</v>
      </c>
      <c r="M168" s="59">
        <f>IF(CODE('Levantamento dutos'!$E168)=84,SUM($B168:$F168),0)</f>
        <v>0</v>
      </c>
      <c r="N168" s="60">
        <f>IF(CODE('Levantamento dutos'!$G168)=80,IF('Levantamento dutos'!$B168&lt;=200,('Levantamento dutos'!$D168/'Levantamento dutos'!$G$12*Calculos!$G168*2),0),0)</f>
        <v>0</v>
      </c>
      <c r="O168" s="60">
        <f>IF(CODE('Levantamento dutos'!$G168)=80,IF('Levantamento dutos'!$B168&gt;200,('Levantamento dutos'!$D168/'Levantamento dutos'!$G$12*Calculos!$G168*2),0),0)</f>
        <v>0</v>
      </c>
      <c r="P168" s="60">
        <f>IF(CODE('Levantamento dutos'!$G168)=67,('Levantamento dutos'!$D168/'Levantamento dutos'!$G$12*Calculos!$G168*2),0)</f>
        <v>0</v>
      </c>
      <c r="Q168" s="60">
        <f>IF(CODE('Levantamento dutos'!H168)=83,((('Levantamento dutos'!B168/100)+('Levantamento dutos'!$H$12/1000))+(('Levantamento dutos'!C168/100)+('Levantamento dutos'!$H$12)/1000))*2*'Levantamento dutos'!D168,0)</f>
        <v>0</v>
      </c>
      <c r="S168" s="60">
        <f>IF(CODE('Levantamento dutos'!$I168)=83,$Q168,0)</f>
        <v>0</v>
      </c>
      <c r="T168" s="60">
        <f>IF(CODE('Levantamento dutos'!$E168)=76,ROUND((('Levantamento dutos'!$D168/5)*(Calculos!$G168+0.2)*1.2),0),0)</f>
        <v>0</v>
      </c>
      <c r="U168" s="60">
        <f>IF(CODE('Levantamento dutos'!$E168)=73,ROUND((('Levantamento dutos'!$D168/0.5)*(Calculos!$G168+0.2)*1.2),0),0)</f>
        <v>0</v>
      </c>
      <c r="V168" s="60">
        <f>IF(CODE('Levantamento dutos'!$E168)=80,ROUND((('Levantamento dutos'!$D168/0.5)*(Calculos!$G168+0.2)*1.2),0),0)</f>
        <v>0</v>
      </c>
      <c r="W168" s="60">
        <f>IF(CODE('Levantamento dutos'!$E168)=76,'Levantamento dutos'!$D168/0.5*1.5,0)</f>
        <v>0</v>
      </c>
      <c r="X168" s="60">
        <f>IF(CODE('Levantamento dutos'!$E168)=73,'Levantamento dutos'!$D168/0.5*1.5,0)</f>
        <v>0</v>
      </c>
      <c r="Y168" s="60">
        <f>IF(CODE('Levantamento dutos'!$E168)=80,'Levantamento dutos'!$D168/0.5*1.5,0)</f>
        <v>0</v>
      </c>
      <c r="Z168" s="60">
        <f>IF(CODE('Levantamento dutos'!$E168)=76,ROUND(('Levantamento dutos'!$D168)+('Levantamento dutos'!$D168*Calculos!$G168*2)*1.1,0),0)</f>
        <v>0</v>
      </c>
      <c r="AA168" s="60">
        <f>IF(CODE('Levantamento dutos'!$G168)=80,('Levantamento dutos'!$D168/'Levantamento dutos'!$G$12)*8,0)</f>
        <v>0</v>
      </c>
      <c r="AB168" s="60">
        <f>IF(CODE('Levantamento dutos'!$G168)=80,IF('Levantamento dutos'!$B168&gt;30,('Levantamento dutos'!$D168/'Levantamento dutos'!$G$12)*4,0),0)</f>
        <v>0</v>
      </c>
      <c r="AC168" s="60">
        <f>IF('Levantamento dutos'!$B168&gt;220,('Levantamento dutos'!$D168/'Levantamento dutos'!$G$12*Calculos!$G168*2),0)</f>
        <v>0</v>
      </c>
      <c r="AD168" s="60">
        <f>IF(CODE('Levantamento dutos'!$E168)=73,((('Levantamento dutos'!$E$12/1000)+0.02)*'Levantamento dutos'!$D168)*4*1.3,0)</f>
        <v>0</v>
      </c>
      <c r="AE168" s="60">
        <f>IF(CODE('Levantamento dutos'!$E168)=80,((('Levantamento dutos'!$E$12/1000)+0.02)*'Levantamento dutos'!$D168)*4*1.3,0)</f>
        <v>0</v>
      </c>
    </row>
    <row r="169" spans="2:31" x14ac:dyDescent="0.2">
      <c r="B169" s="58">
        <f>IF('Levantamento dutos'!$B169&lt;=Calculos!$Z$3,((('Levantamento dutos'!$B169)/100+('Levantamento dutos'!$C169)/100)*2)*'Levantamento dutos'!$D169,0)</f>
        <v>0</v>
      </c>
      <c r="C169">
        <f>IF('Levantamento dutos'!$B169&gt;Calculos!$Z$3,IF('Levantamento dutos'!$B169&lt;=Calculos!$Z$4,((('Levantamento dutos'!$B169)/100+('Levantamento dutos'!$C169)/100)*2)*'Levantamento dutos'!$D169,0),0)</f>
        <v>0</v>
      </c>
      <c r="D169">
        <f>IF('Levantamento dutos'!$B169&gt;Calculos!$Z$4,IF('Levantamento dutos'!$B169&lt;=Calculos!$Z$5,((('Levantamento dutos'!$B169)/100+('Levantamento dutos'!$C169)/100)*2)*'Levantamento dutos'!$D169,0),0)</f>
        <v>0</v>
      </c>
      <c r="E169">
        <f>IF('Levantamento dutos'!$B169&gt;Calculos!$Z$5,IF('Levantamento dutos'!$B169&lt;=Calculos!$Z$6,((('Levantamento dutos'!$B169)/100+('Levantamento dutos'!$C169)/100)*2)*'Levantamento dutos'!$D169,0),0)</f>
        <v>0</v>
      </c>
      <c r="F169" s="59">
        <f>IF('Levantamento dutos'!$B169&gt;Calculos!$Z$7,((('Levantamento dutos'!$B169)/100+('Levantamento dutos'!$C169)/100)*2)*'Levantamento dutos'!$D169,0)</f>
        <v>0</v>
      </c>
      <c r="G169">
        <f>(('Levantamento dutos'!B169+'Levantamento dutos'!C169)/100)*2</f>
        <v>0</v>
      </c>
      <c r="H169" s="58">
        <f>IF(CODE('Levantamento dutos'!$E169)=76,SUM($B169:$F169),0)</f>
        <v>0</v>
      </c>
      <c r="I169">
        <f>IF(CODE('Levantamento dutos'!$E169)=73,SUM($B169:$F169),0)</f>
        <v>0</v>
      </c>
      <c r="J169">
        <f>IF(CODE('Levantamento dutos'!$E169)=80,SUM($B169:$F169),0)</f>
        <v>0</v>
      </c>
      <c r="K169">
        <f>IF(CODE('Levantamento dutos'!$F169)=66,SUM($B169:$F169),0)</f>
        <v>0</v>
      </c>
      <c r="L169">
        <f>IF(CODE('Levantamento dutos'!$F169)=70,SUM($B169:$F169),0)</f>
        <v>0</v>
      </c>
      <c r="M169" s="59">
        <f>IF(CODE('Levantamento dutos'!$E169)=84,SUM($B169:$F169),0)</f>
        <v>0</v>
      </c>
      <c r="N169" s="60">
        <f>IF(CODE('Levantamento dutos'!$G169)=80,IF('Levantamento dutos'!$B169&lt;=200,('Levantamento dutos'!$D169/'Levantamento dutos'!$G$12*Calculos!$G169*2),0),0)</f>
        <v>0</v>
      </c>
      <c r="O169" s="60">
        <f>IF(CODE('Levantamento dutos'!$G169)=80,IF('Levantamento dutos'!$B169&gt;200,('Levantamento dutos'!$D169/'Levantamento dutos'!$G$12*Calculos!$G169*2),0),0)</f>
        <v>0</v>
      </c>
      <c r="P169" s="60">
        <f>IF(CODE('Levantamento dutos'!$G169)=67,('Levantamento dutos'!$D169/'Levantamento dutos'!$G$12*Calculos!$G169*2),0)</f>
        <v>0</v>
      </c>
      <c r="Q169" s="60">
        <f>IF(CODE('Levantamento dutos'!H169)=83,((('Levantamento dutos'!B169/100)+('Levantamento dutos'!$H$12/1000))+(('Levantamento dutos'!C169/100)+('Levantamento dutos'!$H$12)/1000))*2*'Levantamento dutos'!D169,0)</f>
        <v>0</v>
      </c>
      <c r="S169" s="60">
        <f>IF(CODE('Levantamento dutos'!$I169)=83,$Q169,0)</f>
        <v>0</v>
      </c>
      <c r="T169" s="60">
        <f>IF(CODE('Levantamento dutos'!$E169)=76,ROUND((('Levantamento dutos'!$D169/5)*(Calculos!$G169+0.2)*1.2),0),0)</f>
        <v>0</v>
      </c>
      <c r="U169" s="60">
        <f>IF(CODE('Levantamento dutos'!$E169)=73,ROUND((('Levantamento dutos'!$D169/0.5)*(Calculos!$G169+0.2)*1.2),0),0)</f>
        <v>0</v>
      </c>
      <c r="V169" s="60">
        <f>IF(CODE('Levantamento dutos'!$E169)=80,ROUND((('Levantamento dutos'!$D169/0.5)*(Calculos!$G169+0.2)*1.2),0),0)</f>
        <v>0</v>
      </c>
      <c r="W169" s="60">
        <f>IF(CODE('Levantamento dutos'!$E169)=76,'Levantamento dutos'!$D169/0.5*1.5,0)</f>
        <v>0</v>
      </c>
      <c r="X169" s="60">
        <f>IF(CODE('Levantamento dutos'!$E169)=73,'Levantamento dutos'!$D169/0.5*1.5,0)</f>
        <v>0</v>
      </c>
      <c r="Y169" s="60">
        <f>IF(CODE('Levantamento dutos'!$E169)=80,'Levantamento dutos'!$D169/0.5*1.5,0)</f>
        <v>0</v>
      </c>
      <c r="Z169" s="60">
        <f>IF(CODE('Levantamento dutos'!$E169)=76,ROUND(('Levantamento dutos'!$D169)+('Levantamento dutos'!$D169*Calculos!$G169*2)*1.1,0),0)</f>
        <v>0</v>
      </c>
      <c r="AA169" s="60">
        <f>IF(CODE('Levantamento dutos'!$G169)=80,('Levantamento dutos'!$D169/'Levantamento dutos'!$G$12)*8,0)</f>
        <v>0</v>
      </c>
      <c r="AB169" s="60">
        <f>IF(CODE('Levantamento dutos'!$G169)=80,IF('Levantamento dutos'!$B169&gt;30,('Levantamento dutos'!$D169/'Levantamento dutos'!$G$12)*4,0),0)</f>
        <v>0</v>
      </c>
      <c r="AC169" s="60">
        <f>IF('Levantamento dutos'!$B169&gt;220,('Levantamento dutos'!$D169/'Levantamento dutos'!$G$12*Calculos!$G169*2),0)</f>
        <v>0</v>
      </c>
      <c r="AD169" s="60">
        <f>IF(CODE('Levantamento dutos'!$E169)=73,((('Levantamento dutos'!$E$12/1000)+0.02)*'Levantamento dutos'!$D169)*4*1.3,0)</f>
        <v>0</v>
      </c>
      <c r="AE169" s="60">
        <f>IF(CODE('Levantamento dutos'!$E169)=80,((('Levantamento dutos'!$E$12/1000)+0.02)*'Levantamento dutos'!$D169)*4*1.3,0)</f>
        <v>0</v>
      </c>
    </row>
    <row r="170" spans="2:31" x14ac:dyDescent="0.2">
      <c r="B170" s="58">
        <f>IF('Levantamento dutos'!$B170&lt;=Calculos!$Z$3,((('Levantamento dutos'!$B170)/100+('Levantamento dutos'!$C170)/100)*2)*'Levantamento dutos'!$D170,0)</f>
        <v>0</v>
      </c>
      <c r="C170">
        <f>IF('Levantamento dutos'!$B170&gt;Calculos!$Z$3,IF('Levantamento dutos'!$B170&lt;=Calculos!$Z$4,((('Levantamento dutos'!$B170)/100+('Levantamento dutos'!$C170)/100)*2)*'Levantamento dutos'!$D170,0),0)</f>
        <v>0</v>
      </c>
      <c r="D170">
        <f>IF('Levantamento dutos'!$B170&gt;Calculos!$Z$4,IF('Levantamento dutos'!$B170&lt;=Calculos!$Z$5,((('Levantamento dutos'!$B170)/100+('Levantamento dutos'!$C170)/100)*2)*'Levantamento dutos'!$D170,0),0)</f>
        <v>0</v>
      </c>
      <c r="E170">
        <f>IF('Levantamento dutos'!$B170&gt;Calculos!$Z$5,IF('Levantamento dutos'!$B170&lt;=Calculos!$Z$6,((('Levantamento dutos'!$B170)/100+('Levantamento dutos'!$C170)/100)*2)*'Levantamento dutos'!$D170,0),0)</f>
        <v>0</v>
      </c>
      <c r="F170" s="59">
        <f>IF('Levantamento dutos'!$B170&gt;Calculos!$Z$7,((('Levantamento dutos'!$B170)/100+('Levantamento dutos'!$C170)/100)*2)*'Levantamento dutos'!$D170,0)</f>
        <v>0</v>
      </c>
      <c r="G170">
        <f>(('Levantamento dutos'!B170+'Levantamento dutos'!C170)/100)*2</f>
        <v>0</v>
      </c>
      <c r="H170" s="58">
        <f>IF(CODE('Levantamento dutos'!$E170)=76,SUM($B170:$F170),0)</f>
        <v>0</v>
      </c>
      <c r="I170">
        <f>IF(CODE('Levantamento dutos'!$E170)=73,SUM($B170:$F170),0)</f>
        <v>0</v>
      </c>
      <c r="J170">
        <f>IF(CODE('Levantamento dutos'!$E170)=80,SUM($B170:$F170),0)</f>
        <v>0</v>
      </c>
      <c r="K170">
        <f>IF(CODE('Levantamento dutos'!$F170)=66,SUM($B170:$F170),0)</f>
        <v>0</v>
      </c>
      <c r="L170">
        <f>IF(CODE('Levantamento dutos'!$F170)=70,SUM($B170:$F170),0)</f>
        <v>0</v>
      </c>
      <c r="M170" s="59">
        <f>IF(CODE('Levantamento dutos'!$E170)=84,SUM($B170:$F170),0)</f>
        <v>0</v>
      </c>
      <c r="N170" s="60">
        <f>IF(CODE('Levantamento dutos'!$G170)=80,IF('Levantamento dutos'!$B170&lt;=200,('Levantamento dutos'!$D170/'Levantamento dutos'!$G$12*Calculos!$G170*2),0),0)</f>
        <v>0</v>
      </c>
      <c r="O170" s="60">
        <f>IF(CODE('Levantamento dutos'!$G170)=80,IF('Levantamento dutos'!$B170&gt;200,('Levantamento dutos'!$D170/'Levantamento dutos'!$G$12*Calculos!$G170*2),0),0)</f>
        <v>0</v>
      </c>
      <c r="P170" s="60">
        <f>IF(CODE('Levantamento dutos'!$G170)=67,('Levantamento dutos'!$D170/'Levantamento dutos'!$G$12*Calculos!$G170*2),0)</f>
        <v>0</v>
      </c>
      <c r="Q170" s="60">
        <f>IF(CODE('Levantamento dutos'!H170)=83,((('Levantamento dutos'!B170/100)+('Levantamento dutos'!$H$12/1000))+(('Levantamento dutos'!C170/100)+('Levantamento dutos'!$H$12)/1000))*2*'Levantamento dutos'!D170,0)</f>
        <v>0</v>
      </c>
      <c r="S170" s="60">
        <f>IF(CODE('Levantamento dutos'!$I170)=83,$Q170,0)</f>
        <v>0</v>
      </c>
      <c r="T170" s="60">
        <f>IF(CODE('Levantamento dutos'!$E170)=76,ROUND((('Levantamento dutos'!$D170/5)*(Calculos!$G170+0.2)*1.2),0),0)</f>
        <v>0</v>
      </c>
      <c r="U170" s="60">
        <f>IF(CODE('Levantamento dutos'!$E170)=73,ROUND((('Levantamento dutos'!$D170/0.5)*(Calculos!$G170+0.2)*1.2),0),0)</f>
        <v>0</v>
      </c>
      <c r="V170" s="60">
        <f>IF(CODE('Levantamento dutos'!$E170)=80,ROUND((('Levantamento dutos'!$D170/0.5)*(Calculos!$G170+0.2)*1.2),0),0)</f>
        <v>0</v>
      </c>
      <c r="W170" s="60">
        <f>IF(CODE('Levantamento dutos'!$E170)=76,'Levantamento dutos'!$D170/0.5*1.5,0)</f>
        <v>0</v>
      </c>
      <c r="X170" s="60">
        <f>IF(CODE('Levantamento dutos'!$E170)=73,'Levantamento dutos'!$D170/0.5*1.5,0)</f>
        <v>0</v>
      </c>
      <c r="Y170" s="60">
        <f>IF(CODE('Levantamento dutos'!$E170)=80,'Levantamento dutos'!$D170/0.5*1.5,0)</f>
        <v>0</v>
      </c>
      <c r="Z170" s="60">
        <f>IF(CODE('Levantamento dutos'!$E170)=76,ROUND(('Levantamento dutos'!$D170)+('Levantamento dutos'!$D170*Calculos!$G170*2)*1.1,0),0)</f>
        <v>0</v>
      </c>
      <c r="AA170" s="60">
        <f>IF(CODE('Levantamento dutos'!$G170)=80,('Levantamento dutos'!$D170/'Levantamento dutos'!$G$12)*8,0)</f>
        <v>0</v>
      </c>
      <c r="AB170" s="60">
        <f>IF(CODE('Levantamento dutos'!$G170)=80,IF('Levantamento dutos'!$B170&gt;30,('Levantamento dutos'!$D170/'Levantamento dutos'!$G$12)*4,0),0)</f>
        <v>0</v>
      </c>
      <c r="AC170" s="60">
        <f>IF('Levantamento dutos'!$B170&gt;220,('Levantamento dutos'!$D170/'Levantamento dutos'!$G$12*Calculos!$G170*2),0)</f>
        <v>0</v>
      </c>
      <c r="AD170" s="60">
        <f>IF(CODE('Levantamento dutos'!$E170)=73,((('Levantamento dutos'!$E$12/1000)+0.02)*'Levantamento dutos'!$D170)*4*1.3,0)</f>
        <v>0</v>
      </c>
      <c r="AE170" s="60">
        <f>IF(CODE('Levantamento dutos'!$E170)=80,((('Levantamento dutos'!$E$12/1000)+0.02)*'Levantamento dutos'!$D170)*4*1.3,0)</f>
        <v>0</v>
      </c>
    </row>
    <row r="171" spans="2:31" x14ac:dyDescent="0.2">
      <c r="B171" s="58">
        <f>IF('Levantamento dutos'!$B171&lt;=Calculos!$Z$3,((('Levantamento dutos'!$B171)/100+('Levantamento dutos'!$C171)/100)*2)*'Levantamento dutos'!$D171,0)</f>
        <v>0</v>
      </c>
      <c r="C171">
        <f>IF('Levantamento dutos'!$B171&gt;Calculos!$Z$3,IF('Levantamento dutos'!$B171&lt;=Calculos!$Z$4,((('Levantamento dutos'!$B171)/100+('Levantamento dutos'!$C171)/100)*2)*'Levantamento dutos'!$D171,0),0)</f>
        <v>0</v>
      </c>
      <c r="D171">
        <f>IF('Levantamento dutos'!$B171&gt;Calculos!$Z$4,IF('Levantamento dutos'!$B171&lt;=Calculos!$Z$5,((('Levantamento dutos'!$B171)/100+('Levantamento dutos'!$C171)/100)*2)*'Levantamento dutos'!$D171,0),0)</f>
        <v>0</v>
      </c>
      <c r="E171">
        <f>IF('Levantamento dutos'!$B171&gt;Calculos!$Z$5,IF('Levantamento dutos'!$B171&lt;=Calculos!$Z$6,((('Levantamento dutos'!$B171)/100+('Levantamento dutos'!$C171)/100)*2)*'Levantamento dutos'!$D171,0),0)</f>
        <v>0</v>
      </c>
      <c r="F171" s="59">
        <f>IF('Levantamento dutos'!$B171&gt;Calculos!$Z$7,((('Levantamento dutos'!$B171)/100+('Levantamento dutos'!$C171)/100)*2)*'Levantamento dutos'!$D171,0)</f>
        <v>0</v>
      </c>
      <c r="G171">
        <f>(('Levantamento dutos'!B171+'Levantamento dutos'!C171)/100)*2</f>
        <v>0</v>
      </c>
      <c r="H171" s="58">
        <f>IF(CODE('Levantamento dutos'!$E171)=76,SUM($B171:$F171),0)</f>
        <v>0</v>
      </c>
      <c r="I171">
        <f>IF(CODE('Levantamento dutos'!$E171)=73,SUM($B171:$F171),0)</f>
        <v>0</v>
      </c>
      <c r="J171">
        <f>IF(CODE('Levantamento dutos'!$E171)=80,SUM($B171:$F171),0)</f>
        <v>0</v>
      </c>
      <c r="K171">
        <f>IF(CODE('Levantamento dutos'!$F171)=66,SUM($B171:$F171),0)</f>
        <v>0</v>
      </c>
      <c r="L171">
        <f>IF(CODE('Levantamento dutos'!$F171)=70,SUM($B171:$F171),0)</f>
        <v>0</v>
      </c>
      <c r="M171" s="59">
        <f>IF(CODE('Levantamento dutos'!$E171)=84,SUM($B171:$F171),0)</f>
        <v>0</v>
      </c>
      <c r="N171" s="60">
        <f>IF(CODE('Levantamento dutos'!$G171)=80,IF('Levantamento dutos'!$B171&lt;=200,('Levantamento dutos'!$D171/'Levantamento dutos'!$G$12*Calculos!$G171*2),0),0)</f>
        <v>0</v>
      </c>
      <c r="O171" s="60">
        <f>IF(CODE('Levantamento dutos'!$G171)=80,IF('Levantamento dutos'!$B171&gt;200,('Levantamento dutos'!$D171/'Levantamento dutos'!$G$12*Calculos!$G171*2),0),0)</f>
        <v>0</v>
      </c>
      <c r="P171" s="60">
        <f>IF(CODE('Levantamento dutos'!$G171)=67,('Levantamento dutos'!$D171/'Levantamento dutos'!$G$12*Calculos!$G171*2),0)</f>
        <v>0</v>
      </c>
      <c r="Q171" s="60">
        <f>IF(CODE('Levantamento dutos'!H171)=83,((('Levantamento dutos'!B171/100)+('Levantamento dutos'!$H$12/1000))+(('Levantamento dutos'!C171/100)+('Levantamento dutos'!$H$12)/1000))*2*'Levantamento dutos'!D171,0)</f>
        <v>0</v>
      </c>
      <c r="S171" s="60">
        <f>IF(CODE('Levantamento dutos'!$I171)=83,$Q171,0)</f>
        <v>0</v>
      </c>
      <c r="T171" s="60">
        <f>IF(CODE('Levantamento dutos'!$E171)=76,ROUND((('Levantamento dutos'!$D171/5)*(Calculos!$G171+0.2)*1.2),0),0)</f>
        <v>0</v>
      </c>
      <c r="U171" s="60">
        <f>IF(CODE('Levantamento dutos'!$E171)=73,ROUND((('Levantamento dutos'!$D171/0.5)*(Calculos!$G171+0.2)*1.2),0),0)</f>
        <v>0</v>
      </c>
      <c r="V171" s="60">
        <f>IF(CODE('Levantamento dutos'!$E171)=80,ROUND((('Levantamento dutos'!$D171/0.5)*(Calculos!$G171+0.2)*1.2),0),0)</f>
        <v>0</v>
      </c>
      <c r="W171" s="60">
        <f>IF(CODE('Levantamento dutos'!$E171)=76,'Levantamento dutos'!$D171/0.5*1.5,0)</f>
        <v>0</v>
      </c>
      <c r="X171" s="60">
        <f>IF(CODE('Levantamento dutos'!$E171)=73,'Levantamento dutos'!$D171/0.5*1.5,0)</f>
        <v>0</v>
      </c>
      <c r="Y171" s="60">
        <f>IF(CODE('Levantamento dutos'!$E171)=80,'Levantamento dutos'!$D171/0.5*1.5,0)</f>
        <v>0</v>
      </c>
      <c r="Z171" s="60">
        <f>IF(CODE('Levantamento dutos'!$E171)=76,ROUND(('Levantamento dutos'!$D171)+('Levantamento dutos'!$D171*Calculos!$G171*2)*1.1,0),0)</f>
        <v>0</v>
      </c>
      <c r="AA171" s="60">
        <f>IF(CODE('Levantamento dutos'!$G171)=80,('Levantamento dutos'!$D171/'Levantamento dutos'!$G$12)*8,0)</f>
        <v>0</v>
      </c>
      <c r="AB171" s="60">
        <f>IF(CODE('Levantamento dutos'!$G171)=80,IF('Levantamento dutos'!$B171&gt;30,('Levantamento dutos'!$D171/'Levantamento dutos'!$G$12)*4,0),0)</f>
        <v>0</v>
      </c>
      <c r="AC171" s="60">
        <f>IF('Levantamento dutos'!$B171&gt;220,('Levantamento dutos'!$D171/'Levantamento dutos'!$G$12*Calculos!$G171*2),0)</f>
        <v>0</v>
      </c>
      <c r="AD171" s="60">
        <f>IF(CODE('Levantamento dutos'!$E171)=73,((('Levantamento dutos'!$E$12/1000)+0.02)*'Levantamento dutos'!$D171)*4*1.3,0)</f>
        <v>0</v>
      </c>
      <c r="AE171" s="60">
        <f>IF(CODE('Levantamento dutos'!$E171)=80,((('Levantamento dutos'!$E$12/1000)+0.02)*'Levantamento dutos'!$D171)*4*1.3,0)</f>
        <v>0</v>
      </c>
    </row>
    <row r="172" spans="2:31" x14ac:dyDescent="0.2">
      <c r="B172" s="58">
        <f>IF('Levantamento dutos'!$B172&lt;=Calculos!$Z$3,((('Levantamento dutos'!$B172)/100+('Levantamento dutos'!$C172)/100)*2)*'Levantamento dutos'!$D172,0)</f>
        <v>0</v>
      </c>
      <c r="C172">
        <f>IF('Levantamento dutos'!$B172&gt;Calculos!$Z$3,IF('Levantamento dutos'!$B172&lt;=Calculos!$Z$4,((('Levantamento dutos'!$B172)/100+('Levantamento dutos'!$C172)/100)*2)*'Levantamento dutos'!$D172,0),0)</f>
        <v>0</v>
      </c>
      <c r="D172">
        <f>IF('Levantamento dutos'!$B172&gt;Calculos!$Z$4,IF('Levantamento dutos'!$B172&lt;=Calculos!$Z$5,((('Levantamento dutos'!$B172)/100+('Levantamento dutos'!$C172)/100)*2)*'Levantamento dutos'!$D172,0),0)</f>
        <v>0</v>
      </c>
      <c r="E172">
        <f>IF('Levantamento dutos'!$B172&gt;Calculos!$Z$5,IF('Levantamento dutos'!$B172&lt;=Calculos!$Z$6,((('Levantamento dutos'!$B172)/100+('Levantamento dutos'!$C172)/100)*2)*'Levantamento dutos'!$D172,0),0)</f>
        <v>0</v>
      </c>
      <c r="F172" s="59">
        <f>IF('Levantamento dutos'!$B172&gt;Calculos!$Z$7,((('Levantamento dutos'!$B172)/100+('Levantamento dutos'!$C172)/100)*2)*'Levantamento dutos'!$D172,0)</f>
        <v>0</v>
      </c>
      <c r="G172">
        <f>(('Levantamento dutos'!B172+'Levantamento dutos'!C172)/100)*2</f>
        <v>0</v>
      </c>
      <c r="H172" s="58">
        <f>IF(CODE('Levantamento dutos'!$E172)=76,SUM($B172:$F172),0)</f>
        <v>0</v>
      </c>
      <c r="I172">
        <f>IF(CODE('Levantamento dutos'!$E172)=73,SUM($B172:$F172),0)</f>
        <v>0</v>
      </c>
      <c r="J172">
        <f>IF(CODE('Levantamento dutos'!$E172)=80,SUM($B172:$F172),0)</f>
        <v>0</v>
      </c>
      <c r="K172">
        <f>IF(CODE('Levantamento dutos'!$F172)=66,SUM($B172:$F172),0)</f>
        <v>0</v>
      </c>
      <c r="L172">
        <f>IF(CODE('Levantamento dutos'!$F172)=70,SUM($B172:$F172),0)</f>
        <v>0</v>
      </c>
      <c r="M172" s="59">
        <f>IF(CODE('Levantamento dutos'!$E172)=84,SUM($B172:$F172),0)</f>
        <v>0</v>
      </c>
      <c r="N172" s="60">
        <f>IF(CODE('Levantamento dutos'!$G172)=80,IF('Levantamento dutos'!$B172&lt;=200,('Levantamento dutos'!$D172/'Levantamento dutos'!$G$12*Calculos!$G172*2),0),0)</f>
        <v>0</v>
      </c>
      <c r="O172" s="60">
        <f>IF(CODE('Levantamento dutos'!$G172)=80,IF('Levantamento dutos'!$B172&gt;200,('Levantamento dutos'!$D172/'Levantamento dutos'!$G$12*Calculos!$G172*2),0),0)</f>
        <v>0</v>
      </c>
      <c r="P172" s="60">
        <f>IF(CODE('Levantamento dutos'!$G172)=67,('Levantamento dutos'!$D172/'Levantamento dutos'!$G$12*Calculos!$G172*2),0)</f>
        <v>0</v>
      </c>
      <c r="Q172" s="60">
        <f>IF(CODE('Levantamento dutos'!H172)=83,((('Levantamento dutos'!B172/100)+('Levantamento dutos'!$H$12/1000))+(('Levantamento dutos'!C172/100)+('Levantamento dutos'!$H$12)/1000))*2*'Levantamento dutos'!D172,0)</f>
        <v>0</v>
      </c>
      <c r="S172" s="60">
        <f>IF(CODE('Levantamento dutos'!$I172)=83,$Q172,0)</f>
        <v>0</v>
      </c>
      <c r="T172" s="60">
        <f>IF(CODE('Levantamento dutos'!$E172)=76,ROUND((('Levantamento dutos'!$D172/5)*(Calculos!$G172+0.2)*1.2),0),0)</f>
        <v>0</v>
      </c>
      <c r="U172" s="60">
        <f>IF(CODE('Levantamento dutos'!$E172)=73,ROUND((('Levantamento dutos'!$D172/0.5)*(Calculos!$G172+0.2)*1.2),0),0)</f>
        <v>0</v>
      </c>
      <c r="V172" s="60">
        <f>IF(CODE('Levantamento dutos'!$E172)=80,ROUND((('Levantamento dutos'!$D172/0.5)*(Calculos!$G172+0.2)*1.2),0),0)</f>
        <v>0</v>
      </c>
      <c r="W172" s="60">
        <f>IF(CODE('Levantamento dutos'!$E172)=76,'Levantamento dutos'!$D172/0.5*1.5,0)</f>
        <v>0</v>
      </c>
      <c r="X172" s="60">
        <f>IF(CODE('Levantamento dutos'!$E172)=73,'Levantamento dutos'!$D172/0.5*1.5,0)</f>
        <v>0</v>
      </c>
      <c r="Y172" s="60">
        <f>IF(CODE('Levantamento dutos'!$E172)=80,'Levantamento dutos'!$D172/0.5*1.5,0)</f>
        <v>0</v>
      </c>
      <c r="Z172" s="60">
        <f>IF(CODE('Levantamento dutos'!$E172)=76,ROUND(('Levantamento dutos'!$D172)+('Levantamento dutos'!$D172*Calculos!$G172*2)*1.1,0),0)</f>
        <v>0</v>
      </c>
      <c r="AA172" s="60">
        <f>IF(CODE('Levantamento dutos'!$G172)=80,('Levantamento dutos'!$D172/'Levantamento dutos'!$G$12)*8,0)</f>
        <v>0</v>
      </c>
      <c r="AB172" s="60">
        <f>IF(CODE('Levantamento dutos'!$G172)=80,IF('Levantamento dutos'!$B172&gt;30,('Levantamento dutos'!$D172/'Levantamento dutos'!$G$12)*4,0),0)</f>
        <v>0</v>
      </c>
      <c r="AC172" s="60">
        <f>IF('Levantamento dutos'!$B172&gt;220,('Levantamento dutos'!$D172/'Levantamento dutos'!$G$12*Calculos!$G172*2),0)</f>
        <v>0</v>
      </c>
      <c r="AD172" s="60">
        <f>IF(CODE('Levantamento dutos'!$E172)=73,((('Levantamento dutos'!$E$12/1000)+0.02)*'Levantamento dutos'!$D172)*4*1.3,0)</f>
        <v>0</v>
      </c>
      <c r="AE172" s="60">
        <f>IF(CODE('Levantamento dutos'!$E172)=80,((('Levantamento dutos'!$E$12/1000)+0.02)*'Levantamento dutos'!$D172)*4*1.3,0)</f>
        <v>0</v>
      </c>
    </row>
    <row r="173" spans="2:31" x14ac:dyDescent="0.2">
      <c r="B173" s="58">
        <f>IF('Levantamento dutos'!$B173&lt;=Calculos!$Z$3,((('Levantamento dutos'!$B173)/100+('Levantamento dutos'!$C173)/100)*2)*'Levantamento dutos'!$D173,0)</f>
        <v>0</v>
      </c>
      <c r="C173">
        <f>IF('Levantamento dutos'!$B173&gt;Calculos!$Z$3,IF('Levantamento dutos'!$B173&lt;=Calculos!$Z$4,((('Levantamento dutos'!$B173)/100+('Levantamento dutos'!$C173)/100)*2)*'Levantamento dutos'!$D173,0),0)</f>
        <v>0</v>
      </c>
      <c r="D173">
        <f>IF('Levantamento dutos'!$B173&gt;Calculos!$Z$4,IF('Levantamento dutos'!$B173&lt;=Calculos!$Z$5,((('Levantamento dutos'!$B173)/100+('Levantamento dutos'!$C173)/100)*2)*'Levantamento dutos'!$D173,0),0)</f>
        <v>0</v>
      </c>
      <c r="E173">
        <f>IF('Levantamento dutos'!$B173&gt;Calculos!$Z$5,IF('Levantamento dutos'!$B173&lt;=Calculos!$Z$6,((('Levantamento dutos'!$B173)/100+('Levantamento dutos'!$C173)/100)*2)*'Levantamento dutos'!$D173,0),0)</f>
        <v>0</v>
      </c>
      <c r="F173" s="59">
        <f>IF('Levantamento dutos'!$B173&gt;Calculos!$Z$7,((('Levantamento dutos'!$B173)/100+('Levantamento dutos'!$C173)/100)*2)*'Levantamento dutos'!$D173,0)</f>
        <v>0</v>
      </c>
      <c r="G173">
        <f>(('Levantamento dutos'!B173+'Levantamento dutos'!C173)/100)*2</f>
        <v>0</v>
      </c>
      <c r="H173" s="58">
        <f>IF(CODE('Levantamento dutos'!$E173)=76,SUM($B173:$F173),0)</f>
        <v>0</v>
      </c>
      <c r="I173">
        <f>IF(CODE('Levantamento dutos'!$E173)=73,SUM($B173:$F173),0)</f>
        <v>0</v>
      </c>
      <c r="J173">
        <f>IF(CODE('Levantamento dutos'!$E173)=80,SUM($B173:$F173),0)</f>
        <v>0</v>
      </c>
      <c r="K173">
        <f>IF(CODE('Levantamento dutos'!$F173)=66,SUM($B173:$F173),0)</f>
        <v>0</v>
      </c>
      <c r="L173">
        <f>IF(CODE('Levantamento dutos'!$F173)=70,SUM($B173:$F173),0)</f>
        <v>0</v>
      </c>
      <c r="M173" s="59">
        <f>IF(CODE('Levantamento dutos'!$E173)=84,SUM($B173:$F173),0)</f>
        <v>0</v>
      </c>
      <c r="N173" s="60">
        <f>IF(CODE('Levantamento dutos'!$G173)=80,IF('Levantamento dutos'!$B173&lt;=200,('Levantamento dutos'!$D173/'Levantamento dutos'!$G$12*Calculos!$G173*2),0),0)</f>
        <v>0</v>
      </c>
      <c r="O173" s="60">
        <f>IF(CODE('Levantamento dutos'!$G173)=80,IF('Levantamento dutos'!$B173&gt;200,('Levantamento dutos'!$D173/'Levantamento dutos'!$G$12*Calculos!$G173*2),0),0)</f>
        <v>0</v>
      </c>
      <c r="P173" s="60">
        <f>IF(CODE('Levantamento dutos'!$G173)=67,('Levantamento dutos'!$D173/'Levantamento dutos'!$G$12*Calculos!$G173*2),0)</f>
        <v>0</v>
      </c>
      <c r="Q173" s="60">
        <f>IF(CODE('Levantamento dutos'!H173)=83,((('Levantamento dutos'!B173/100)+('Levantamento dutos'!$H$12/1000))+(('Levantamento dutos'!C173/100)+('Levantamento dutos'!$H$12)/1000))*2*'Levantamento dutos'!D173,0)</f>
        <v>0</v>
      </c>
      <c r="S173" s="60">
        <f>IF(CODE('Levantamento dutos'!$I173)=83,$Q173,0)</f>
        <v>0</v>
      </c>
      <c r="T173" s="60">
        <f>IF(CODE('Levantamento dutos'!$E173)=76,ROUND((('Levantamento dutos'!$D173/5)*(Calculos!$G173+0.2)*1.2),0),0)</f>
        <v>0</v>
      </c>
      <c r="U173" s="60">
        <f>IF(CODE('Levantamento dutos'!$E173)=73,ROUND((('Levantamento dutos'!$D173/0.5)*(Calculos!$G173+0.2)*1.2),0),0)</f>
        <v>0</v>
      </c>
      <c r="V173" s="60">
        <f>IF(CODE('Levantamento dutos'!$E173)=80,ROUND((('Levantamento dutos'!$D173/0.5)*(Calculos!$G173+0.2)*1.2),0),0)</f>
        <v>0</v>
      </c>
      <c r="W173" s="60">
        <f>IF(CODE('Levantamento dutos'!$E173)=76,'Levantamento dutos'!$D173/0.5*1.5,0)</f>
        <v>0</v>
      </c>
      <c r="X173" s="60">
        <f>IF(CODE('Levantamento dutos'!$E173)=73,'Levantamento dutos'!$D173/0.5*1.5,0)</f>
        <v>0</v>
      </c>
      <c r="Y173" s="60">
        <f>IF(CODE('Levantamento dutos'!$E173)=80,'Levantamento dutos'!$D173/0.5*1.5,0)</f>
        <v>0</v>
      </c>
      <c r="Z173" s="60">
        <f>IF(CODE('Levantamento dutos'!$E173)=76,ROUND(('Levantamento dutos'!$D173)+('Levantamento dutos'!$D173*Calculos!$G173*2)*1.1,0),0)</f>
        <v>0</v>
      </c>
      <c r="AA173" s="60">
        <f>IF(CODE('Levantamento dutos'!$G173)=80,('Levantamento dutos'!$D173/'Levantamento dutos'!$G$12)*8,0)</f>
        <v>0</v>
      </c>
      <c r="AB173" s="60">
        <f>IF(CODE('Levantamento dutos'!$G173)=80,IF('Levantamento dutos'!$B173&gt;30,('Levantamento dutos'!$D173/'Levantamento dutos'!$G$12)*4,0),0)</f>
        <v>0</v>
      </c>
      <c r="AC173" s="60">
        <f>IF('Levantamento dutos'!$B173&gt;220,('Levantamento dutos'!$D173/'Levantamento dutos'!$G$12*Calculos!$G173*2),0)</f>
        <v>0</v>
      </c>
      <c r="AD173" s="60">
        <f>IF(CODE('Levantamento dutos'!$E173)=73,((('Levantamento dutos'!$E$12/1000)+0.02)*'Levantamento dutos'!$D173)*4*1.3,0)</f>
        <v>0</v>
      </c>
      <c r="AE173" s="60">
        <f>IF(CODE('Levantamento dutos'!$E173)=80,((('Levantamento dutos'!$E$12/1000)+0.02)*'Levantamento dutos'!$D173)*4*1.3,0)</f>
        <v>0</v>
      </c>
    </row>
    <row r="174" spans="2:31" x14ac:dyDescent="0.2">
      <c r="B174" s="58">
        <f>IF('Levantamento dutos'!$B174&lt;=Calculos!$Z$3,((('Levantamento dutos'!$B174)/100+('Levantamento dutos'!$C174)/100)*2)*'Levantamento dutos'!$D174,0)</f>
        <v>0</v>
      </c>
      <c r="C174">
        <f>IF('Levantamento dutos'!$B174&gt;Calculos!$Z$3,IF('Levantamento dutos'!$B174&lt;=Calculos!$Z$4,((('Levantamento dutos'!$B174)/100+('Levantamento dutos'!$C174)/100)*2)*'Levantamento dutos'!$D174,0),0)</f>
        <v>0</v>
      </c>
      <c r="D174">
        <f>IF('Levantamento dutos'!$B174&gt;Calculos!$Z$4,IF('Levantamento dutos'!$B174&lt;=Calculos!$Z$5,((('Levantamento dutos'!$B174)/100+('Levantamento dutos'!$C174)/100)*2)*'Levantamento dutos'!$D174,0),0)</f>
        <v>0</v>
      </c>
      <c r="E174">
        <f>IF('Levantamento dutos'!$B174&gt;Calculos!$Z$5,IF('Levantamento dutos'!$B174&lt;=Calculos!$Z$6,((('Levantamento dutos'!$B174)/100+('Levantamento dutos'!$C174)/100)*2)*'Levantamento dutos'!$D174,0),0)</f>
        <v>0</v>
      </c>
      <c r="F174" s="59">
        <f>IF('Levantamento dutos'!$B174&gt;Calculos!$Z$7,((('Levantamento dutos'!$B174)/100+('Levantamento dutos'!$C174)/100)*2)*'Levantamento dutos'!$D174,0)</f>
        <v>0</v>
      </c>
      <c r="G174">
        <f>(('Levantamento dutos'!B174+'Levantamento dutos'!C174)/100)*2</f>
        <v>0</v>
      </c>
      <c r="H174" s="58">
        <f>IF(CODE('Levantamento dutos'!$E174)=76,SUM($B174:$F174),0)</f>
        <v>0</v>
      </c>
      <c r="I174">
        <f>IF(CODE('Levantamento dutos'!$E174)=73,SUM($B174:$F174),0)</f>
        <v>0</v>
      </c>
      <c r="J174">
        <f>IF(CODE('Levantamento dutos'!$E174)=80,SUM($B174:$F174),0)</f>
        <v>0</v>
      </c>
      <c r="K174">
        <f>IF(CODE('Levantamento dutos'!$F174)=66,SUM($B174:$F174),0)</f>
        <v>0</v>
      </c>
      <c r="L174">
        <f>IF(CODE('Levantamento dutos'!$F174)=70,SUM($B174:$F174),0)</f>
        <v>0</v>
      </c>
      <c r="M174" s="59">
        <f>IF(CODE('Levantamento dutos'!$E174)=84,SUM($B174:$F174),0)</f>
        <v>0</v>
      </c>
      <c r="N174" s="60">
        <f>IF(CODE('Levantamento dutos'!$G174)=80,IF('Levantamento dutos'!$B174&lt;=200,('Levantamento dutos'!$D174/'Levantamento dutos'!$G$12*Calculos!$G174*2),0),0)</f>
        <v>0</v>
      </c>
      <c r="O174" s="60">
        <f>IF(CODE('Levantamento dutos'!$G174)=80,IF('Levantamento dutos'!$B174&gt;200,('Levantamento dutos'!$D174/'Levantamento dutos'!$G$12*Calculos!$G174*2),0),0)</f>
        <v>0</v>
      </c>
      <c r="P174" s="60">
        <f>IF(CODE('Levantamento dutos'!$G174)=67,('Levantamento dutos'!$D174/'Levantamento dutos'!$G$12*Calculos!$G174*2),0)</f>
        <v>0</v>
      </c>
      <c r="Q174" s="60">
        <f>IF(CODE('Levantamento dutos'!H174)=83,((('Levantamento dutos'!B174/100)+('Levantamento dutos'!$H$12/1000))+(('Levantamento dutos'!C174/100)+('Levantamento dutos'!$H$12)/1000))*2*'Levantamento dutos'!D174,0)</f>
        <v>0</v>
      </c>
      <c r="S174" s="60">
        <f>IF(CODE('Levantamento dutos'!$I174)=83,$Q174,0)</f>
        <v>0</v>
      </c>
      <c r="T174" s="60">
        <f>IF(CODE('Levantamento dutos'!$E174)=76,ROUND((('Levantamento dutos'!$D174/5)*(Calculos!$G174+0.2)*1.2),0),0)</f>
        <v>0</v>
      </c>
      <c r="U174" s="60">
        <f>IF(CODE('Levantamento dutos'!$E174)=73,ROUND((('Levantamento dutos'!$D174/0.5)*(Calculos!$G174+0.2)*1.2),0),0)</f>
        <v>0</v>
      </c>
      <c r="V174" s="60">
        <f>IF(CODE('Levantamento dutos'!$E174)=80,ROUND((('Levantamento dutos'!$D174/0.5)*(Calculos!$G174+0.2)*1.2),0),0)</f>
        <v>0</v>
      </c>
      <c r="W174" s="60">
        <f>IF(CODE('Levantamento dutos'!$E174)=76,'Levantamento dutos'!$D174/0.5*1.5,0)</f>
        <v>0</v>
      </c>
      <c r="X174" s="60">
        <f>IF(CODE('Levantamento dutos'!$E174)=73,'Levantamento dutos'!$D174/0.5*1.5,0)</f>
        <v>0</v>
      </c>
      <c r="Y174" s="60">
        <f>IF(CODE('Levantamento dutos'!$E174)=80,'Levantamento dutos'!$D174/0.5*1.5,0)</f>
        <v>0</v>
      </c>
      <c r="Z174" s="60">
        <f>IF(CODE('Levantamento dutos'!$E174)=76,ROUND(('Levantamento dutos'!$D174)+('Levantamento dutos'!$D174*Calculos!$G174*2)*1.1,0),0)</f>
        <v>0</v>
      </c>
      <c r="AA174" s="60">
        <f>IF(CODE('Levantamento dutos'!$G174)=80,('Levantamento dutos'!$D174/'Levantamento dutos'!$G$12)*8,0)</f>
        <v>0</v>
      </c>
      <c r="AB174" s="60">
        <f>IF(CODE('Levantamento dutos'!$G174)=80,IF('Levantamento dutos'!$B174&gt;30,('Levantamento dutos'!$D174/'Levantamento dutos'!$G$12)*4,0),0)</f>
        <v>0</v>
      </c>
      <c r="AC174" s="60">
        <f>IF('Levantamento dutos'!$B174&gt;220,('Levantamento dutos'!$D174/'Levantamento dutos'!$G$12*Calculos!$G174*2),0)</f>
        <v>0</v>
      </c>
      <c r="AD174" s="60">
        <f>IF(CODE('Levantamento dutos'!$E174)=73,((('Levantamento dutos'!$E$12/1000)+0.02)*'Levantamento dutos'!$D174)*4*1.3,0)</f>
        <v>0</v>
      </c>
      <c r="AE174" s="60">
        <f>IF(CODE('Levantamento dutos'!$E174)=80,((('Levantamento dutos'!$E$12/1000)+0.02)*'Levantamento dutos'!$D174)*4*1.3,0)</f>
        <v>0</v>
      </c>
    </row>
    <row r="175" spans="2:31" x14ac:dyDescent="0.2">
      <c r="B175" s="58">
        <f>IF('Levantamento dutos'!$B175&lt;=Calculos!$Z$3,((('Levantamento dutos'!$B175)/100+('Levantamento dutos'!$C175)/100)*2)*'Levantamento dutos'!$D175,0)</f>
        <v>0</v>
      </c>
      <c r="C175">
        <f>IF('Levantamento dutos'!$B175&gt;Calculos!$Z$3,IF('Levantamento dutos'!$B175&lt;=Calculos!$Z$4,((('Levantamento dutos'!$B175)/100+('Levantamento dutos'!$C175)/100)*2)*'Levantamento dutos'!$D175,0),0)</f>
        <v>0</v>
      </c>
      <c r="D175">
        <f>IF('Levantamento dutos'!$B175&gt;Calculos!$Z$4,IF('Levantamento dutos'!$B175&lt;=Calculos!$Z$5,((('Levantamento dutos'!$B175)/100+('Levantamento dutos'!$C175)/100)*2)*'Levantamento dutos'!$D175,0),0)</f>
        <v>0</v>
      </c>
      <c r="E175">
        <f>IF('Levantamento dutos'!$B175&gt;Calculos!$Z$5,IF('Levantamento dutos'!$B175&lt;=Calculos!$Z$6,((('Levantamento dutos'!$B175)/100+('Levantamento dutos'!$C175)/100)*2)*'Levantamento dutos'!$D175,0),0)</f>
        <v>0</v>
      </c>
      <c r="F175" s="59">
        <f>IF('Levantamento dutos'!$B175&gt;Calculos!$Z$7,((('Levantamento dutos'!$B175)/100+('Levantamento dutos'!$C175)/100)*2)*'Levantamento dutos'!$D175,0)</f>
        <v>0</v>
      </c>
      <c r="G175">
        <f>(('Levantamento dutos'!B175+'Levantamento dutos'!C175)/100)*2</f>
        <v>0</v>
      </c>
      <c r="H175" s="58">
        <f>IF(CODE('Levantamento dutos'!$E175)=76,SUM($B175:$F175),0)</f>
        <v>0</v>
      </c>
      <c r="I175">
        <f>IF(CODE('Levantamento dutos'!$E175)=73,SUM($B175:$F175),0)</f>
        <v>0</v>
      </c>
      <c r="J175">
        <f>IF(CODE('Levantamento dutos'!$E175)=80,SUM($B175:$F175),0)</f>
        <v>0</v>
      </c>
      <c r="K175">
        <f>IF(CODE('Levantamento dutos'!$F175)=66,SUM($B175:$F175),0)</f>
        <v>0</v>
      </c>
      <c r="L175">
        <f>IF(CODE('Levantamento dutos'!$F175)=70,SUM($B175:$F175),0)</f>
        <v>0</v>
      </c>
      <c r="M175" s="59">
        <f>IF(CODE('Levantamento dutos'!$E175)=84,SUM($B175:$F175),0)</f>
        <v>0</v>
      </c>
      <c r="N175" s="60">
        <f>IF(CODE('Levantamento dutos'!$G175)=80,IF('Levantamento dutos'!$B175&lt;=200,('Levantamento dutos'!$D175/'Levantamento dutos'!$G$12*Calculos!$G175*2),0),0)</f>
        <v>0</v>
      </c>
      <c r="O175" s="60">
        <f>IF(CODE('Levantamento dutos'!$G175)=80,IF('Levantamento dutos'!$B175&gt;200,('Levantamento dutos'!$D175/'Levantamento dutos'!$G$12*Calculos!$G175*2),0),0)</f>
        <v>0</v>
      </c>
      <c r="P175" s="60">
        <f>IF(CODE('Levantamento dutos'!$G175)=67,('Levantamento dutos'!$D175/'Levantamento dutos'!$G$12*Calculos!$G175*2),0)</f>
        <v>0</v>
      </c>
      <c r="Q175" s="60">
        <f>IF(CODE('Levantamento dutos'!H175)=83,((('Levantamento dutos'!B175/100)+('Levantamento dutos'!$H$12/1000))+(('Levantamento dutos'!C175/100)+('Levantamento dutos'!$H$12)/1000))*2*'Levantamento dutos'!D175,0)</f>
        <v>0</v>
      </c>
      <c r="S175" s="60">
        <f>IF(CODE('Levantamento dutos'!$I175)=83,$Q175,0)</f>
        <v>0</v>
      </c>
      <c r="T175" s="60">
        <f>IF(CODE('Levantamento dutos'!$E175)=76,ROUND((('Levantamento dutos'!$D175/5)*(Calculos!$G175+0.2)*1.2),0),0)</f>
        <v>0</v>
      </c>
      <c r="U175" s="60">
        <f>IF(CODE('Levantamento dutos'!$E175)=73,ROUND((('Levantamento dutos'!$D175/0.5)*(Calculos!$G175+0.2)*1.2),0),0)</f>
        <v>0</v>
      </c>
      <c r="V175" s="60">
        <f>IF(CODE('Levantamento dutos'!$E175)=80,ROUND((('Levantamento dutos'!$D175/0.5)*(Calculos!$G175+0.2)*1.2),0),0)</f>
        <v>0</v>
      </c>
      <c r="W175" s="60">
        <f>IF(CODE('Levantamento dutos'!$E175)=76,'Levantamento dutos'!$D175/0.5*1.5,0)</f>
        <v>0</v>
      </c>
      <c r="X175" s="60">
        <f>IF(CODE('Levantamento dutos'!$E175)=73,'Levantamento dutos'!$D175/0.5*1.5,0)</f>
        <v>0</v>
      </c>
      <c r="Y175" s="60">
        <f>IF(CODE('Levantamento dutos'!$E175)=80,'Levantamento dutos'!$D175/0.5*1.5,0)</f>
        <v>0</v>
      </c>
      <c r="Z175" s="60">
        <f>IF(CODE('Levantamento dutos'!$E175)=76,ROUND(('Levantamento dutos'!$D175)+('Levantamento dutos'!$D175*Calculos!$G175*2)*1.1,0),0)</f>
        <v>0</v>
      </c>
      <c r="AA175" s="60">
        <f>IF(CODE('Levantamento dutos'!$G175)=80,('Levantamento dutos'!$D175/'Levantamento dutos'!$G$12)*8,0)</f>
        <v>0</v>
      </c>
      <c r="AB175" s="60">
        <f>IF(CODE('Levantamento dutos'!$G175)=80,IF('Levantamento dutos'!$B175&gt;30,('Levantamento dutos'!$D175/'Levantamento dutos'!$G$12)*4,0),0)</f>
        <v>0</v>
      </c>
      <c r="AC175" s="60">
        <f>IF('Levantamento dutos'!$B175&gt;220,('Levantamento dutos'!$D175/'Levantamento dutos'!$G$12*Calculos!$G175*2),0)</f>
        <v>0</v>
      </c>
      <c r="AD175" s="60">
        <f>IF(CODE('Levantamento dutos'!$E175)=73,((('Levantamento dutos'!$E$12/1000)+0.02)*'Levantamento dutos'!$D175)*4*1.3,0)</f>
        <v>0</v>
      </c>
      <c r="AE175" s="60">
        <f>IF(CODE('Levantamento dutos'!$E175)=80,((('Levantamento dutos'!$E$12/1000)+0.02)*'Levantamento dutos'!$D175)*4*1.3,0)</f>
        <v>0</v>
      </c>
    </row>
    <row r="176" spans="2:31" x14ac:dyDescent="0.2">
      <c r="B176" s="58">
        <f>IF('Levantamento dutos'!$B176&lt;=Calculos!$Z$3,((('Levantamento dutos'!$B176)/100+('Levantamento dutos'!$C176)/100)*2)*'Levantamento dutos'!$D176,0)</f>
        <v>0</v>
      </c>
      <c r="C176">
        <f>IF('Levantamento dutos'!$B176&gt;Calculos!$Z$3,IF('Levantamento dutos'!$B176&lt;=Calculos!$Z$4,((('Levantamento dutos'!$B176)/100+('Levantamento dutos'!$C176)/100)*2)*'Levantamento dutos'!$D176,0),0)</f>
        <v>0</v>
      </c>
      <c r="D176">
        <f>IF('Levantamento dutos'!$B176&gt;Calculos!$Z$4,IF('Levantamento dutos'!$B176&lt;=Calculos!$Z$5,((('Levantamento dutos'!$B176)/100+('Levantamento dutos'!$C176)/100)*2)*'Levantamento dutos'!$D176,0),0)</f>
        <v>0</v>
      </c>
      <c r="E176">
        <f>IF('Levantamento dutos'!$B176&gt;Calculos!$Z$5,IF('Levantamento dutos'!$B176&lt;=Calculos!$Z$6,((('Levantamento dutos'!$B176)/100+('Levantamento dutos'!$C176)/100)*2)*'Levantamento dutos'!$D176,0),0)</f>
        <v>0</v>
      </c>
      <c r="F176" s="59">
        <f>IF('Levantamento dutos'!$B176&gt;Calculos!$Z$7,((('Levantamento dutos'!$B176)/100+('Levantamento dutos'!$C176)/100)*2)*'Levantamento dutos'!$D176,0)</f>
        <v>0</v>
      </c>
      <c r="G176">
        <f>(('Levantamento dutos'!B176+'Levantamento dutos'!C176)/100)*2</f>
        <v>0</v>
      </c>
      <c r="H176" s="58">
        <f>IF(CODE('Levantamento dutos'!$E176)=76,SUM($B176:$F176),0)</f>
        <v>0</v>
      </c>
      <c r="I176">
        <f>IF(CODE('Levantamento dutos'!$E176)=73,SUM($B176:$F176),0)</f>
        <v>0</v>
      </c>
      <c r="J176">
        <f>IF(CODE('Levantamento dutos'!$E176)=80,SUM($B176:$F176),0)</f>
        <v>0</v>
      </c>
      <c r="K176">
        <f>IF(CODE('Levantamento dutos'!$F176)=66,SUM($B176:$F176),0)</f>
        <v>0</v>
      </c>
      <c r="L176">
        <f>IF(CODE('Levantamento dutos'!$F176)=70,SUM($B176:$F176),0)</f>
        <v>0</v>
      </c>
      <c r="M176" s="59">
        <f>IF(CODE('Levantamento dutos'!$E176)=84,SUM($B176:$F176),0)</f>
        <v>0</v>
      </c>
      <c r="N176" s="60">
        <f>IF(CODE('Levantamento dutos'!$G176)=80,IF('Levantamento dutos'!$B176&lt;=200,('Levantamento dutos'!$D176/'Levantamento dutos'!$G$12*Calculos!$G176*2),0),0)</f>
        <v>0</v>
      </c>
      <c r="O176" s="60">
        <f>IF(CODE('Levantamento dutos'!$G176)=80,IF('Levantamento dutos'!$B176&gt;200,('Levantamento dutos'!$D176/'Levantamento dutos'!$G$12*Calculos!$G176*2),0),0)</f>
        <v>0</v>
      </c>
      <c r="P176" s="60">
        <f>IF(CODE('Levantamento dutos'!$G176)=67,('Levantamento dutos'!$D176/'Levantamento dutos'!$G$12*Calculos!$G176*2),0)</f>
        <v>0</v>
      </c>
      <c r="Q176" s="60">
        <f>IF(CODE('Levantamento dutos'!H176)=83,((('Levantamento dutos'!B176/100)+('Levantamento dutos'!$H$12/1000))+(('Levantamento dutos'!C176/100)+('Levantamento dutos'!$H$12)/1000))*2*'Levantamento dutos'!D176,0)</f>
        <v>0</v>
      </c>
      <c r="S176" s="60">
        <f>IF(CODE('Levantamento dutos'!$I176)=83,$Q176,0)</f>
        <v>0</v>
      </c>
      <c r="T176" s="60">
        <f>IF(CODE('Levantamento dutos'!$E176)=76,ROUND((('Levantamento dutos'!$D176/5)*(Calculos!$G176+0.2)*1.2),0),0)</f>
        <v>0</v>
      </c>
      <c r="U176" s="60">
        <f>IF(CODE('Levantamento dutos'!$E176)=73,ROUND((('Levantamento dutos'!$D176/0.5)*(Calculos!$G176+0.2)*1.2),0),0)</f>
        <v>0</v>
      </c>
      <c r="V176" s="60">
        <f>IF(CODE('Levantamento dutos'!$E176)=80,ROUND((('Levantamento dutos'!$D176/0.5)*(Calculos!$G176+0.2)*1.2),0),0)</f>
        <v>0</v>
      </c>
      <c r="W176" s="60">
        <f>IF(CODE('Levantamento dutos'!$E176)=76,'Levantamento dutos'!$D176/0.5*1.5,0)</f>
        <v>0</v>
      </c>
      <c r="X176" s="60">
        <f>IF(CODE('Levantamento dutos'!$E176)=73,'Levantamento dutos'!$D176/0.5*1.5,0)</f>
        <v>0</v>
      </c>
      <c r="Y176" s="60">
        <f>IF(CODE('Levantamento dutos'!$E176)=80,'Levantamento dutos'!$D176/0.5*1.5,0)</f>
        <v>0</v>
      </c>
      <c r="Z176" s="60">
        <f>IF(CODE('Levantamento dutos'!$E176)=76,ROUND(('Levantamento dutos'!$D176)+('Levantamento dutos'!$D176*Calculos!$G176*2)*1.1,0),0)</f>
        <v>0</v>
      </c>
      <c r="AA176" s="60">
        <f>IF(CODE('Levantamento dutos'!$G176)=80,('Levantamento dutos'!$D176/'Levantamento dutos'!$G$12)*8,0)</f>
        <v>0</v>
      </c>
      <c r="AB176" s="60">
        <f>IF(CODE('Levantamento dutos'!$G176)=80,IF('Levantamento dutos'!$B176&gt;30,('Levantamento dutos'!$D176/'Levantamento dutos'!$G$12)*4,0),0)</f>
        <v>0</v>
      </c>
      <c r="AC176" s="60">
        <f>IF('Levantamento dutos'!$B176&gt;220,('Levantamento dutos'!$D176/'Levantamento dutos'!$G$12*Calculos!$G176*2),0)</f>
        <v>0</v>
      </c>
      <c r="AD176" s="60">
        <f>IF(CODE('Levantamento dutos'!$E176)=73,((('Levantamento dutos'!$E$12/1000)+0.02)*'Levantamento dutos'!$D176)*4*1.3,0)</f>
        <v>0</v>
      </c>
      <c r="AE176" s="60">
        <f>IF(CODE('Levantamento dutos'!$E176)=80,((('Levantamento dutos'!$E$12/1000)+0.02)*'Levantamento dutos'!$D176)*4*1.3,0)</f>
        <v>0</v>
      </c>
    </row>
    <row r="177" spans="2:31" x14ac:dyDescent="0.2">
      <c r="B177" s="58">
        <f>IF('Levantamento dutos'!$B177&lt;=Calculos!$Z$3,((('Levantamento dutos'!$B177)/100+('Levantamento dutos'!$C177)/100)*2)*'Levantamento dutos'!$D177,0)</f>
        <v>0</v>
      </c>
      <c r="C177">
        <f>IF('Levantamento dutos'!$B177&gt;Calculos!$Z$3,IF('Levantamento dutos'!$B177&lt;=Calculos!$Z$4,((('Levantamento dutos'!$B177)/100+('Levantamento dutos'!$C177)/100)*2)*'Levantamento dutos'!$D177,0),0)</f>
        <v>0</v>
      </c>
      <c r="D177">
        <f>IF('Levantamento dutos'!$B177&gt;Calculos!$Z$4,IF('Levantamento dutos'!$B177&lt;=Calculos!$Z$5,((('Levantamento dutos'!$B177)/100+('Levantamento dutos'!$C177)/100)*2)*'Levantamento dutos'!$D177,0),0)</f>
        <v>0</v>
      </c>
      <c r="E177">
        <f>IF('Levantamento dutos'!$B177&gt;Calculos!$Z$5,IF('Levantamento dutos'!$B177&lt;=Calculos!$Z$6,((('Levantamento dutos'!$B177)/100+('Levantamento dutos'!$C177)/100)*2)*'Levantamento dutos'!$D177,0),0)</f>
        <v>0</v>
      </c>
      <c r="F177" s="59">
        <f>IF('Levantamento dutos'!$B177&gt;Calculos!$Z$7,((('Levantamento dutos'!$B177)/100+('Levantamento dutos'!$C177)/100)*2)*'Levantamento dutos'!$D177,0)</f>
        <v>0</v>
      </c>
      <c r="G177">
        <f>(('Levantamento dutos'!B177+'Levantamento dutos'!C177)/100)*2</f>
        <v>0</v>
      </c>
      <c r="H177" s="58">
        <f>IF(CODE('Levantamento dutos'!$E177)=76,SUM($B177:$F177),0)</f>
        <v>0</v>
      </c>
      <c r="I177">
        <f>IF(CODE('Levantamento dutos'!$E177)=73,SUM($B177:$F177),0)</f>
        <v>0</v>
      </c>
      <c r="J177">
        <f>IF(CODE('Levantamento dutos'!$E177)=80,SUM($B177:$F177),0)</f>
        <v>0</v>
      </c>
      <c r="K177">
        <f>IF(CODE('Levantamento dutos'!$F177)=66,SUM($B177:$F177),0)</f>
        <v>0</v>
      </c>
      <c r="L177">
        <f>IF(CODE('Levantamento dutos'!$F177)=70,SUM($B177:$F177),0)</f>
        <v>0</v>
      </c>
      <c r="M177" s="59">
        <f>IF(CODE('Levantamento dutos'!$E177)=84,SUM($B177:$F177),0)</f>
        <v>0</v>
      </c>
      <c r="N177" s="60">
        <f>IF(CODE('Levantamento dutos'!$G177)=80,IF('Levantamento dutos'!$B177&lt;=200,('Levantamento dutos'!$D177/'Levantamento dutos'!$G$12*Calculos!$G177*2),0),0)</f>
        <v>0</v>
      </c>
      <c r="O177" s="60">
        <f>IF(CODE('Levantamento dutos'!$G177)=80,IF('Levantamento dutos'!$B177&gt;200,('Levantamento dutos'!$D177/'Levantamento dutos'!$G$12*Calculos!$G177*2),0),0)</f>
        <v>0</v>
      </c>
      <c r="P177" s="60">
        <f>IF(CODE('Levantamento dutos'!$G177)=67,('Levantamento dutos'!$D177/'Levantamento dutos'!$G$12*Calculos!$G177*2),0)</f>
        <v>0</v>
      </c>
      <c r="Q177" s="60">
        <f>IF(CODE('Levantamento dutos'!H177)=83,((('Levantamento dutos'!B177/100)+('Levantamento dutos'!$H$12/1000))+(('Levantamento dutos'!C177/100)+('Levantamento dutos'!$H$12)/1000))*2*'Levantamento dutos'!D177,0)</f>
        <v>0</v>
      </c>
      <c r="S177" s="60">
        <f>IF(CODE('Levantamento dutos'!$I177)=83,$Q177,0)</f>
        <v>0</v>
      </c>
      <c r="T177" s="60">
        <f>IF(CODE('Levantamento dutos'!$E177)=76,ROUND((('Levantamento dutos'!$D177/5)*(Calculos!$G177+0.2)*1.2),0),0)</f>
        <v>0</v>
      </c>
      <c r="U177" s="60">
        <f>IF(CODE('Levantamento dutos'!$E177)=73,ROUND((('Levantamento dutos'!$D177/0.5)*(Calculos!$G177+0.2)*1.2),0),0)</f>
        <v>0</v>
      </c>
      <c r="V177" s="60">
        <f>IF(CODE('Levantamento dutos'!$E177)=80,ROUND((('Levantamento dutos'!$D177/0.5)*(Calculos!$G177+0.2)*1.2),0),0)</f>
        <v>0</v>
      </c>
      <c r="W177" s="60">
        <f>IF(CODE('Levantamento dutos'!$E177)=76,'Levantamento dutos'!$D177/0.5*1.5,0)</f>
        <v>0</v>
      </c>
      <c r="X177" s="60">
        <f>IF(CODE('Levantamento dutos'!$E177)=73,'Levantamento dutos'!$D177/0.5*1.5,0)</f>
        <v>0</v>
      </c>
      <c r="Y177" s="60">
        <f>IF(CODE('Levantamento dutos'!$E177)=80,'Levantamento dutos'!$D177/0.5*1.5,0)</f>
        <v>0</v>
      </c>
      <c r="Z177" s="60">
        <f>IF(CODE('Levantamento dutos'!$E177)=76,ROUND(('Levantamento dutos'!$D177)+('Levantamento dutos'!$D177*Calculos!$G177*2)*1.1,0),0)</f>
        <v>0</v>
      </c>
      <c r="AA177" s="60">
        <f>IF(CODE('Levantamento dutos'!$G177)=80,('Levantamento dutos'!$D177/'Levantamento dutos'!$G$12)*8,0)</f>
        <v>0</v>
      </c>
      <c r="AB177" s="60">
        <f>IF(CODE('Levantamento dutos'!$G177)=80,IF('Levantamento dutos'!$B177&gt;30,('Levantamento dutos'!$D177/'Levantamento dutos'!$G$12)*4,0),0)</f>
        <v>0</v>
      </c>
      <c r="AC177" s="60">
        <f>IF('Levantamento dutos'!$B177&gt;220,('Levantamento dutos'!$D177/'Levantamento dutos'!$G$12*Calculos!$G177*2),0)</f>
        <v>0</v>
      </c>
      <c r="AD177" s="60">
        <f>IF(CODE('Levantamento dutos'!$E177)=73,((('Levantamento dutos'!$E$12/1000)+0.02)*'Levantamento dutos'!$D177)*4*1.3,0)</f>
        <v>0</v>
      </c>
      <c r="AE177" s="60">
        <f>IF(CODE('Levantamento dutos'!$E177)=80,((('Levantamento dutos'!$E$12/1000)+0.02)*'Levantamento dutos'!$D177)*4*1.3,0)</f>
        <v>0</v>
      </c>
    </row>
    <row r="178" spans="2:31" x14ac:dyDescent="0.2">
      <c r="B178" s="58">
        <f>IF('Levantamento dutos'!$B178&lt;=Calculos!$Z$3,((('Levantamento dutos'!$B178)/100+('Levantamento dutos'!$C178)/100)*2)*'Levantamento dutos'!$D178,0)</f>
        <v>0</v>
      </c>
      <c r="C178">
        <f>IF('Levantamento dutos'!$B178&gt;Calculos!$Z$3,IF('Levantamento dutos'!$B178&lt;=Calculos!$Z$4,((('Levantamento dutos'!$B178)/100+('Levantamento dutos'!$C178)/100)*2)*'Levantamento dutos'!$D178,0),0)</f>
        <v>0</v>
      </c>
      <c r="D178">
        <f>IF('Levantamento dutos'!$B178&gt;Calculos!$Z$4,IF('Levantamento dutos'!$B178&lt;=Calculos!$Z$5,((('Levantamento dutos'!$B178)/100+('Levantamento dutos'!$C178)/100)*2)*'Levantamento dutos'!$D178,0),0)</f>
        <v>0</v>
      </c>
      <c r="E178">
        <f>IF('Levantamento dutos'!$B178&gt;Calculos!$Z$5,IF('Levantamento dutos'!$B178&lt;=Calculos!$Z$6,((('Levantamento dutos'!$B178)/100+('Levantamento dutos'!$C178)/100)*2)*'Levantamento dutos'!$D178,0),0)</f>
        <v>0</v>
      </c>
      <c r="F178" s="59">
        <f>IF('Levantamento dutos'!$B178&gt;Calculos!$Z$7,((('Levantamento dutos'!$B178)/100+('Levantamento dutos'!$C178)/100)*2)*'Levantamento dutos'!$D178,0)</f>
        <v>0</v>
      </c>
      <c r="G178">
        <f>(('Levantamento dutos'!B178+'Levantamento dutos'!C178)/100)*2</f>
        <v>0</v>
      </c>
      <c r="H178" s="58">
        <f>IF(CODE('Levantamento dutos'!$E178)=76,SUM($B178:$F178),0)</f>
        <v>0</v>
      </c>
      <c r="I178">
        <f>IF(CODE('Levantamento dutos'!$E178)=73,SUM($B178:$F178),0)</f>
        <v>0</v>
      </c>
      <c r="J178">
        <f>IF(CODE('Levantamento dutos'!$E178)=80,SUM($B178:$F178),0)</f>
        <v>0</v>
      </c>
      <c r="K178">
        <f>IF(CODE('Levantamento dutos'!$F178)=66,SUM($B178:$F178),0)</f>
        <v>0</v>
      </c>
      <c r="L178">
        <f>IF(CODE('Levantamento dutos'!$F178)=70,SUM($B178:$F178),0)</f>
        <v>0</v>
      </c>
      <c r="M178" s="59">
        <f>IF(CODE('Levantamento dutos'!$E178)=84,SUM($B178:$F178),0)</f>
        <v>0</v>
      </c>
      <c r="N178" s="60">
        <f>IF(CODE('Levantamento dutos'!$G178)=80,IF('Levantamento dutos'!$B178&lt;=200,('Levantamento dutos'!$D178/'Levantamento dutos'!$G$12*Calculos!$G178*2),0),0)</f>
        <v>0</v>
      </c>
      <c r="O178" s="60">
        <f>IF(CODE('Levantamento dutos'!$G178)=80,IF('Levantamento dutos'!$B178&gt;200,('Levantamento dutos'!$D178/'Levantamento dutos'!$G$12*Calculos!$G178*2),0),0)</f>
        <v>0</v>
      </c>
      <c r="P178" s="60">
        <f>IF(CODE('Levantamento dutos'!$G178)=67,('Levantamento dutos'!$D178/'Levantamento dutos'!$G$12*Calculos!$G178*2),0)</f>
        <v>0</v>
      </c>
      <c r="Q178" s="60">
        <f>IF(CODE('Levantamento dutos'!H178)=83,((('Levantamento dutos'!B178/100)+('Levantamento dutos'!$H$12/1000))+(('Levantamento dutos'!C178/100)+('Levantamento dutos'!$H$12)/1000))*2*'Levantamento dutos'!D178,0)</f>
        <v>0</v>
      </c>
      <c r="S178" s="60">
        <f>IF(CODE('Levantamento dutos'!$I178)=83,$Q178,0)</f>
        <v>0</v>
      </c>
      <c r="T178" s="60">
        <f>IF(CODE('Levantamento dutos'!$E178)=76,ROUND((('Levantamento dutos'!$D178/5)*(Calculos!$G178+0.2)*1.2),0),0)</f>
        <v>0</v>
      </c>
      <c r="U178" s="60">
        <f>IF(CODE('Levantamento dutos'!$E178)=73,ROUND((('Levantamento dutos'!$D178/0.5)*(Calculos!$G178+0.2)*1.2),0),0)</f>
        <v>0</v>
      </c>
      <c r="V178" s="60">
        <f>IF(CODE('Levantamento dutos'!$E178)=80,ROUND((('Levantamento dutos'!$D178/0.5)*(Calculos!$G178+0.2)*1.2),0),0)</f>
        <v>0</v>
      </c>
      <c r="W178" s="60">
        <f>IF(CODE('Levantamento dutos'!$E178)=76,'Levantamento dutos'!$D178/0.5*1.5,0)</f>
        <v>0</v>
      </c>
      <c r="X178" s="60">
        <f>IF(CODE('Levantamento dutos'!$E178)=73,'Levantamento dutos'!$D178/0.5*1.5,0)</f>
        <v>0</v>
      </c>
      <c r="Y178" s="60">
        <f>IF(CODE('Levantamento dutos'!$E178)=80,'Levantamento dutos'!$D178/0.5*1.5,0)</f>
        <v>0</v>
      </c>
      <c r="Z178" s="60">
        <f>IF(CODE('Levantamento dutos'!$E178)=76,ROUND(('Levantamento dutos'!$D178)+('Levantamento dutos'!$D178*Calculos!$G178*2)*1.1,0),0)</f>
        <v>0</v>
      </c>
      <c r="AA178" s="60">
        <f>IF(CODE('Levantamento dutos'!$G178)=80,('Levantamento dutos'!$D178/'Levantamento dutos'!$G$12)*8,0)</f>
        <v>0</v>
      </c>
      <c r="AB178" s="60">
        <f>IF(CODE('Levantamento dutos'!$G178)=80,IF('Levantamento dutos'!$B178&gt;30,('Levantamento dutos'!$D178/'Levantamento dutos'!$G$12)*4,0),0)</f>
        <v>0</v>
      </c>
      <c r="AC178" s="60">
        <f>IF('Levantamento dutos'!$B178&gt;220,('Levantamento dutos'!$D178/'Levantamento dutos'!$G$12*Calculos!$G178*2),0)</f>
        <v>0</v>
      </c>
      <c r="AD178" s="60">
        <f>IF(CODE('Levantamento dutos'!$E178)=73,((('Levantamento dutos'!$E$12/1000)+0.02)*'Levantamento dutos'!$D178)*4*1.3,0)</f>
        <v>0</v>
      </c>
      <c r="AE178" s="60">
        <f>IF(CODE('Levantamento dutos'!$E178)=80,((('Levantamento dutos'!$E$12/1000)+0.02)*'Levantamento dutos'!$D178)*4*1.3,0)</f>
        <v>0</v>
      </c>
    </row>
    <row r="179" spans="2:31" x14ac:dyDescent="0.2">
      <c r="B179" s="58">
        <f>IF('Levantamento dutos'!$B179&lt;=Calculos!$Z$3,((('Levantamento dutos'!$B179)/100+('Levantamento dutos'!$C179)/100)*2)*'Levantamento dutos'!$D179,0)</f>
        <v>0</v>
      </c>
      <c r="C179">
        <f>IF('Levantamento dutos'!$B179&gt;Calculos!$Z$3,IF('Levantamento dutos'!$B179&lt;=Calculos!$Z$4,((('Levantamento dutos'!$B179)/100+('Levantamento dutos'!$C179)/100)*2)*'Levantamento dutos'!$D179,0),0)</f>
        <v>0</v>
      </c>
      <c r="D179">
        <f>IF('Levantamento dutos'!$B179&gt;Calculos!$Z$4,IF('Levantamento dutos'!$B179&lt;=Calculos!$Z$5,((('Levantamento dutos'!$B179)/100+('Levantamento dutos'!$C179)/100)*2)*'Levantamento dutos'!$D179,0),0)</f>
        <v>0</v>
      </c>
      <c r="E179">
        <f>IF('Levantamento dutos'!$B179&gt;Calculos!$Z$5,IF('Levantamento dutos'!$B179&lt;=Calculos!$Z$6,((('Levantamento dutos'!$B179)/100+('Levantamento dutos'!$C179)/100)*2)*'Levantamento dutos'!$D179,0),0)</f>
        <v>0</v>
      </c>
      <c r="F179" s="59">
        <f>IF('Levantamento dutos'!$B179&gt;Calculos!$Z$7,((('Levantamento dutos'!$B179)/100+('Levantamento dutos'!$C179)/100)*2)*'Levantamento dutos'!$D179,0)</f>
        <v>0</v>
      </c>
      <c r="G179">
        <f>(('Levantamento dutos'!B179+'Levantamento dutos'!C179)/100)*2</f>
        <v>0</v>
      </c>
      <c r="H179" s="58">
        <f>IF(CODE('Levantamento dutos'!$E179)=76,SUM($B179:$F179),0)</f>
        <v>0</v>
      </c>
      <c r="I179">
        <f>IF(CODE('Levantamento dutos'!$E179)=73,SUM($B179:$F179),0)</f>
        <v>0</v>
      </c>
      <c r="J179">
        <f>IF(CODE('Levantamento dutos'!$E179)=80,SUM($B179:$F179),0)</f>
        <v>0</v>
      </c>
      <c r="K179">
        <f>IF(CODE('Levantamento dutos'!$F179)=66,SUM($B179:$F179),0)</f>
        <v>0</v>
      </c>
      <c r="L179">
        <f>IF(CODE('Levantamento dutos'!$F179)=70,SUM($B179:$F179),0)</f>
        <v>0</v>
      </c>
      <c r="M179" s="59">
        <f>IF(CODE('Levantamento dutos'!$E179)=84,SUM($B179:$F179),0)</f>
        <v>0</v>
      </c>
      <c r="N179" s="60">
        <f>IF(CODE('Levantamento dutos'!$G179)=80,IF('Levantamento dutos'!$B179&lt;=200,('Levantamento dutos'!$D179/'Levantamento dutos'!$G$12*Calculos!$G179*2),0),0)</f>
        <v>0</v>
      </c>
      <c r="O179" s="60">
        <f>IF(CODE('Levantamento dutos'!$G179)=80,IF('Levantamento dutos'!$B179&gt;200,('Levantamento dutos'!$D179/'Levantamento dutos'!$G$12*Calculos!$G179*2),0),0)</f>
        <v>0</v>
      </c>
      <c r="P179" s="60">
        <f>IF(CODE('Levantamento dutos'!$G179)=67,('Levantamento dutos'!$D179/'Levantamento dutos'!$G$12*Calculos!$G179*2),0)</f>
        <v>0</v>
      </c>
      <c r="Q179" s="60">
        <f>IF(CODE('Levantamento dutos'!H179)=83,((('Levantamento dutos'!B179/100)+('Levantamento dutos'!$H$12/1000))+(('Levantamento dutos'!C179/100)+('Levantamento dutos'!$H$12)/1000))*2*'Levantamento dutos'!D179,0)</f>
        <v>0</v>
      </c>
      <c r="S179" s="60">
        <f>IF(CODE('Levantamento dutos'!$I179)=83,$Q179,0)</f>
        <v>0</v>
      </c>
      <c r="T179" s="60">
        <f>IF(CODE('Levantamento dutos'!$E179)=76,ROUND((('Levantamento dutos'!$D179/5)*(Calculos!$G179+0.2)*1.2),0),0)</f>
        <v>0</v>
      </c>
      <c r="U179" s="60">
        <f>IF(CODE('Levantamento dutos'!$E179)=73,ROUND((('Levantamento dutos'!$D179/0.5)*(Calculos!$G179+0.2)*1.2),0),0)</f>
        <v>0</v>
      </c>
      <c r="V179" s="60">
        <f>IF(CODE('Levantamento dutos'!$E179)=80,ROUND((('Levantamento dutos'!$D179/0.5)*(Calculos!$G179+0.2)*1.2),0),0)</f>
        <v>0</v>
      </c>
      <c r="W179" s="60">
        <f>IF(CODE('Levantamento dutos'!$E179)=76,'Levantamento dutos'!$D179/0.5*1.5,0)</f>
        <v>0</v>
      </c>
      <c r="X179" s="60">
        <f>IF(CODE('Levantamento dutos'!$E179)=73,'Levantamento dutos'!$D179/0.5*1.5,0)</f>
        <v>0</v>
      </c>
      <c r="Y179" s="60">
        <f>IF(CODE('Levantamento dutos'!$E179)=80,'Levantamento dutos'!$D179/0.5*1.5,0)</f>
        <v>0</v>
      </c>
      <c r="Z179" s="60">
        <f>IF(CODE('Levantamento dutos'!$E179)=76,ROUND(('Levantamento dutos'!$D179)+('Levantamento dutos'!$D179*Calculos!$G179*2)*1.1,0),0)</f>
        <v>0</v>
      </c>
      <c r="AA179" s="60">
        <f>IF(CODE('Levantamento dutos'!$G179)=80,('Levantamento dutos'!$D179/'Levantamento dutos'!$G$12)*8,0)</f>
        <v>0</v>
      </c>
      <c r="AB179" s="60">
        <f>IF(CODE('Levantamento dutos'!$G179)=80,IF('Levantamento dutos'!$B179&gt;30,('Levantamento dutos'!$D179/'Levantamento dutos'!$G$12)*4,0),0)</f>
        <v>0</v>
      </c>
      <c r="AC179" s="60">
        <f>IF('Levantamento dutos'!$B179&gt;220,('Levantamento dutos'!$D179/'Levantamento dutos'!$G$12*Calculos!$G179*2),0)</f>
        <v>0</v>
      </c>
      <c r="AD179" s="60">
        <f>IF(CODE('Levantamento dutos'!$E179)=73,((('Levantamento dutos'!$E$12/1000)+0.02)*'Levantamento dutos'!$D179)*4*1.3,0)</f>
        <v>0</v>
      </c>
      <c r="AE179" s="60">
        <f>IF(CODE('Levantamento dutos'!$E179)=80,((('Levantamento dutos'!$E$12/1000)+0.02)*'Levantamento dutos'!$D179)*4*1.3,0)</f>
        <v>0</v>
      </c>
    </row>
    <row r="180" spans="2:31" x14ac:dyDescent="0.2">
      <c r="B180" s="58">
        <f>IF('Levantamento dutos'!$B180&lt;=Calculos!$Z$3,((('Levantamento dutos'!$B180)/100+('Levantamento dutos'!$C180)/100)*2)*'Levantamento dutos'!$D180,0)</f>
        <v>0</v>
      </c>
      <c r="C180">
        <f>IF('Levantamento dutos'!$B180&gt;Calculos!$Z$3,IF('Levantamento dutos'!$B180&lt;=Calculos!$Z$4,((('Levantamento dutos'!$B180)/100+('Levantamento dutos'!$C180)/100)*2)*'Levantamento dutos'!$D180,0),0)</f>
        <v>0</v>
      </c>
      <c r="D180">
        <f>IF('Levantamento dutos'!$B180&gt;Calculos!$Z$4,IF('Levantamento dutos'!$B180&lt;=Calculos!$Z$5,((('Levantamento dutos'!$B180)/100+('Levantamento dutos'!$C180)/100)*2)*'Levantamento dutos'!$D180,0),0)</f>
        <v>0</v>
      </c>
      <c r="E180">
        <f>IF('Levantamento dutos'!$B180&gt;Calculos!$Z$5,IF('Levantamento dutos'!$B180&lt;=Calculos!$Z$6,((('Levantamento dutos'!$B180)/100+('Levantamento dutos'!$C180)/100)*2)*'Levantamento dutos'!$D180,0),0)</f>
        <v>0</v>
      </c>
      <c r="F180" s="59">
        <f>IF('Levantamento dutos'!$B180&gt;Calculos!$Z$7,((('Levantamento dutos'!$B180)/100+('Levantamento dutos'!$C180)/100)*2)*'Levantamento dutos'!$D180,0)</f>
        <v>0</v>
      </c>
      <c r="G180">
        <f>(('Levantamento dutos'!B180+'Levantamento dutos'!C180)/100)*2</f>
        <v>0</v>
      </c>
      <c r="H180" s="58">
        <f>IF(CODE('Levantamento dutos'!$E180)=76,SUM($B180:$F180),0)</f>
        <v>0</v>
      </c>
      <c r="I180">
        <f>IF(CODE('Levantamento dutos'!$E180)=73,SUM($B180:$F180),0)</f>
        <v>0</v>
      </c>
      <c r="J180">
        <f>IF(CODE('Levantamento dutos'!$E180)=80,SUM($B180:$F180),0)</f>
        <v>0</v>
      </c>
      <c r="K180">
        <f>IF(CODE('Levantamento dutos'!$F180)=66,SUM($B180:$F180),0)</f>
        <v>0</v>
      </c>
      <c r="L180">
        <f>IF(CODE('Levantamento dutos'!$F180)=70,SUM($B180:$F180),0)</f>
        <v>0</v>
      </c>
      <c r="M180" s="59">
        <f>IF(CODE('Levantamento dutos'!$E180)=84,SUM($B180:$F180),0)</f>
        <v>0</v>
      </c>
      <c r="N180" s="60">
        <f>IF(CODE('Levantamento dutos'!$G180)=80,IF('Levantamento dutos'!$B180&lt;=200,('Levantamento dutos'!$D180/'Levantamento dutos'!$G$12*Calculos!$G180*2),0),0)</f>
        <v>0</v>
      </c>
      <c r="O180" s="60">
        <f>IF(CODE('Levantamento dutos'!$G180)=80,IF('Levantamento dutos'!$B180&gt;200,('Levantamento dutos'!$D180/'Levantamento dutos'!$G$12*Calculos!$G180*2),0),0)</f>
        <v>0</v>
      </c>
      <c r="P180" s="60">
        <f>IF(CODE('Levantamento dutos'!$G180)=67,('Levantamento dutos'!$D180/'Levantamento dutos'!$G$12*Calculos!$G180*2),0)</f>
        <v>0</v>
      </c>
      <c r="Q180" s="60">
        <f>IF(CODE('Levantamento dutos'!H180)=83,((('Levantamento dutos'!B180/100)+('Levantamento dutos'!$H$12/1000))+(('Levantamento dutos'!C180/100)+('Levantamento dutos'!$H$12)/1000))*2*'Levantamento dutos'!D180,0)</f>
        <v>0</v>
      </c>
      <c r="S180" s="60">
        <f>IF(CODE('Levantamento dutos'!$I180)=83,$Q180,0)</f>
        <v>0</v>
      </c>
      <c r="T180" s="60">
        <f>IF(CODE('Levantamento dutos'!$E180)=76,ROUND((('Levantamento dutos'!$D180/5)*(Calculos!$G180+0.2)*1.2),0),0)</f>
        <v>0</v>
      </c>
      <c r="U180" s="60">
        <f>IF(CODE('Levantamento dutos'!$E180)=73,ROUND((('Levantamento dutos'!$D180/0.5)*(Calculos!$G180+0.2)*1.2),0),0)</f>
        <v>0</v>
      </c>
      <c r="V180" s="60">
        <f>IF(CODE('Levantamento dutos'!$E180)=80,ROUND((('Levantamento dutos'!$D180/0.5)*(Calculos!$G180+0.2)*1.2),0),0)</f>
        <v>0</v>
      </c>
      <c r="W180" s="60">
        <f>IF(CODE('Levantamento dutos'!$E180)=76,'Levantamento dutos'!$D180/0.5*1.5,0)</f>
        <v>0</v>
      </c>
      <c r="X180" s="60">
        <f>IF(CODE('Levantamento dutos'!$E180)=73,'Levantamento dutos'!$D180/0.5*1.5,0)</f>
        <v>0</v>
      </c>
      <c r="Y180" s="60">
        <f>IF(CODE('Levantamento dutos'!$E180)=80,'Levantamento dutos'!$D180/0.5*1.5,0)</f>
        <v>0</v>
      </c>
      <c r="Z180" s="60">
        <f>IF(CODE('Levantamento dutos'!$E180)=76,ROUND(('Levantamento dutos'!$D180)+('Levantamento dutos'!$D180*Calculos!$G180*2)*1.1,0),0)</f>
        <v>0</v>
      </c>
      <c r="AA180" s="60">
        <f>IF(CODE('Levantamento dutos'!$G180)=80,('Levantamento dutos'!$D180/'Levantamento dutos'!$G$12)*8,0)</f>
        <v>0</v>
      </c>
      <c r="AB180" s="60">
        <f>IF(CODE('Levantamento dutos'!$G180)=80,IF('Levantamento dutos'!$B180&gt;30,('Levantamento dutos'!$D180/'Levantamento dutos'!$G$12)*4,0),0)</f>
        <v>0</v>
      </c>
      <c r="AC180" s="60">
        <f>IF('Levantamento dutos'!$B180&gt;220,('Levantamento dutos'!$D180/'Levantamento dutos'!$G$12*Calculos!$G180*2),0)</f>
        <v>0</v>
      </c>
      <c r="AD180" s="60">
        <f>IF(CODE('Levantamento dutos'!$E180)=73,((('Levantamento dutos'!$E$12/1000)+0.02)*'Levantamento dutos'!$D180)*4*1.3,0)</f>
        <v>0</v>
      </c>
      <c r="AE180" s="60">
        <f>IF(CODE('Levantamento dutos'!$E180)=80,((('Levantamento dutos'!$E$12/1000)+0.02)*'Levantamento dutos'!$D180)*4*1.3,0)</f>
        <v>0</v>
      </c>
    </row>
    <row r="181" spans="2:31" x14ac:dyDescent="0.2">
      <c r="B181" s="58">
        <f>IF('Levantamento dutos'!$B181&lt;=Calculos!$Z$3,((('Levantamento dutos'!$B181)/100+('Levantamento dutos'!$C181)/100)*2)*'Levantamento dutos'!$D181,0)</f>
        <v>0</v>
      </c>
      <c r="C181">
        <f>IF('Levantamento dutos'!$B181&gt;Calculos!$Z$3,IF('Levantamento dutos'!$B181&lt;=Calculos!$Z$4,((('Levantamento dutos'!$B181)/100+('Levantamento dutos'!$C181)/100)*2)*'Levantamento dutos'!$D181,0),0)</f>
        <v>0</v>
      </c>
      <c r="D181">
        <f>IF('Levantamento dutos'!$B181&gt;Calculos!$Z$4,IF('Levantamento dutos'!$B181&lt;=Calculos!$Z$5,((('Levantamento dutos'!$B181)/100+('Levantamento dutos'!$C181)/100)*2)*'Levantamento dutos'!$D181,0),0)</f>
        <v>0</v>
      </c>
      <c r="E181">
        <f>IF('Levantamento dutos'!$B181&gt;Calculos!$Z$5,IF('Levantamento dutos'!$B181&lt;=Calculos!$Z$6,((('Levantamento dutos'!$B181)/100+('Levantamento dutos'!$C181)/100)*2)*'Levantamento dutos'!$D181,0),0)</f>
        <v>0</v>
      </c>
      <c r="F181" s="59">
        <f>IF('Levantamento dutos'!$B181&gt;Calculos!$Z$7,((('Levantamento dutos'!$B181)/100+('Levantamento dutos'!$C181)/100)*2)*'Levantamento dutos'!$D181,0)</f>
        <v>0</v>
      </c>
      <c r="G181">
        <f>(('Levantamento dutos'!B181+'Levantamento dutos'!C181)/100)*2</f>
        <v>0</v>
      </c>
      <c r="H181" s="58">
        <f>IF(CODE('Levantamento dutos'!$E181)=76,SUM($B181:$F181),0)</f>
        <v>0</v>
      </c>
      <c r="I181">
        <f>IF(CODE('Levantamento dutos'!$E181)=73,SUM($B181:$F181),0)</f>
        <v>0</v>
      </c>
      <c r="J181">
        <f>IF(CODE('Levantamento dutos'!$E181)=80,SUM($B181:$F181),0)</f>
        <v>0</v>
      </c>
      <c r="K181">
        <f>IF(CODE('Levantamento dutos'!$F181)=66,SUM($B181:$F181),0)</f>
        <v>0</v>
      </c>
      <c r="L181">
        <f>IF(CODE('Levantamento dutos'!$F181)=70,SUM($B181:$F181),0)</f>
        <v>0</v>
      </c>
      <c r="M181" s="59">
        <f>IF(CODE('Levantamento dutos'!$E181)=84,SUM($B181:$F181),0)</f>
        <v>0</v>
      </c>
      <c r="N181" s="60">
        <f>IF(CODE('Levantamento dutos'!$G181)=80,IF('Levantamento dutos'!$B181&lt;=200,('Levantamento dutos'!$D181/'Levantamento dutos'!$G$12*Calculos!$G181*2),0),0)</f>
        <v>0</v>
      </c>
      <c r="O181" s="60">
        <f>IF(CODE('Levantamento dutos'!$G181)=80,IF('Levantamento dutos'!$B181&gt;200,('Levantamento dutos'!$D181/'Levantamento dutos'!$G$12*Calculos!$G181*2),0),0)</f>
        <v>0</v>
      </c>
      <c r="P181" s="60">
        <f>IF(CODE('Levantamento dutos'!$G181)=67,('Levantamento dutos'!$D181/'Levantamento dutos'!$G$12*Calculos!$G181*2),0)</f>
        <v>0</v>
      </c>
      <c r="Q181" s="60">
        <f>IF(CODE('Levantamento dutos'!H181)=83,((('Levantamento dutos'!B181/100)+('Levantamento dutos'!$H$12/1000))+(('Levantamento dutos'!C181/100)+('Levantamento dutos'!$H$12)/1000))*2*'Levantamento dutos'!D181,0)</f>
        <v>0</v>
      </c>
      <c r="S181" s="60">
        <f>IF(CODE('Levantamento dutos'!$I181)=83,$Q181,0)</f>
        <v>0</v>
      </c>
      <c r="T181" s="60">
        <f>IF(CODE('Levantamento dutos'!$E181)=76,ROUND((('Levantamento dutos'!$D181/5)*(Calculos!$G181+0.2)*1.2),0),0)</f>
        <v>0</v>
      </c>
      <c r="U181" s="60">
        <f>IF(CODE('Levantamento dutos'!$E181)=73,ROUND((('Levantamento dutos'!$D181/0.5)*(Calculos!$G181+0.2)*1.2),0),0)</f>
        <v>0</v>
      </c>
      <c r="V181" s="60">
        <f>IF(CODE('Levantamento dutos'!$E181)=80,ROUND((('Levantamento dutos'!$D181/0.5)*(Calculos!$G181+0.2)*1.2),0),0)</f>
        <v>0</v>
      </c>
      <c r="W181" s="60">
        <f>IF(CODE('Levantamento dutos'!$E181)=76,'Levantamento dutos'!$D181/0.5*1.5,0)</f>
        <v>0</v>
      </c>
      <c r="X181" s="60">
        <f>IF(CODE('Levantamento dutos'!$E181)=73,'Levantamento dutos'!$D181/0.5*1.5,0)</f>
        <v>0</v>
      </c>
      <c r="Y181" s="60">
        <f>IF(CODE('Levantamento dutos'!$E181)=80,'Levantamento dutos'!$D181/0.5*1.5,0)</f>
        <v>0</v>
      </c>
      <c r="Z181" s="60">
        <f>IF(CODE('Levantamento dutos'!$E181)=76,ROUND(('Levantamento dutos'!$D181)+('Levantamento dutos'!$D181*Calculos!$G181*2)*1.1,0),0)</f>
        <v>0</v>
      </c>
      <c r="AA181" s="60">
        <f>IF(CODE('Levantamento dutos'!$G181)=80,('Levantamento dutos'!$D181/'Levantamento dutos'!$G$12)*8,0)</f>
        <v>0</v>
      </c>
      <c r="AB181" s="60">
        <f>IF(CODE('Levantamento dutos'!$G181)=80,IF('Levantamento dutos'!$B181&gt;30,('Levantamento dutos'!$D181/'Levantamento dutos'!$G$12)*4,0),0)</f>
        <v>0</v>
      </c>
      <c r="AC181" s="60">
        <f>IF('Levantamento dutos'!$B181&gt;220,('Levantamento dutos'!$D181/'Levantamento dutos'!$G$12*Calculos!$G181*2),0)</f>
        <v>0</v>
      </c>
      <c r="AD181" s="60">
        <f>IF(CODE('Levantamento dutos'!$E181)=73,((('Levantamento dutos'!$E$12/1000)+0.02)*'Levantamento dutos'!$D181)*4*1.3,0)</f>
        <v>0</v>
      </c>
      <c r="AE181" s="60">
        <f>IF(CODE('Levantamento dutos'!$E181)=80,((('Levantamento dutos'!$E$12/1000)+0.02)*'Levantamento dutos'!$D181)*4*1.3,0)</f>
        <v>0</v>
      </c>
    </row>
    <row r="182" spans="2:31" x14ac:dyDescent="0.2">
      <c r="B182" s="58">
        <f>IF('Levantamento dutos'!$B182&lt;=Calculos!$Z$3,((('Levantamento dutos'!$B182)/100+('Levantamento dutos'!$C182)/100)*2)*'Levantamento dutos'!$D182,0)</f>
        <v>0</v>
      </c>
      <c r="C182">
        <f>IF('Levantamento dutos'!$B182&gt;Calculos!$Z$3,IF('Levantamento dutos'!$B182&lt;=Calculos!$Z$4,((('Levantamento dutos'!$B182)/100+('Levantamento dutos'!$C182)/100)*2)*'Levantamento dutos'!$D182,0),0)</f>
        <v>0</v>
      </c>
      <c r="D182">
        <f>IF('Levantamento dutos'!$B182&gt;Calculos!$Z$4,IF('Levantamento dutos'!$B182&lt;=Calculos!$Z$5,((('Levantamento dutos'!$B182)/100+('Levantamento dutos'!$C182)/100)*2)*'Levantamento dutos'!$D182,0),0)</f>
        <v>0</v>
      </c>
      <c r="E182">
        <f>IF('Levantamento dutos'!$B182&gt;Calculos!$Z$5,IF('Levantamento dutos'!$B182&lt;=Calculos!$Z$6,((('Levantamento dutos'!$B182)/100+('Levantamento dutos'!$C182)/100)*2)*'Levantamento dutos'!$D182,0),0)</f>
        <v>0</v>
      </c>
      <c r="F182" s="59">
        <f>IF('Levantamento dutos'!$B182&gt;Calculos!$Z$7,((('Levantamento dutos'!$B182)/100+('Levantamento dutos'!$C182)/100)*2)*'Levantamento dutos'!$D182,0)</f>
        <v>0</v>
      </c>
      <c r="G182">
        <f>(('Levantamento dutos'!B182+'Levantamento dutos'!C182)/100)*2</f>
        <v>0</v>
      </c>
      <c r="H182" s="58">
        <f>IF(CODE('Levantamento dutos'!$E182)=76,SUM($B182:$F182),0)</f>
        <v>0</v>
      </c>
      <c r="I182">
        <f>IF(CODE('Levantamento dutos'!$E182)=73,SUM($B182:$F182),0)</f>
        <v>0</v>
      </c>
      <c r="J182">
        <f>IF(CODE('Levantamento dutos'!$E182)=80,SUM($B182:$F182),0)</f>
        <v>0</v>
      </c>
      <c r="K182">
        <f>IF(CODE('Levantamento dutos'!$F182)=66,SUM($B182:$F182),0)</f>
        <v>0</v>
      </c>
      <c r="L182">
        <f>IF(CODE('Levantamento dutos'!$F182)=70,SUM($B182:$F182),0)</f>
        <v>0</v>
      </c>
      <c r="M182" s="59">
        <f>IF(CODE('Levantamento dutos'!$E182)=84,SUM($B182:$F182),0)</f>
        <v>0</v>
      </c>
      <c r="N182" s="60">
        <f>IF(CODE('Levantamento dutos'!$G182)=80,IF('Levantamento dutos'!$B182&lt;=200,('Levantamento dutos'!$D182/'Levantamento dutos'!$G$12*Calculos!$G182*2),0),0)</f>
        <v>0</v>
      </c>
      <c r="O182" s="60">
        <f>IF(CODE('Levantamento dutos'!$G182)=80,IF('Levantamento dutos'!$B182&gt;200,('Levantamento dutos'!$D182/'Levantamento dutos'!$G$12*Calculos!$G182*2),0),0)</f>
        <v>0</v>
      </c>
      <c r="P182" s="60">
        <f>IF(CODE('Levantamento dutos'!$G182)=67,('Levantamento dutos'!$D182/'Levantamento dutos'!$G$12*Calculos!$G182*2),0)</f>
        <v>0</v>
      </c>
      <c r="Q182" s="60">
        <f>IF(CODE('Levantamento dutos'!H182)=83,((('Levantamento dutos'!B182/100)+('Levantamento dutos'!$H$12/1000))+(('Levantamento dutos'!C182/100)+('Levantamento dutos'!$H$12)/1000))*2*'Levantamento dutos'!D182,0)</f>
        <v>0</v>
      </c>
      <c r="S182" s="60">
        <f>IF(CODE('Levantamento dutos'!$I182)=83,$Q182,0)</f>
        <v>0</v>
      </c>
      <c r="T182" s="60">
        <f>IF(CODE('Levantamento dutos'!$E182)=76,ROUND((('Levantamento dutos'!$D182/5)*(Calculos!$G182+0.2)*1.2),0),0)</f>
        <v>0</v>
      </c>
      <c r="U182" s="60">
        <f>IF(CODE('Levantamento dutos'!$E182)=73,ROUND((('Levantamento dutos'!$D182/0.5)*(Calculos!$G182+0.2)*1.2),0),0)</f>
        <v>0</v>
      </c>
      <c r="V182" s="60">
        <f>IF(CODE('Levantamento dutos'!$E182)=80,ROUND((('Levantamento dutos'!$D182/0.5)*(Calculos!$G182+0.2)*1.2),0),0)</f>
        <v>0</v>
      </c>
      <c r="W182" s="60">
        <f>IF(CODE('Levantamento dutos'!$E182)=76,'Levantamento dutos'!$D182/0.5*1.5,0)</f>
        <v>0</v>
      </c>
      <c r="X182" s="60">
        <f>IF(CODE('Levantamento dutos'!$E182)=73,'Levantamento dutos'!$D182/0.5*1.5,0)</f>
        <v>0</v>
      </c>
      <c r="Y182" s="60">
        <f>IF(CODE('Levantamento dutos'!$E182)=80,'Levantamento dutos'!$D182/0.5*1.5,0)</f>
        <v>0</v>
      </c>
      <c r="Z182" s="60">
        <f>IF(CODE('Levantamento dutos'!$E182)=76,ROUND(('Levantamento dutos'!$D182)+('Levantamento dutos'!$D182*Calculos!$G182*2)*1.1,0),0)</f>
        <v>0</v>
      </c>
      <c r="AA182" s="60">
        <f>IF(CODE('Levantamento dutos'!$G182)=80,('Levantamento dutos'!$D182/'Levantamento dutos'!$G$12)*8,0)</f>
        <v>0</v>
      </c>
      <c r="AB182" s="60">
        <f>IF(CODE('Levantamento dutos'!$G182)=80,IF('Levantamento dutos'!$B182&gt;30,('Levantamento dutos'!$D182/'Levantamento dutos'!$G$12)*4,0),0)</f>
        <v>0</v>
      </c>
      <c r="AC182" s="60">
        <f>IF('Levantamento dutos'!$B182&gt;220,('Levantamento dutos'!$D182/'Levantamento dutos'!$G$12*Calculos!$G182*2),0)</f>
        <v>0</v>
      </c>
      <c r="AD182" s="60">
        <f>IF(CODE('Levantamento dutos'!$E182)=73,((('Levantamento dutos'!$E$12/1000)+0.02)*'Levantamento dutos'!$D182)*4*1.3,0)</f>
        <v>0</v>
      </c>
      <c r="AE182" s="60">
        <f>IF(CODE('Levantamento dutos'!$E182)=80,((('Levantamento dutos'!$E$12/1000)+0.02)*'Levantamento dutos'!$D182)*4*1.3,0)</f>
        <v>0</v>
      </c>
    </row>
    <row r="183" spans="2:31" x14ac:dyDescent="0.2">
      <c r="B183" s="58">
        <f>IF('Levantamento dutos'!$B183&lt;=Calculos!$Z$3,((('Levantamento dutos'!$B183)/100+('Levantamento dutos'!$C183)/100)*2)*'Levantamento dutos'!$D183,0)</f>
        <v>0</v>
      </c>
      <c r="C183">
        <f>IF('Levantamento dutos'!$B183&gt;Calculos!$Z$3,IF('Levantamento dutos'!$B183&lt;=Calculos!$Z$4,((('Levantamento dutos'!$B183)/100+('Levantamento dutos'!$C183)/100)*2)*'Levantamento dutos'!$D183,0),0)</f>
        <v>0</v>
      </c>
      <c r="D183">
        <f>IF('Levantamento dutos'!$B183&gt;Calculos!$Z$4,IF('Levantamento dutos'!$B183&lt;=Calculos!$Z$5,((('Levantamento dutos'!$B183)/100+('Levantamento dutos'!$C183)/100)*2)*'Levantamento dutos'!$D183,0),0)</f>
        <v>0</v>
      </c>
      <c r="E183">
        <f>IF('Levantamento dutos'!$B183&gt;Calculos!$Z$5,IF('Levantamento dutos'!$B183&lt;=Calculos!$Z$6,((('Levantamento dutos'!$B183)/100+('Levantamento dutos'!$C183)/100)*2)*'Levantamento dutos'!$D183,0),0)</f>
        <v>0</v>
      </c>
      <c r="F183" s="59">
        <f>IF('Levantamento dutos'!$B183&gt;Calculos!$Z$7,((('Levantamento dutos'!$B183)/100+('Levantamento dutos'!$C183)/100)*2)*'Levantamento dutos'!$D183,0)</f>
        <v>0</v>
      </c>
      <c r="G183">
        <f>(('Levantamento dutos'!B183+'Levantamento dutos'!C183)/100)*2</f>
        <v>0</v>
      </c>
      <c r="H183" s="58">
        <f>IF(CODE('Levantamento dutos'!$E183)=76,SUM($B183:$F183),0)</f>
        <v>0</v>
      </c>
      <c r="I183">
        <f>IF(CODE('Levantamento dutos'!$E183)=73,SUM($B183:$F183),0)</f>
        <v>0</v>
      </c>
      <c r="J183">
        <f>IF(CODE('Levantamento dutos'!$E183)=80,SUM($B183:$F183),0)</f>
        <v>0</v>
      </c>
      <c r="K183">
        <f>IF(CODE('Levantamento dutos'!$F183)=66,SUM($B183:$F183),0)</f>
        <v>0</v>
      </c>
      <c r="L183">
        <f>IF(CODE('Levantamento dutos'!$F183)=70,SUM($B183:$F183),0)</f>
        <v>0</v>
      </c>
      <c r="M183" s="59">
        <f>IF(CODE('Levantamento dutos'!$E183)=84,SUM($B183:$F183),0)</f>
        <v>0</v>
      </c>
      <c r="N183" s="60">
        <f>IF(CODE('Levantamento dutos'!$G183)=80,IF('Levantamento dutos'!$B183&lt;=200,('Levantamento dutos'!$D183/'Levantamento dutos'!$G$12*Calculos!$G183*2),0),0)</f>
        <v>0</v>
      </c>
      <c r="O183" s="60">
        <f>IF(CODE('Levantamento dutos'!$G183)=80,IF('Levantamento dutos'!$B183&gt;200,('Levantamento dutos'!$D183/'Levantamento dutos'!$G$12*Calculos!$G183*2),0),0)</f>
        <v>0</v>
      </c>
      <c r="P183" s="60">
        <f>IF(CODE('Levantamento dutos'!$G183)=67,('Levantamento dutos'!$D183/'Levantamento dutos'!$G$12*Calculos!$G183*2),0)</f>
        <v>0</v>
      </c>
      <c r="Q183" s="60">
        <f>IF(CODE('Levantamento dutos'!H183)=83,((('Levantamento dutos'!B183/100)+('Levantamento dutos'!$H$12/1000))+(('Levantamento dutos'!C183/100)+('Levantamento dutos'!$H$12)/1000))*2*'Levantamento dutos'!D183,0)</f>
        <v>0</v>
      </c>
      <c r="S183" s="60">
        <f>IF(CODE('Levantamento dutos'!$I183)=83,$Q183,0)</f>
        <v>0</v>
      </c>
      <c r="T183" s="60">
        <f>IF(CODE('Levantamento dutos'!$E183)=76,ROUND((('Levantamento dutos'!$D183/5)*(Calculos!$G183+0.2)*1.2),0),0)</f>
        <v>0</v>
      </c>
      <c r="U183" s="60">
        <f>IF(CODE('Levantamento dutos'!$E183)=73,ROUND((('Levantamento dutos'!$D183/0.5)*(Calculos!$G183+0.2)*1.2),0),0)</f>
        <v>0</v>
      </c>
      <c r="V183" s="60">
        <f>IF(CODE('Levantamento dutos'!$E183)=80,ROUND((('Levantamento dutos'!$D183/0.5)*(Calculos!$G183+0.2)*1.2),0),0)</f>
        <v>0</v>
      </c>
      <c r="W183" s="60">
        <f>IF(CODE('Levantamento dutos'!$E183)=76,'Levantamento dutos'!$D183/0.5*1.5,0)</f>
        <v>0</v>
      </c>
      <c r="X183" s="60">
        <f>IF(CODE('Levantamento dutos'!$E183)=73,'Levantamento dutos'!$D183/0.5*1.5,0)</f>
        <v>0</v>
      </c>
      <c r="Y183" s="60">
        <f>IF(CODE('Levantamento dutos'!$E183)=80,'Levantamento dutos'!$D183/0.5*1.5,0)</f>
        <v>0</v>
      </c>
      <c r="Z183" s="60">
        <f>IF(CODE('Levantamento dutos'!$E183)=76,ROUND(('Levantamento dutos'!$D183)+('Levantamento dutos'!$D183*Calculos!$G183*2)*1.1,0),0)</f>
        <v>0</v>
      </c>
      <c r="AA183" s="60">
        <f>IF(CODE('Levantamento dutos'!$G183)=80,('Levantamento dutos'!$D183/'Levantamento dutos'!$G$12)*8,0)</f>
        <v>0</v>
      </c>
      <c r="AB183" s="60">
        <f>IF(CODE('Levantamento dutos'!$G183)=80,IF('Levantamento dutos'!$B183&gt;30,('Levantamento dutos'!$D183/'Levantamento dutos'!$G$12)*4,0),0)</f>
        <v>0</v>
      </c>
      <c r="AC183" s="60">
        <f>IF('Levantamento dutos'!$B183&gt;220,('Levantamento dutos'!$D183/'Levantamento dutos'!$G$12*Calculos!$G183*2),0)</f>
        <v>0</v>
      </c>
      <c r="AD183" s="60">
        <f>IF(CODE('Levantamento dutos'!$E183)=73,((('Levantamento dutos'!$E$12/1000)+0.02)*'Levantamento dutos'!$D183)*4*1.3,0)</f>
        <v>0</v>
      </c>
      <c r="AE183" s="60">
        <f>IF(CODE('Levantamento dutos'!$E183)=80,((('Levantamento dutos'!$E$12/1000)+0.02)*'Levantamento dutos'!$D183)*4*1.3,0)</f>
        <v>0</v>
      </c>
    </row>
    <row r="184" spans="2:31" x14ac:dyDescent="0.2">
      <c r="B184" s="58">
        <f>IF('Levantamento dutos'!$B184&lt;=Calculos!$Z$3,((('Levantamento dutos'!$B184)/100+('Levantamento dutos'!$C184)/100)*2)*'Levantamento dutos'!$D184,0)</f>
        <v>0</v>
      </c>
      <c r="C184">
        <f>IF('Levantamento dutos'!$B184&gt;Calculos!$Z$3,IF('Levantamento dutos'!$B184&lt;=Calculos!$Z$4,((('Levantamento dutos'!$B184)/100+('Levantamento dutos'!$C184)/100)*2)*'Levantamento dutos'!$D184,0),0)</f>
        <v>0</v>
      </c>
      <c r="D184">
        <f>IF('Levantamento dutos'!$B184&gt;Calculos!$Z$4,IF('Levantamento dutos'!$B184&lt;=Calculos!$Z$5,((('Levantamento dutos'!$B184)/100+('Levantamento dutos'!$C184)/100)*2)*'Levantamento dutos'!$D184,0),0)</f>
        <v>0</v>
      </c>
      <c r="E184">
        <f>IF('Levantamento dutos'!$B184&gt;Calculos!$Z$5,IF('Levantamento dutos'!$B184&lt;=Calculos!$Z$6,((('Levantamento dutos'!$B184)/100+('Levantamento dutos'!$C184)/100)*2)*'Levantamento dutos'!$D184,0),0)</f>
        <v>0</v>
      </c>
      <c r="F184" s="59">
        <f>IF('Levantamento dutos'!$B184&gt;Calculos!$Z$7,((('Levantamento dutos'!$B184)/100+('Levantamento dutos'!$C184)/100)*2)*'Levantamento dutos'!$D184,0)</f>
        <v>0</v>
      </c>
      <c r="G184">
        <f>(('Levantamento dutos'!B184+'Levantamento dutos'!C184)/100)*2</f>
        <v>0</v>
      </c>
      <c r="H184" s="58">
        <f>IF(CODE('Levantamento dutos'!$E184)=76,SUM($B184:$F184),0)</f>
        <v>0</v>
      </c>
      <c r="I184">
        <f>IF(CODE('Levantamento dutos'!$E184)=73,SUM($B184:$F184),0)</f>
        <v>0</v>
      </c>
      <c r="J184">
        <f>IF(CODE('Levantamento dutos'!$E184)=80,SUM($B184:$F184),0)</f>
        <v>0</v>
      </c>
      <c r="K184">
        <f>IF(CODE('Levantamento dutos'!$F184)=66,SUM($B184:$F184),0)</f>
        <v>0</v>
      </c>
      <c r="L184">
        <f>IF(CODE('Levantamento dutos'!$F184)=70,SUM($B184:$F184),0)</f>
        <v>0</v>
      </c>
      <c r="M184" s="59">
        <f>IF(CODE('Levantamento dutos'!$E184)=84,SUM($B184:$F184),0)</f>
        <v>0</v>
      </c>
      <c r="N184" s="60">
        <f>IF(CODE('Levantamento dutos'!$G184)=80,IF('Levantamento dutos'!$B184&lt;=200,('Levantamento dutos'!$D184/'Levantamento dutos'!$G$12*Calculos!$G184*2),0),0)</f>
        <v>0</v>
      </c>
      <c r="O184" s="60">
        <f>IF(CODE('Levantamento dutos'!$G184)=80,IF('Levantamento dutos'!$B184&gt;200,('Levantamento dutos'!$D184/'Levantamento dutos'!$G$12*Calculos!$G184*2),0),0)</f>
        <v>0</v>
      </c>
      <c r="P184" s="60">
        <f>IF(CODE('Levantamento dutos'!$G184)=67,('Levantamento dutos'!$D184/'Levantamento dutos'!$G$12*Calculos!$G184*2),0)</f>
        <v>0</v>
      </c>
      <c r="Q184" s="60">
        <f>IF(CODE('Levantamento dutos'!H184)=83,((('Levantamento dutos'!B184/100)+('Levantamento dutos'!$H$12/1000))+(('Levantamento dutos'!C184/100)+('Levantamento dutos'!$H$12)/1000))*2*'Levantamento dutos'!D184,0)</f>
        <v>0</v>
      </c>
      <c r="S184" s="60">
        <f>IF(CODE('Levantamento dutos'!$I184)=83,$Q184,0)</f>
        <v>0</v>
      </c>
      <c r="T184" s="60">
        <f>IF(CODE('Levantamento dutos'!$E184)=76,ROUND((('Levantamento dutos'!$D184/5)*(Calculos!$G184+0.2)*1.2),0),0)</f>
        <v>0</v>
      </c>
      <c r="U184" s="60">
        <f>IF(CODE('Levantamento dutos'!$E184)=73,ROUND((('Levantamento dutos'!$D184/0.5)*(Calculos!$G184+0.2)*1.2),0),0)</f>
        <v>0</v>
      </c>
      <c r="V184" s="60">
        <f>IF(CODE('Levantamento dutos'!$E184)=80,ROUND((('Levantamento dutos'!$D184/0.5)*(Calculos!$G184+0.2)*1.2),0),0)</f>
        <v>0</v>
      </c>
      <c r="W184" s="60">
        <f>IF(CODE('Levantamento dutos'!$E184)=76,'Levantamento dutos'!$D184/0.5*1.5,0)</f>
        <v>0</v>
      </c>
      <c r="X184" s="60">
        <f>IF(CODE('Levantamento dutos'!$E184)=73,'Levantamento dutos'!$D184/0.5*1.5,0)</f>
        <v>0</v>
      </c>
      <c r="Y184" s="60">
        <f>IF(CODE('Levantamento dutos'!$E184)=80,'Levantamento dutos'!$D184/0.5*1.5,0)</f>
        <v>0</v>
      </c>
      <c r="Z184" s="60">
        <f>IF(CODE('Levantamento dutos'!$E184)=76,ROUND(('Levantamento dutos'!$D184)+('Levantamento dutos'!$D184*Calculos!$G184*2)*1.1,0),0)</f>
        <v>0</v>
      </c>
      <c r="AA184" s="60">
        <f>IF(CODE('Levantamento dutos'!$G184)=80,('Levantamento dutos'!$D184/'Levantamento dutos'!$G$12)*8,0)</f>
        <v>0</v>
      </c>
      <c r="AB184" s="60">
        <f>IF(CODE('Levantamento dutos'!$G184)=80,IF('Levantamento dutos'!$B184&gt;30,('Levantamento dutos'!$D184/'Levantamento dutos'!$G$12)*4,0),0)</f>
        <v>0</v>
      </c>
      <c r="AC184" s="60">
        <f>IF('Levantamento dutos'!$B184&gt;220,('Levantamento dutos'!$D184/'Levantamento dutos'!$G$12*Calculos!$G184*2),0)</f>
        <v>0</v>
      </c>
      <c r="AD184" s="60">
        <f>IF(CODE('Levantamento dutos'!$E184)=73,((('Levantamento dutos'!$E$12/1000)+0.02)*'Levantamento dutos'!$D184)*4*1.3,0)</f>
        <v>0</v>
      </c>
      <c r="AE184" s="60">
        <f>IF(CODE('Levantamento dutos'!$E184)=80,((('Levantamento dutos'!$E$12/1000)+0.02)*'Levantamento dutos'!$D184)*4*1.3,0)</f>
        <v>0</v>
      </c>
    </row>
    <row r="185" spans="2:31" x14ac:dyDescent="0.2">
      <c r="B185" s="58">
        <f>IF('Levantamento dutos'!$B185&lt;=Calculos!$Z$3,((('Levantamento dutos'!$B185)/100+('Levantamento dutos'!$C185)/100)*2)*'Levantamento dutos'!$D185,0)</f>
        <v>0</v>
      </c>
      <c r="C185">
        <f>IF('Levantamento dutos'!$B185&gt;Calculos!$Z$3,IF('Levantamento dutos'!$B185&lt;=Calculos!$Z$4,((('Levantamento dutos'!$B185)/100+('Levantamento dutos'!$C185)/100)*2)*'Levantamento dutos'!$D185,0),0)</f>
        <v>0</v>
      </c>
      <c r="D185">
        <f>IF('Levantamento dutos'!$B185&gt;Calculos!$Z$4,IF('Levantamento dutos'!$B185&lt;=Calculos!$Z$5,((('Levantamento dutos'!$B185)/100+('Levantamento dutos'!$C185)/100)*2)*'Levantamento dutos'!$D185,0),0)</f>
        <v>0</v>
      </c>
      <c r="E185">
        <f>IF('Levantamento dutos'!$B185&gt;Calculos!$Z$5,IF('Levantamento dutos'!$B185&lt;=Calculos!$Z$6,((('Levantamento dutos'!$B185)/100+('Levantamento dutos'!$C185)/100)*2)*'Levantamento dutos'!$D185,0),0)</f>
        <v>0</v>
      </c>
      <c r="F185" s="59">
        <f>IF('Levantamento dutos'!$B185&gt;Calculos!$Z$7,((('Levantamento dutos'!$B185)/100+('Levantamento dutos'!$C185)/100)*2)*'Levantamento dutos'!$D185,0)</f>
        <v>0</v>
      </c>
      <c r="G185">
        <f>(('Levantamento dutos'!B185+'Levantamento dutos'!C185)/100)*2</f>
        <v>0</v>
      </c>
      <c r="H185" s="58">
        <f>IF(CODE('Levantamento dutos'!$E185)=76,SUM($B185:$F185),0)</f>
        <v>0</v>
      </c>
      <c r="I185">
        <f>IF(CODE('Levantamento dutos'!$E185)=73,SUM($B185:$F185),0)</f>
        <v>0</v>
      </c>
      <c r="J185">
        <f>IF(CODE('Levantamento dutos'!$E185)=80,SUM($B185:$F185),0)</f>
        <v>0</v>
      </c>
      <c r="K185">
        <f>IF(CODE('Levantamento dutos'!$F185)=66,SUM($B185:$F185),0)</f>
        <v>0</v>
      </c>
      <c r="L185">
        <f>IF(CODE('Levantamento dutos'!$F185)=70,SUM($B185:$F185),0)</f>
        <v>0</v>
      </c>
      <c r="M185" s="59">
        <f>IF(CODE('Levantamento dutos'!$E185)=84,SUM($B185:$F185),0)</f>
        <v>0</v>
      </c>
      <c r="N185" s="60">
        <f>IF(CODE('Levantamento dutos'!$G185)=80,IF('Levantamento dutos'!$B185&lt;=200,('Levantamento dutos'!$D185/'Levantamento dutos'!$G$12*Calculos!$G185*2),0),0)</f>
        <v>0</v>
      </c>
      <c r="O185" s="60">
        <f>IF(CODE('Levantamento dutos'!$G185)=80,IF('Levantamento dutos'!$B185&gt;200,('Levantamento dutos'!$D185/'Levantamento dutos'!$G$12*Calculos!$G185*2),0),0)</f>
        <v>0</v>
      </c>
      <c r="P185" s="60">
        <f>IF(CODE('Levantamento dutos'!$G185)=67,('Levantamento dutos'!$D185/'Levantamento dutos'!$G$12*Calculos!$G185*2),0)</f>
        <v>0</v>
      </c>
      <c r="Q185" s="60">
        <f>IF(CODE('Levantamento dutos'!H185)=83,((('Levantamento dutos'!B185/100)+('Levantamento dutos'!$H$12/1000))+(('Levantamento dutos'!C185/100)+('Levantamento dutos'!$H$12)/1000))*2*'Levantamento dutos'!D185,0)</f>
        <v>0</v>
      </c>
      <c r="S185" s="60">
        <f>IF(CODE('Levantamento dutos'!$I185)=83,$Q185,0)</f>
        <v>0</v>
      </c>
      <c r="T185" s="60">
        <f>IF(CODE('Levantamento dutos'!$E185)=76,ROUND((('Levantamento dutos'!$D185/5)*(Calculos!$G185+0.2)*1.2),0),0)</f>
        <v>0</v>
      </c>
      <c r="U185" s="60">
        <f>IF(CODE('Levantamento dutos'!$E185)=73,ROUND((('Levantamento dutos'!$D185/0.5)*(Calculos!$G185+0.2)*1.2),0),0)</f>
        <v>0</v>
      </c>
      <c r="V185" s="60">
        <f>IF(CODE('Levantamento dutos'!$E185)=80,ROUND((('Levantamento dutos'!$D185/0.5)*(Calculos!$G185+0.2)*1.2),0),0)</f>
        <v>0</v>
      </c>
      <c r="W185" s="60">
        <f>IF(CODE('Levantamento dutos'!$E185)=76,'Levantamento dutos'!$D185/0.5*1.5,0)</f>
        <v>0</v>
      </c>
      <c r="X185" s="60">
        <f>IF(CODE('Levantamento dutos'!$E185)=73,'Levantamento dutos'!$D185/0.5*1.5,0)</f>
        <v>0</v>
      </c>
      <c r="Y185" s="60">
        <f>IF(CODE('Levantamento dutos'!$E185)=80,'Levantamento dutos'!$D185/0.5*1.5,0)</f>
        <v>0</v>
      </c>
      <c r="Z185" s="60">
        <f>IF(CODE('Levantamento dutos'!$E185)=76,ROUND(('Levantamento dutos'!$D185)+('Levantamento dutos'!$D185*Calculos!$G185*2)*1.1,0),0)</f>
        <v>0</v>
      </c>
      <c r="AA185" s="60">
        <f>IF(CODE('Levantamento dutos'!$G185)=80,('Levantamento dutos'!$D185/'Levantamento dutos'!$G$12)*8,0)</f>
        <v>0</v>
      </c>
      <c r="AB185" s="60">
        <f>IF(CODE('Levantamento dutos'!$G185)=80,IF('Levantamento dutos'!$B185&gt;30,('Levantamento dutos'!$D185/'Levantamento dutos'!$G$12)*4,0),0)</f>
        <v>0</v>
      </c>
      <c r="AC185" s="60">
        <f>IF('Levantamento dutos'!$B185&gt;220,('Levantamento dutos'!$D185/'Levantamento dutos'!$G$12*Calculos!$G185*2),0)</f>
        <v>0</v>
      </c>
      <c r="AD185" s="60">
        <f>IF(CODE('Levantamento dutos'!$E185)=73,((('Levantamento dutos'!$E$12/1000)+0.02)*'Levantamento dutos'!$D185)*4*1.3,0)</f>
        <v>0</v>
      </c>
      <c r="AE185" s="60">
        <f>IF(CODE('Levantamento dutos'!$E185)=80,((('Levantamento dutos'!$E$12/1000)+0.02)*'Levantamento dutos'!$D185)*4*1.3,0)</f>
        <v>0</v>
      </c>
    </row>
    <row r="186" spans="2:31" x14ac:dyDescent="0.2">
      <c r="B186" s="58">
        <f>IF('Levantamento dutos'!$B186&lt;=Calculos!$Z$3,((('Levantamento dutos'!$B186)/100+('Levantamento dutos'!$C186)/100)*2)*'Levantamento dutos'!$D186,0)</f>
        <v>0</v>
      </c>
      <c r="C186">
        <f>IF('Levantamento dutos'!$B186&gt;Calculos!$Z$3,IF('Levantamento dutos'!$B186&lt;=Calculos!$Z$4,((('Levantamento dutos'!$B186)/100+('Levantamento dutos'!$C186)/100)*2)*'Levantamento dutos'!$D186,0),0)</f>
        <v>0</v>
      </c>
      <c r="D186">
        <f>IF('Levantamento dutos'!$B186&gt;Calculos!$Z$4,IF('Levantamento dutos'!$B186&lt;=Calculos!$Z$5,((('Levantamento dutos'!$B186)/100+('Levantamento dutos'!$C186)/100)*2)*'Levantamento dutos'!$D186,0),0)</f>
        <v>0</v>
      </c>
      <c r="E186">
        <f>IF('Levantamento dutos'!$B186&gt;Calculos!$Z$5,IF('Levantamento dutos'!$B186&lt;=Calculos!$Z$6,((('Levantamento dutos'!$B186)/100+('Levantamento dutos'!$C186)/100)*2)*'Levantamento dutos'!$D186,0),0)</f>
        <v>0</v>
      </c>
      <c r="F186" s="59">
        <f>IF('Levantamento dutos'!$B186&gt;Calculos!$Z$7,((('Levantamento dutos'!$B186)/100+('Levantamento dutos'!$C186)/100)*2)*'Levantamento dutos'!$D186,0)</f>
        <v>0</v>
      </c>
      <c r="G186">
        <f>(('Levantamento dutos'!B186+'Levantamento dutos'!C186)/100)*2</f>
        <v>0</v>
      </c>
      <c r="H186" s="58">
        <f>IF(CODE('Levantamento dutos'!$E186)=76,SUM($B186:$F186),0)</f>
        <v>0</v>
      </c>
      <c r="I186">
        <f>IF(CODE('Levantamento dutos'!$E186)=73,SUM($B186:$F186),0)</f>
        <v>0</v>
      </c>
      <c r="J186">
        <f>IF(CODE('Levantamento dutos'!$E186)=80,SUM($B186:$F186),0)</f>
        <v>0</v>
      </c>
      <c r="K186">
        <f>IF(CODE('Levantamento dutos'!$F186)=66,SUM($B186:$F186),0)</f>
        <v>0</v>
      </c>
      <c r="L186">
        <f>IF(CODE('Levantamento dutos'!$F186)=70,SUM($B186:$F186),0)</f>
        <v>0</v>
      </c>
      <c r="M186" s="59">
        <f>IF(CODE('Levantamento dutos'!$E186)=84,SUM($B186:$F186),0)</f>
        <v>0</v>
      </c>
      <c r="N186" s="60">
        <f>IF(CODE('Levantamento dutos'!$G186)=80,IF('Levantamento dutos'!$B186&lt;=200,('Levantamento dutos'!$D186/'Levantamento dutos'!$G$12*Calculos!$G186*2),0),0)</f>
        <v>0</v>
      </c>
      <c r="O186" s="60">
        <f>IF(CODE('Levantamento dutos'!$G186)=80,IF('Levantamento dutos'!$B186&gt;200,('Levantamento dutos'!$D186/'Levantamento dutos'!$G$12*Calculos!$G186*2),0),0)</f>
        <v>0</v>
      </c>
      <c r="P186" s="60">
        <f>IF(CODE('Levantamento dutos'!$G186)=67,('Levantamento dutos'!$D186/'Levantamento dutos'!$G$12*Calculos!$G186*2),0)</f>
        <v>0</v>
      </c>
      <c r="Q186" s="60">
        <f>IF(CODE('Levantamento dutos'!H186)=83,((('Levantamento dutos'!B186/100)+('Levantamento dutos'!$H$12/1000))+(('Levantamento dutos'!C186/100)+('Levantamento dutos'!$H$12)/1000))*2*'Levantamento dutos'!D186,0)</f>
        <v>0</v>
      </c>
      <c r="S186" s="60">
        <f>IF(CODE('Levantamento dutos'!$I186)=83,$Q186,0)</f>
        <v>0</v>
      </c>
      <c r="T186" s="60">
        <f>IF(CODE('Levantamento dutos'!$E186)=76,ROUND((('Levantamento dutos'!$D186/5)*(Calculos!$G186+0.2)*1.2),0),0)</f>
        <v>0</v>
      </c>
      <c r="U186" s="60">
        <f>IF(CODE('Levantamento dutos'!$E186)=73,ROUND((('Levantamento dutos'!$D186/0.5)*(Calculos!$G186+0.2)*1.2),0),0)</f>
        <v>0</v>
      </c>
      <c r="V186" s="60">
        <f>IF(CODE('Levantamento dutos'!$E186)=80,ROUND((('Levantamento dutos'!$D186/0.5)*(Calculos!$G186+0.2)*1.2),0),0)</f>
        <v>0</v>
      </c>
      <c r="W186" s="60">
        <f>IF(CODE('Levantamento dutos'!$E186)=76,'Levantamento dutos'!$D186/0.5*1.5,0)</f>
        <v>0</v>
      </c>
      <c r="X186" s="60">
        <f>IF(CODE('Levantamento dutos'!$E186)=73,'Levantamento dutos'!$D186/0.5*1.5,0)</f>
        <v>0</v>
      </c>
      <c r="Y186" s="60">
        <f>IF(CODE('Levantamento dutos'!$E186)=80,'Levantamento dutos'!$D186/0.5*1.5,0)</f>
        <v>0</v>
      </c>
      <c r="Z186" s="60">
        <f>IF(CODE('Levantamento dutos'!$E186)=76,ROUND(('Levantamento dutos'!$D186)+('Levantamento dutos'!$D186*Calculos!$G186*2)*1.1,0),0)</f>
        <v>0</v>
      </c>
      <c r="AA186" s="60">
        <f>IF(CODE('Levantamento dutos'!$G186)=80,('Levantamento dutos'!$D186/'Levantamento dutos'!$G$12)*8,0)</f>
        <v>0</v>
      </c>
      <c r="AB186" s="60">
        <f>IF(CODE('Levantamento dutos'!$G186)=80,IF('Levantamento dutos'!$B186&gt;30,('Levantamento dutos'!$D186/'Levantamento dutos'!$G$12)*4,0),0)</f>
        <v>0</v>
      </c>
      <c r="AC186" s="60">
        <f>IF('Levantamento dutos'!$B186&gt;220,('Levantamento dutos'!$D186/'Levantamento dutos'!$G$12*Calculos!$G186*2),0)</f>
        <v>0</v>
      </c>
      <c r="AD186" s="60">
        <f>IF(CODE('Levantamento dutos'!$E186)=73,((('Levantamento dutos'!$E$12/1000)+0.02)*'Levantamento dutos'!$D186)*4*1.3,0)</f>
        <v>0</v>
      </c>
      <c r="AE186" s="60">
        <f>IF(CODE('Levantamento dutos'!$E186)=80,((('Levantamento dutos'!$E$12/1000)+0.02)*'Levantamento dutos'!$D186)*4*1.3,0)</f>
        <v>0</v>
      </c>
    </row>
    <row r="187" spans="2:31" x14ac:dyDescent="0.2">
      <c r="B187" s="58">
        <f>IF('Levantamento dutos'!$B187&lt;=Calculos!$Z$3,((('Levantamento dutos'!$B187)/100+('Levantamento dutos'!$C187)/100)*2)*'Levantamento dutos'!$D187,0)</f>
        <v>0</v>
      </c>
      <c r="C187">
        <f>IF('Levantamento dutos'!$B187&gt;Calculos!$Z$3,IF('Levantamento dutos'!$B187&lt;=Calculos!$Z$4,((('Levantamento dutos'!$B187)/100+('Levantamento dutos'!$C187)/100)*2)*'Levantamento dutos'!$D187,0),0)</f>
        <v>0</v>
      </c>
      <c r="D187">
        <f>IF('Levantamento dutos'!$B187&gt;Calculos!$Z$4,IF('Levantamento dutos'!$B187&lt;=Calculos!$Z$5,((('Levantamento dutos'!$B187)/100+('Levantamento dutos'!$C187)/100)*2)*'Levantamento dutos'!$D187,0),0)</f>
        <v>0</v>
      </c>
      <c r="E187">
        <f>IF('Levantamento dutos'!$B187&gt;Calculos!$Z$5,IF('Levantamento dutos'!$B187&lt;=Calculos!$Z$6,((('Levantamento dutos'!$B187)/100+('Levantamento dutos'!$C187)/100)*2)*'Levantamento dutos'!$D187,0),0)</f>
        <v>0</v>
      </c>
      <c r="F187" s="59">
        <f>IF('Levantamento dutos'!$B187&gt;Calculos!$Z$7,((('Levantamento dutos'!$B187)/100+('Levantamento dutos'!$C187)/100)*2)*'Levantamento dutos'!$D187,0)</f>
        <v>0</v>
      </c>
      <c r="G187">
        <f>(('Levantamento dutos'!B187+'Levantamento dutos'!C187)/100)*2</f>
        <v>0</v>
      </c>
      <c r="H187" s="58">
        <f>IF(CODE('Levantamento dutos'!$E187)=76,SUM($B187:$F187),0)</f>
        <v>0</v>
      </c>
      <c r="I187">
        <f>IF(CODE('Levantamento dutos'!$E187)=73,SUM($B187:$F187),0)</f>
        <v>0</v>
      </c>
      <c r="J187">
        <f>IF(CODE('Levantamento dutos'!$E187)=80,SUM($B187:$F187),0)</f>
        <v>0</v>
      </c>
      <c r="K187">
        <f>IF(CODE('Levantamento dutos'!$F187)=66,SUM($B187:$F187),0)</f>
        <v>0</v>
      </c>
      <c r="L187">
        <f>IF(CODE('Levantamento dutos'!$F187)=70,SUM($B187:$F187),0)</f>
        <v>0</v>
      </c>
      <c r="M187" s="59">
        <f>IF(CODE('Levantamento dutos'!$E187)=84,SUM($B187:$F187),0)</f>
        <v>0</v>
      </c>
      <c r="N187" s="60">
        <f>IF(CODE('Levantamento dutos'!$G187)=80,IF('Levantamento dutos'!$B187&lt;=200,('Levantamento dutos'!$D187/'Levantamento dutos'!$G$12*Calculos!$G187*2),0),0)</f>
        <v>0</v>
      </c>
      <c r="O187" s="60">
        <f>IF(CODE('Levantamento dutos'!$G187)=80,IF('Levantamento dutos'!$B187&gt;200,('Levantamento dutos'!$D187/'Levantamento dutos'!$G$12*Calculos!$G187*2),0),0)</f>
        <v>0</v>
      </c>
      <c r="P187" s="60">
        <f>IF(CODE('Levantamento dutos'!$G187)=67,('Levantamento dutos'!$D187/'Levantamento dutos'!$G$12*Calculos!$G187*2),0)</f>
        <v>0</v>
      </c>
      <c r="Q187" s="60">
        <f>IF(CODE('Levantamento dutos'!H187)=83,((('Levantamento dutos'!B187/100)+('Levantamento dutos'!$H$12/1000))+(('Levantamento dutos'!C187/100)+('Levantamento dutos'!$H$12)/1000))*2*'Levantamento dutos'!D187,0)</f>
        <v>0</v>
      </c>
      <c r="S187" s="60">
        <f>IF(CODE('Levantamento dutos'!$I187)=83,$Q187,0)</f>
        <v>0</v>
      </c>
      <c r="T187" s="60">
        <f>IF(CODE('Levantamento dutos'!$E187)=76,ROUND((('Levantamento dutos'!$D187/5)*(Calculos!$G187+0.2)*1.2),0),0)</f>
        <v>0</v>
      </c>
      <c r="U187" s="60">
        <f>IF(CODE('Levantamento dutos'!$E187)=73,ROUND((('Levantamento dutos'!$D187/0.5)*(Calculos!$G187+0.2)*1.2),0),0)</f>
        <v>0</v>
      </c>
      <c r="V187" s="60">
        <f>IF(CODE('Levantamento dutos'!$E187)=80,ROUND((('Levantamento dutos'!$D187/0.5)*(Calculos!$G187+0.2)*1.2),0),0)</f>
        <v>0</v>
      </c>
      <c r="W187" s="60">
        <f>IF(CODE('Levantamento dutos'!$E187)=76,'Levantamento dutos'!$D187/0.5*1.5,0)</f>
        <v>0</v>
      </c>
      <c r="X187" s="60">
        <f>IF(CODE('Levantamento dutos'!$E187)=73,'Levantamento dutos'!$D187/0.5*1.5,0)</f>
        <v>0</v>
      </c>
      <c r="Y187" s="60">
        <f>IF(CODE('Levantamento dutos'!$E187)=80,'Levantamento dutos'!$D187/0.5*1.5,0)</f>
        <v>0</v>
      </c>
      <c r="Z187" s="60">
        <f>IF(CODE('Levantamento dutos'!$E187)=76,ROUND(('Levantamento dutos'!$D187)+('Levantamento dutos'!$D187*Calculos!$G187*2)*1.1,0),0)</f>
        <v>0</v>
      </c>
      <c r="AA187" s="60">
        <f>IF(CODE('Levantamento dutos'!$G187)=80,('Levantamento dutos'!$D187/'Levantamento dutos'!$G$12)*8,0)</f>
        <v>0</v>
      </c>
      <c r="AB187" s="60">
        <f>IF(CODE('Levantamento dutos'!$G187)=80,IF('Levantamento dutos'!$B187&gt;30,('Levantamento dutos'!$D187/'Levantamento dutos'!$G$12)*4,0),0)</f>
        <v>0</v>
      </c>
      <c r="AC187" s="60">
        <f>IF('Levantamento dutos'!$B187&gt;220,('Levantamento dutos'!$D187/'Levantamento dutos'!$G$12*Calculos!$G187*2),0)</f>
        <v>0</v>
      </c>
      <c r="AD187" s="60">
        <f>IF(CODE('Levantamento dutos'!$E187)=73,((('Levantamento dutos'!$E$12/1000)+0.02)*'Levantamento dutos'!$D187)*4*1.3,0)</f>
        <v>0</v>
      </c>
      <c r="AE187" s="60">
        <f>IF(CODE('Levantamento dutos'!$E187)=80,((('Levantamento dutos'!$E$12/1000)+0.02)*'Levantamento dutos'!$D187)*4*1.3,0)</f>
        <v>0</v>
      </c>
    </row>
    <row r="188" spans="2:31" x14ac:dyDescent="0.2">
      <c r="B188" s="58">
        <f>IF('Levantamento dutos'!$B188&lt;=Calculos!$Z$3,((('Levantamento dutos'!$B188)/100+('Levantamento dutos'!$C188)/100)*2)*'Levantamento dutos'!$D188,0)</f>
        <v>0</v>
      </c>
      <c r="C188">
        <f>IF('Levantamento dutos'!$B188&gt;Calculos!$Z$3,IF('Levantamento dutos'!$B188&lt;=Calculos!$Z$4,((('Levantamento dutos'!$B188)/100+('Levantamento dutos'!$C188)/100)*2)*'Levantamento dutos'!$D188,0),0)</f>
        <v>0</v>
      </c>
      <c r="D188">
        <f>IF('Levantamento dutos'!$B188&gt;Calculos!$Z$4,IF('Levantamento dutos'!$B188&lt;=Calculos!$Z$5,((('Levantamento dutos'!$B188)/100+('Levantamento dutos'!$C188)/100)*2)*'Levantamento dutos'!$D188,0),0)</f>
        <v>0</v>
      </c>
      <c r="E188">
        <f>IF('Levantamento dutos'!$B188&gt;Calculos!$Z$5,IF('Levantamento dutos'!$B188&lt;=Calculos!$Z$6,((('Levantamento dutos'!$B188)/100+('Levantamento dutos'!$C188)/100)*2)*'Levantamento dutos'!$D188,0),0)</f>
        <v>0</v>
      </c>
      <c r="F188" s="59">
        <f>IF('Levantamento dutos'!$B188&gt;Calculos!$Z$7,((('Levantamento dutos'!$B188)/100+('Levantamento dutos'!$C188)/100)*2)*'Levantamento dutos'!$D188,0)</f>
        <v>0</v>
      </c>
      <c r="G188">
        <f>(('Levantamento dutos'!B188+'Levantamento dutos'!C188)/100)*2</f>
        <v>0</v>
      </c>
      <c r="H188" s="58">
        <f>IF(CODE('Levantamento dutos'!$E188)=76,SUM($B188:$F188),0)</f>
        <v>0</v>
      </c>
      <c r="I188">
        <f>IF(CODE('Levantamento dutos'!$E188)=73,SUM($B188:$F188),0)</f>
        <v>0</v>
      </c>
      <c r="J188">
        <f>IF(CODE('Levantamento dutos'!$E188)=80,SUM($B188:$F188),0)</f>
        <v>0</v>
      </c>
      <c r="K188">
        <f>IF(CODE('Levantamento dutos'!$F188)=66,SUM($B188:$F188),0)</f>
        <v>0</v>
      </c>
      <c r="L188">
        <f>IF(CODE('Levantamento dutos'!$F188)=70,SUM($B188:$F188),0)</f>
        <v>0</v>
      </c>
      <c r="M188" s="59">
        <f>IF(CODE('Levantamento dutos'!$E188)=84,SUM($B188:$F188),0)</f>
        <v>0</v>
      </c>
      <c r="N188" s="60">
        <f>IF(CODE('Levantamento dutos'!$G188)=80,IF('Levantamento dutos'!$B188&lt;=200,('Levantamento dutos'!$D188/'Levantamento dutos'!$G$12*Calculos!$G188*2),0),0)</f>
        <v>0</v>
      </c>
      <c r="O188" s="60">
        <f>IF(CODE('Levantamento dutos'!$G188)=80,IF('Levantamento dutos'!$B188&gt;200,('Levantamento dutos'!$D188/'Levantamento dutos'!$G$12*Calculos!$G188*2),0),0)</f>
        <v>0</v>
      </c>
      <c r="P188" s="60">
        <f>IF(CODE('Levantamento dutos'!$G188)=67,('Levantamento dutos'!$D188/'Levantamento dutos'!$G$12*Calculos!$G188*2),0)</f>
        <v>0</v>
      </c>
      <c r="Q188" s="60">
        <f>IF(CODE('Levantamento dutos'!H188)=83,((('Levantamento dutos'!B188/100)+('Levantamento dutos'!$H$12/1000))+(('Levantamento dutos'!C188/100)+('Levantamento dutos'!$H$12)/1000))*2*'Levantamento dutos'!D188,0)</f>
        <v>0</v>
      </c>
      <c r="S188" s="60">
        <f>IF(CODE('Levantamento dutos'!$I188)=83,$Q188,0)</f>
        <v>0</v>
      </c>
      <c r="T188" s="60">
        <f>IF(CODE('Levantamento dutos'!$E188)=76,ROUND((('Levantamento dutos'!$D188/5)*(Calculos!$G188+0.2)*1.2),0),0)</f>
        <v>0</v>
      </c>
      <c r="U188" s="60">
        <f>IF(CODE('Levantamento dutos'!$E188)=73,ROUND((('Levantamento dutos'!$D188/0.5)*(Calculos!$G188+0.2)*1.2),0),0)</f>
        <v>0</v>
      </c>
      <c r="V188" s="60">
        <f>IF(CODE('Levantamento dutos'!$E188)=80,ROUND((('Levantamento dutos'!$D188/0.5)*(Calculos!$G188+0.2)*1.2),0),0)</f>
        <v>0</v>
      </c>
      <c r="W188" s="60">
        <f>IF(CODE('Levantamento dutos'!$E188)=76,'Levantamento dutos'!$D188/0.5*1.5,0)</f>
        <v>0</v>
      </c>
      <c r="X188" s="60">
        <f>IF(CODE('Levantamento dutos'!$E188)=73,'Levantamento dutos'!$D188/0.5*1.5,0)</f>
        <v>0</v>
      </c>
      <c r="Y188" s="60">
        <f>IF(CODE('Levantamento dutos'!$E188)=80,'Levantamento dutos'!$D188/0.5*1.5,0)</f>
        <v>0</v>
      </c>
      <c r="Z188" s="60">
        <f>IF(CODE('Levantamento dutos'!$E188)=76,ROUND(('Levantamento dutos'!$D188)+('Levantamento dutos'!$D188*Calculos!$G188*2)*1.1,0),0)</f>
        <v>0</v>
      </c>
      <c r="AA188" s="60">
        <f>IF(CODE('Levantamento dutos'!$G188)=80,('Levantamento dutos'!$D188/'Levantamento dutos'!$G$12)*8,0)</f>
        <v>0</v>
      </c>
      <c r="AB188" s="60">
        <f>IF(CODE('Levantamento dutos'!$G188)=80,IF('Levantamento dutos'!$B188&gt;30,('Levantamento dutos'!$D188/'Levantamento dutos'!$G$12)*4,0),0)</f>
        <v>0</v>
      </c>
      <c r="AC188" s="60">
        <f>IF('Levantamento dutos'!$B188&gt;220,('Levantamento dutos'!$D188/'Levantamento dutos'!$G$12*Calculos!$G188*2),0)</f>
        <v>0</v>
      </c>
      <c r="AD188" s="60">
        <f>IF(CODE('Levantamento dutos'!$E188)=73,((('Levantamento dutos'!$E$12/1000)+0.02)*'Levantamento dutos'!$D188)*4*1.3,0)</f>
        <v>0</v>
      </c>
      <c r="AE188" s="60">
        <f>IF(CODE('Levantamento dutos'!$E188)=80,((('Levantamento dutos'!$E$12/1000)+0.02)*'Levantamento dutos'!$D188)*4*1.3,0)</f>
        <v>0</v>
      </c>
    </row>
    <row r="189" spans="2:31" x14ac:dyDescent="0.2">
      <c r="B189" s="58">
        <f>IF('Levantamento dutos'!$B189&lt;=Calculos!$Z$3,((('Levantamento dutos'!$B189)/100+('Levantamento dutos'!$C189)/100)*2)*'Levantamento dutos'!$D189,0)</f>
        <v>0</v>
      </c>
      <c r="C189">
        <f>IF('Levantamento dutos'!$B189&gt;Calculos!$Z$3,IF('Levantamento dutos'!$B189&lt;=Calculos!$Z$4,((('Levantamento dutos'!$B189)/100+('Levantamento dutos'!$C189)/100)*2)*'Levantamento dutos'!$D189,0),0)</f>
        <v>0</v>
      </c>
      <c r="D189">
        <f>IF('Levantamento dutos'!$B189&gt;Calculos!$Z$4,IF('Levantamento dutos'!$B189&lt;=Calculos!$Z$5,((('Levantamento dutos'!$B189)/100+('Levantamento dutos'!$C189)/100)*2)*'Levantamento dutos'!$D189,0),0)</f>
        <v>0</v>
      </c>
      <c r="E189">
        <f>IF('Levantamento dutos'!$B189&gt;Calculos!$Z$5,IF('Levantamento dutos'!$B189&lt;=Calculos!$Z$6,((('Levantamento dutos'!$B189)/100+('Levantamento dutos'!$C189)/100)*2)*'Levantamento dutos'!$D189,0),0)</f>
        <v>0</v>
      </c>
      <c r="F189" s="59">
        <f>IF('Levantamento dutos'!$B189&gt;Calculos!$Z$7,((('Levantamento dutos'!$B189)/100+('Levantamento dutos'!$C189)/100)*2)*'Levantamento dutos'!$D189,0)</f>
        <v>0</v>
      </c>
      <c r="G189">
        <f>(('Levantamento dutos'!B189+'Levantamento dutos'!C189)/100)*2</f>
        <v>0</v>
      </c>
      <c r="H189" s="58">
        <f>IF(CODE('Levantamento dutos'!$E189)=76,SUM($B189:$F189),0)</f>
        <v>0</v>
      </c>
      <c r="I189">
        <f>IF(CODE('Levantamento dutos'!$E189)=73,SUM($B189:$F189),0)</f>
        <v>0</v>
      </c>
      <c r="J189">
        <f>IF(CODE('Levantamento dutos'!$E189)=80,SUM($B189:$F189),0)</f>
        <v>0</v>
      </c>
      <c r="K189">
        <f>IF(CODE('Levantamento dutos'!$F189)=66,SUM($B189:$F189),0)</f>
        <v>0</v>
      </c>
      <c r="L189">
        <f>IF(CODE('Levantamento dutos'!$F189)=70,SUM($B189:$F189),0)</f>
        <v>0</v>
      </c>
      <c r="M189" s="59">
        <f>IF(CODE('Levantamento dutos'!$E189)=84,SUM($B189:$F189),0)</f>
        <v>0</v>
      </c>
      <c r="N189" s="60">
        <f>IF(CODE('Levantamento dutos'!$G189)=80,IF('Levantamento dutos'!$B189&lt;=200,('Levantamento dutos'!$D189/'Levantamento dutos'!$G$12*Calculos!$G189*2),0),0)</f>
        <v>0</v>
      </c>
      <c r="O189" s="60">
        <f>IF(CODE('Levantamento dutos'!$G189)=80,IF('Levantamento dutos'!$B189&gt;200,('Levantamento dutos'!$D189/'Levantamento dutos'!$G$12*Calculos!$G189*2),0),0)</f>
        <v>0</v>
      </c>
      <c r="P189" s="60">
        <f>IF(CODE('Levantamento dutos'!$G189)=67,('Levantamento dutos'!$D189/'Levantamento dutos'!$G$12*Calculos!$G189*2),0)</f>
        <v>0</v>
      </c>
      <c r="Q189" s="60">
        <f>IF(CODE('Levantamento dutos'!H189)=83,((('Levantamento dutos'!B189/100)+('Levantamento dutos'!$H$12/1000))+(('Levantamento dutos'!C189/100)+('Levantamento dutos'!$H$12)/1000))*2*'Levantamento dutos'!D189,0)</f>
        <v>0</v>
      </c>
      <c r="S189" s="60">
        <f>IF(CODE('Levantamento dutos'!$I189)=83,$Q189,0)</f>
        <v>0</v>
      </c>
      <c r="T189" s="60">
        <f>IF(CODE('Levantamento dutos'!$E189)=76,ROUND((('Levantamento dutos'!$D189/5)*(Calculos!$G189+0.2)*1.2),0),0)</f>
        <v>0</v>
      </c>
      <c r="U189" s="60">
        <f>IF(CODE('Levantamento dutos'!$E189)=73,ROUND((('Levantamento dutos'!$D189/0.5)*(Calculos!$G189+0.2)*1.2),0),0)</f>
        <v>0</v>
      </c>
      <c r="V189" s="60">
        <f>IF(CODE('Levantamento dutos'!$E189)=80,ROUND((('Levantamento dutos'!$D189/0.5)*(Calculos!$G189+0.2)*1.2),0),0)</f>
        <v>0</v>
      </c>
      <c r="W189" s="60">
        <f>IF(CODE('Levantamento dutos'!$E189)=76,'Levantamento dutos'!$D189/0.5*1.5,0)</f>
        <v>0</v>
      </c>
      <c r="X189" s="60">
        <f>IF(CODE('Levantamento dutos'!$E189)=73,'Levantamento dutos'!$D189/0.5*1.5,0)</f>
        <v>0</v>
      </c>
      <c r="Y189" s="60">
        <f>IF(CODE('Levantamento dutos'!$E189)=80,'Levantamento dutos'!$D189/0.5*1.5,0)</f>
        <v>0</v>
      </c>
      <c r="Z189" s="60">
        <f>IF(CODE('Levantamento dutos'!$E189)=76,ROUND(('Levantamento dutos'!$D189)+('Levantamento dutos'!$D189*Calculos!$G189*2)*1.1,0),0)</f>
        <v>0</v>
      </c>
      <c r="AA189" s="60">
        <f>IF(CODE('Levantamento dutos'!$G189)=80,('Levantamento dutos'!$D189/'Levantamento dutos'!$G$12)*8,0)</f>
        <v>0</v>
      </c>
      <c r="AB189" s="60">
        <f>IF(CODE('Levantamento dutos'!$G189)=80,IF('Levantamento dutos'!$B189&gt;30,('Levantamento dutos'!$D189/'Levantamento dutos'!$G$12)*4,0),0)</f>
        <v>0</v>
      </c>
      <c r="AC189" s="60">
        <f>IF('Levantamento dutos'!$B189&gt;220,('Levantamento dutos'!$D189/'Levantamento dutos'!$G$12*Calculos!$G189*2),0)</f>
        <v>0</v>
      </c>
      <c r="AD189" s="60">
        <f>IF(CODE('Levantamento dutos'!$E189)=73,((('Levantamento dutos'!$E$12/1000)+0.02)*'Levantamento dutos'!$D189)*4*1.3,0)</f>
        <v>0</v>
      </c>
      <c r="AE189" s="60">
        <f>IF(CODE('Levantamento dutos'!$E189)=80,((('Levantamento dutos'!$E$12/1000)+0.02)*'Levantamento dutos'!$D189)*4*1.3,0)</f>
        <v>0</v>
      </c>
    </row>
    <row r="190" spans="2:31" x14ac:dyDescent="0.2">
      <c r="B190" s="58">
        <f>IF('Levantamento dutos'!$B190&lt;=Calculos!$Z$3,((('Levantamento dutos'!$B190)/100+('Levantamento dutos'!$C190)/100)*2)*'Levantamento dutos'!$D190,0)</f>
        <v>0</v>
      </c>
      <c r="C190">
        <f>IF('Levantamento dutos'!$B190&gt;Calculos!$Z$3,IF('Levantamento dutos'!$B190&lt;=Calculos!$Z$4,((('Levantamento dutos'!$B190)/100+('Levantamento dutos'!$C190)/100)*2)*'Levantamento dutos'!$D190,0),0)</f>
        <v>0</v>
      </c>
      <c r="D190">
        <f>IF('Levantamento dutos'!$B190&gt;Calculos!$Z$4,IF('Levantamento dutos'!$B190&lt;=Calculos!$Z$5,((('Levantamento dutos'!$B190)/100+('Levantamento dutos'!$C190)/100)*2)*'Levantamento dutos'!$D190,0),0)</f>
        <v>0</v>
      </c>
      <c r="E190">
        <f>IF('Levantamento dutos'!$B190&gt;Calculos!$Z$5,IF('Levantamento dutos'!$B190&lt;=Calculos!$Z$6,((('Levantamento dutos'!$B190)/100+('Levantamento dutos'!$C190)/100)*2)*'Levantamento dutos'!$D190,0),0)</f>
        <v>0</v>
      </c>
      <c r="F190" s="59">
        <f>IF('Levantamento dutos'!$B190&gt;Calculos!$Z$7,((('Levantamento dutos'!$B190)/100+('Levantamento dutos'!$C190)/100)*2)*'Levantamento dutos'!$D190,0)</f>
        <v>0</v>
      </c>
      <c r="G190">
        <f>(('Levantamento dutos'!B190+'Levantamento dutos'!C190)/100)*2</f>
        <v>0</v>
      </c>
      <c r="H190" s="58">
        <f>IF(CODE('Levantamento dutos'!$E190)=76,SUM($B190:$F190),0)</f>
        <v>0</v>
      </c>
      <c r="I190">
        <f>IF(CODE('Levantamento dutos'!$E190)=73,SUM($B190:$F190),0)</f>
        <v>0</v>
      </c>
      <c r="J190">
        <f>IF(CODE('Levantamento dutos'!$E190)=80,SUM($B190:$F190),0)</f>
        <v>0</v>
      </c>
      <c r="K190">
        <f>IF(CODE('Levantamento dutos'!$F190)=66,SUM($B190:$F190),0)</f>
        <v>0</v>
      </c>
      <c r="L190">
        <f>IF(CODE('Levantamento dutos'!$F190)=70,SUM($B190:$F190),0)</f>
        <v>0</v>
      </c>
      <c r="M190" s="59">
        <f>IF(CODE('Levantamento dutos'!$E190)=84,SUM($B190:$F190),0)</f>
        <v>0</v>
      </c>
      <c r="N190" s="60">
        <f>IF(CODE('Levantamento dutos'!$G190)=80,IF('Levantamento dutos'!$B190&lt;=200,('Levantamento dutos'!$D190/'Levantamento dutos'!$G$12*Calculos!$G190*2),0),0)</f>
        <v>0</v>
      </c>
      <c r="O190" s="60">
        <f>IF(CODE('Levantamento dutos'!$G190)=80,IF('Levantamento dutos'!$B190&gt;200,('Levantamento dutos'!$D190/'Levantamento dutos'!$G$12*Calculos!$G190*2),0),0)</f>
        <v>0</v>
      </c>
      <c r="P190" s="60">
        <f>IF(CODE('Levantamento dutos'!$G190)=67,('Levantamento dutos'!$D190/'Levantamento dutos'!$G$12*Calculos!$G190*2),0)</f>
        <v>0</v>
      </c>
      <c r="Q190" s="60">
        <f>IF(CODE('Levantamento dutos'!H190)=83,((('Levantamento dutos'!B190/100)+('Levantamento dutos'!$H$12/1000))+(('Levantamento dutos'!C190/100)+('Levantamento dutos'!$H$12)/1000))*2*'Levantamento dutos'!D190,0)</f>
        <v>0</v>
      </c>
      <c r="S190" s="60">
        <f>IF(CODE('Levantamento dutos'!$I190)=83,$Q190,0)</f>
        <v>0</v>
      </c>
      <c r="T190" s="60">
        <f>IF(CODE('Levantamento dutos'!$E190)=76,ROUND((('Levantamento dutos'!$D190/5)*(Calculos!$G190+0.2)*1.2),0),0)</f>
        <v>0</v>
      </c>
      <c r="U190" s="60">
        <f>IF(CODE('Levantamento dutos'!$E190)=73,ROUND((('Levantamento dutos'!$D190/0.5)*(Calculos!$G190+0.2)*1.2),0),0)</f>
        <v>0</v>
      </c>
      <c r="V190" s="60">
        <f>IF(CODE('Levantamento dutos'!$E190)=80,ROUND((('Levantamento dutos'!$D190/0.5)*(Calculos!$G190+0.2)*1.2),0),0)</f>
        <v>0</v>
      </c>
      <c r="W190" s="60">
        <f>IF(CODE('Levantamento dutos'!$E190)=76,'Levantamento dutos'!$D190/0.5*1.5,0)</f>
        <v>0</v>
      </c>
      <c r="X190" s="60">
        <f>IF(CODE('Levantamento dutos'!$E190)=73,'Levantamento dutos'!$D190/0.5*1.5,0)</f>
        <v>0</v>
      </c>
      <c r="Y190" s="60">
        <f>IF(CODE('Levantamento dutos'!$E190)=80,'Levantamento dutos'!$D190/0.5*1.5,0)</f>
        <v>0</v>
      </c>
      <c r="Z190" s="60">
        <f>IF(CODE('Levantamento dutos'!$E190)=76,ROUND(('Levantamento dutos'!$D190)+('Levantamento dutos'!$D190*Calculos!$G190*2)*1.1,0),0)</f>
        <v>0</v>
      </c>
      <c r="AA190" s="60">
        <f>IF(CODE('Levantamento dutos'!$G190)=80,('Levantamento dutos'!$D190/'Levantamento dutos'!$G$12)*8,0)</f>
        <v>0</v>
      </c>
      <c r="AB190" s="60">
        <f>IF(CODE('Levantamento dutos'!$G190)=80,IF('Levantamento dutos'!$B190&gt;30,('Levantamento dutos'!$D190/'Levantamento dutos'!$G$12)*4,0),0)</f>
        <v>0</v>
      </c>
      <c r="AC190" s="60">
        <f>IF('Levantamento dutos'!$B190&gt;220,('Levantamento dutos'!$D190/'Levantamento dutos'!$G$12*Calculos!$G190*2),0)</f>
        <v>0</v>
      </c>
      <c r="AD190" s="60">
        <f>IF(CODE('Levantamento dutos'!$E190)=73,((('Levantamento dutos'!$E$12/1000)+0.02)*'Levantamento dutos'!$D190)*4*1.3,0)</f>
        <v>0</v>
      </c>
      <c r="AE190" s="60">
        <f>IF(CODE('Levantamento dutos'!$E190)=80,((('Levantamento dutos'!$E$12/1000)+0.02)*'Levantamento dutos'!$D190)*4*1.3,0)</f>
        <v>0</v>
      </c>
    </row>
    <row r="191" spans="2:31" x14ac:dyDescent="0.2">
      <c r="B191" s="58">
        <f>IF('Levantamento dutos'!$B191&lt;=Calculos!$Z$3,((('Levantamento dutos'!$B191)/100+('Levantamento dutos'!$C191)/100)*2)*'Levantamento dutos'!$D191,0)</f>
        <v>0</v>
      </c>
      <c r="C191">
        <f>IF('Levantamento dutos'!$B191&gt;Calculos!$Z$3,IF('Levantamento dutos'!$B191&lt;=Calculos!$Z$4,((('Levantamento dutos'!$B191)/100+('Levantamento dutos'!$C191)/100)*2)*'Levantamento dutos'!$D191,0),0)</f>
        <v>0</v>
      </c>
      <c r="D191">
        <f>IF('Levantamento dutos'!$B191&gt;Calculos!$Z$4,IF('Levantamento dutos'!$B191&lt;=Calculos!$Z$5,((('Levantamento dutos'!$B191)/100+('Levantamento dutos'!$C191)/100)*2)*'Levantamento dutos'!$D191,0),0)</f>
        <v>0</v>
      </c>
      <c r="E191">
        <f>IF('Levantamento dutos'!$B191&gt;Calculos!$Z$5,IF('Levantamento dutos'!$B191&lt;=Calculos!$Z$6,((('Levantamento dutos'!$B191)/100+('Levantamento dutos'!$C191)/100)*2)*'Levantamento dutos'!$D191,0),0)</f>
        <v>0</v>
      </c>
      <c r="F191" s="59">
        <f>IF('Levantamento dutos'!$B191&gt;Calculos!$Z$7,((('Levantamento dutos'!$B191)/100+('Levantamento dutos'!$C191)/100)*2)*'Levantamento dutos'!$D191,0)</f>
        <v>0</v>
      </c>
      <c r="G191">
        <f>(('Levantamento dutos'!B191+'Levantamento dutos'!C191)/100)*2</f>
        <v>0</v>
      </c>
      <c r="H191" s="58">
        <f>IF(CODE('Levantamento dutos'!$E191)=76,SUM($B191:$F191),0)</f>
        <v>0</v>
      </c>
      <c r="I191">
        <f>IF(CODE('Levantamento dutos'!$E191)=73,SUM($B191:$F191),0)</f>
        <v>0</v>
      </c>
      <c r="J191">
        <f>IF(CODE('Levantamento dutos'!$E191)=80,SUM($B191:$F191),0)</f>
        <v>0</v>
      </c>
      <c r="K191">
        <f>IF(CODE('Levantamento dutos'!$F191)=66,SUM($B191:$F191),0)</f>
        <v>0</v>
      </c>
      <c r="L191">
        <f>IF(CODE('Levantamento dutos'!$F191)=70,SUM($B191:$F191),0)</f>
        <v>0</v>
      </c>
      <c r="M191" s="59">
        <f>IF(CODE('Levantamento dutos'!$E191)=84,SUM($B191:$F191),0)</f>
        <v>0</v>
      </c>
      <c r="N191" s="60">
        <f>IF(CODE('Levantamento dutos'!$G191)=80,IF('Levantamento dutos'!$B191&lt;=200,('Levantamento dutos'!$D191/'Levantamento dutos'!$G$12*Calculos!$G191*2),0),0)</f>
        <v>0</v>
      </c>
      <c r="O191" s="60">
        <f>IF(CODE('Levantamento dutos'!$G191)=80,IF('Levantamento dutos'!$B191&gt;200,('Levantamento dutos'!$D191/'Levantamento dutos'!$G$12*Calculos!$G191*2),0),0)</f>
        <v>0</v>
      </c>
      <c r="P191" s="60">
        <f>IF(CODE('Levantamento dutos'!$G191)=67,('Levantamento dutos'!$D191/'Levantamento dutos'!$G$12*Calculos!$G191*2),0)</f>
        <v>0</v>
      </c>
      <c r="Q191" s="60">
        <f>IF(CODE('Levantamento dutos'!H191)=83,((('Levantamento dutos'!B191/100)+('Levantamento dutos'!$H$12/1000))+(('Levantamento dutos'!C191/100)+('Levantamento dutos'!$H$12)/1000))*2*'Levantamento dutos'!D191,0)</f>
        <v>0</v>
      </c>
      <c r="S191" s="60">
        <f>IF(CODE('Levantamento dutos'!$I191)=83,$Q191,0)</f>
        <v>0</v>
      </c>
      <c r="T191" s="60">
        <f>IF(CODE('Levantamento dutos'!$E191)=76,ROUND((('Levantamento dutos'!$D191/5)*(Calculos!$G191+0.2)*1.2),0),0)</f>
        <v>0</v>
      </c>
      <c r="U191" s="60">
        <f>IF(CODE('Levantamento dutos'!$E191)=73,ROUND((('Levantamento dutos'!$D191/0.5)*(Calculos!$G191+0.2)*1.2),0),0)</f>
        <v>0</v>
      </c>
      <c r="V191" s="60">
        <f>IF(CODE('Levantamento dutos'!$E191)=80,ROUND((('Levantamento dutos'!$D191/0.5)*(Calculos!$G191+0.2)*1.2),0),0)</f>
        <v>0</v>
      </c>
      <c r="W191" s="60">
        <f>IF(CODE('Levantamento dutos'!$E191)=76,'Levantamento dutos'!$D191/0.5*1.5,0)</f>
        <v>0</v>
      </c>
      <c r="X191" s="60">
        <f>IF(CODE('Levantamento dutos'!$E191)=73,'Levantamento dutos'!$D191/0.5*1.5,0)</f>
        <v>0</v>
      </c>
      <c r="Y191" s="60">
        <f>IF(CODE('Levantamento dutos'!$E191)=80,'Levantamento dutos'!$D191/0.5*1.5,0)</f>
        <v>0</v>
      </c>
      <c r="Z191" s="60">
        <f>IF(CODE('Levantamento dutos'!$E191)=76,ROUND(('Levantamento dutos'!$D191)+('Levantamento dutos'!$D191*Calculos!$G191*2)*1.1,0),0)</f>
        <v>0</v>
      </c>
      <c r="AA191" s="60">
        <f>IF(CODE('Levantamento dutos'!$G191)=80,('Levantamento dutos'!$D191/'Levantamento dutos'!$G$12)*8,0)</f>
        <v>0</v>
      </c>
      <c r="AB191" s="60">
        <f>IF(CODE('Levantamento dutos'!$G191)=80,IF('Levantamento dutos'!$B191&gt;30,('Levantamento dutos'!$D191/'Levantamento dutos'!$G$12)*4,0),0)</f>
        <v>0</v>
      </c>
      <c r="AC191" s="60">
        <f>IF('Levantamento dutos'!$B191&gt;220,('Levantamento dutos'!$D191/'Levantamento dutos'!$G$12*Calculos!$G191*2),0)</f>
        <v>0</v>
      </c>
      <c r="AD191" s="60">
        <f>IF(CODE('Levantamento dutos'!$E191)=73,((('Levantamento dutos'!$E$12/1000)+0.02)*'Levantamento dutos'!$D191)*4*1.3,0)</f>
        <v>0</v>
      </c>
      <c r="AE191" s="60">
        <f>IF(CODE('Levantamento dutos'!$E191)=80,((('Levantamento dutos'!$E$12/1000)+0.02)*'Levantamento dutos'!$D191)*4*1.3,0)</f>
        <v>0</v>
      </c>
    </row>
    <row r="192" spans="2:31" x14ac:dyDescent="0.2">
      <c r="B192" s="58">
        <f>IF('Levantamento dutos'!$B192&lt;=Calculos!$Z$3,((('Levantamento dutos'!$B192)/100+('Levantamento dutos'!$C192)/100)*2)*'Levantamento dutos'!$D192,0)</f>
        <v>0</v>
      </c>
      <c r="C192">
        <f>IF('Levantamento dutos'!$B192&gt;Calculos!$Z$3,IF('Levantamento dutos'!$B192&lt;=Calculos!$Z$4,((('Levantamento dutos'!$B192)/100+('Levantamento dutos'!$C192)/100)*2)*'Levantamento dutos'!$D192,0),0)</f>
        <v>0</v>
      </c>
      <c r="D192">
        <f>IF('Levantamento dutos'!$B192&gt;Calculos!$Z$4,IF('Levantamento dutos'!$B192&lt;=Calculos!$Z$5,((('Levantamento dutos'!$B192)/100+('Levantamento dutos'!$C192)/100)*2)*'Levantamento dutos'!$D192,0),0)</f>
        <v>0</v>
      </c>
      <c r="E192">
        <f>IF('Levantamento dutos'!$B192&gt;Calculos!$Z$5,IF('Levantamento dutos'!$B192&lt;=Calculos!$Z$6,((('Levantamento dutos'!$B192)/100+('Levantamento dutos'!$C192)/100)*2)*'Levantamento dutos'!$D192,0),0)</f>
        <v>0</v>
      </c>
      <c r="F192" s="59">
        <f>IF('Levantamento dutos'!$B192&gt;Calculos!$Z$7,((('Levantamento dutos'!$B192)/100+('Levantamento dutos'!$C192)/100)*2)*'Levantamento dutos'!$D192,0)</f>
        <v>0</v>
      </c>
      <c r="G192">
        <f>(('Levantamento dutos'!B192+'Levantamento dutos'!C192)/100)*2</f>
        <v>0</v>
      </c>
      <c r="H192" s="58">
        <f>IF(CODE('Levantamento dutos'!$E192)=76,SUM($B192:$F192),0)</f>
        <v>0</v>
      </c>
      <c r="I192">
        <f>IF(CODE('Levantamento dutos'!$E192)=73,SUM($B192:$F192),0)</f>
        <v>0</v>
      </c>
      <c r="J192">
        <f>IF(CODE('Levantamento dutos'!$E192)=80,SUM($B192:$F192),0)</f>
        <v>0</v>
      </c>
      <c r="K192">
        <f>IF(CODE('Levantamento dutos'!$F192)=66,SUM($B192:$F192),0)</f>
        <v>0</v>
      </c>
      <c r="L192">
        <f>IF(CODE('Levantamento dutos'!$F192)=70,SUM($B192:$F192),0)</f>
        <v>0</v>
      </c>
      <c r="M192" s="59">
        <f>IF(CODE('Levantamento dutos'!$E192)=84,SUM($B192:$F192),0)</f>
        <v>0</v>
      </c>
      <c r="N192" s="60">
        <f>IF(CODE('Levantamento dutos'!$G192)=80,IF('Levantamento dutos'!$B192&lt;=200,('Levantamento dutos'!$D192/'Levantamento dutos'!$G$12*Calculos!$G192*2),0),0)</f>
        <v>0</v>
      </c>
      <c r="O192" s="60">
        <f>IF(CODE('Levantamento dutos'!$G192)=80,IF('Levantamento dutos'!$B192&gt;200,('Levantamento dutos'!$D192/'Levantamento dutos'!$G$12*Calculos!$G192*2),0),0)</f>
        <v>0</v>
      </c>
      <c r="P192" s="60">
        <f>IF(CODE('Levantamento dutos'!$G192)=67,('Levantamento dutos'!$D192/'Levantamento dutos'!$G$12*Calculos!$G192*2),0)</f>
        <v>0</v>
      </c>
      <c r="Q192" s="60">
        <f>IF(CODE('Levantamento dutos'!H192)=83,((('Levantamento dutos'!B192/100)+('Levantamento dutos'!$H$12/1000))+(('Levantamento dutos'!C192/100)+('Levantamento dutos'!$H$12)/1000))*2*'Levantamento dutos'!D192,0)</f>
        <v>0</v>
      </c>
      <c r="S192" s="60">
        <f>IF(CODE('Levantamento dutos'!$I192)=83,$Q192,0)</f>
        <v>0</v>
      </c>
      <c r="T192" s="60">
        <f>IF(CODE('Levantamento dutos'!$E192)=76,ROUND((('Levantamento dutos'!$D192/5)*(Calculos!$G192+0.2)*1.2),0),0)</f>
        <v>0</v>
      </c>
      <c r="U192" s="60">
        <f>IF(CODE('Levantamento dutos'!$E192)=73,ROUND((('Levantamento dutos'!$D192/0.5)*(Calculos!$G192+0.2)*1.2),0),0)</f>
        <v>0</v>
      </c>
      <c r="V192" s="60">
        <f>IF(CODE('Levantamento dutos'!$E192)=80,ROUND((('Levantamento dutos'!$D192/0.5)*(Calculos!$G192+0.2)*1.2),0),0)</f>
        <v>0</v>
      </c>
      <c r="W192" s="60">
        <f>IF(CODE('Levantamento dutos'!$E192)=76,'Levantamento dutos'!$D192/0.5*1.5,0)</f>
        <v>0</v>
      </c>
      <c r="X192" s="60">
        <f>IF(CODE('Levantamento dutos'!$E192)=73,'Levantamento dutos'!$D192/0.5*1.5,0)</f>
        <v>0</v>
      </c>
      <c r="Y192" s="60">
        <f>IF(CODE('Levantamento dutos'!$E192)=80,'Levantamento dutos'!$D192/0.5*1.5,0)</f>
        <v>0</v>
      </c>
      <c r="Z192" s="60">
        <f>IF(CODE('Levantamento dutos'!$E192)=76,ROUND(('Levantamento dutos'!$D192)+('Levantamento dutos'!$D192*Calculos!$G192*2)*1.1,0),0)</f>
        <v>0</v>
      </c>
      <c r="AA192" s="60">
        <f>IF(CODE('Levantamento dutos'!$G192)=80,('Levantamento dutos'!$D192/'Levantamento dutos'!$G$12)*8,0)</f>
        <v>0</v>
      </c>
      <c r="AB192" s="60">
        <f>IF(CODE('Levantamento dutos'!$G192)=80,IF('Levantamento dutos'!$B192&gt;30,('Levantamento dutos'!$D192/'Levantamento dutos'!$G$12)*4,0),0)</f>
        <v>0</v>
      </c>
      <c r="AC192" s="60">
        <f>IF('Levantamento dutos'!$B192&gt;220,('Levantamento dutos'!$D192/'Levantamento dutos'!$G$12*Calculos!$G192*2),0)</f>
        <v>0</v>
      </c>
      <c r="AD192" s="60">
        <f>IF(CODE('Levantamento dutos'!$E192)=73,((('Levantamento dutos'!$E$12/1000)+0.02)*'Levantamento dutos'!$D192)*4*1.3,0)</f>
        <v>0</v>
      </c>
      <c r="AE192" s="60">
        <f>IF(CODE('Levantamento dutos'!$E192)=80,((('Levantamento dutos'!$E$12/1000)+0.02)*'Levantamento dutos'!$D192)*4*1.3,0)</f>
        <v>0</v>
      </c>
    </row>
    <row r="193" spans="2:31" x14ac:dyDescent="0.2">
      <c r="B193" s="58">
        <f>IF('Levantamento dutos'!$B193&lt;=Calculos!$Z$3,((('Levantamento dutos'!$B193)/100+('Levantamento dutos'!$C193)/100)*2)*'Levantamento dutos'!$D193,0)</f>
        <v>0</v>
      </c>
      <c r="C193">
        <f>IF('Levantamento dutos'!$B193&gt;Calculos!$Z$3,IF('Levantamento dutos'!$B193&lt;=Calculos!$Z$4,((('Levantamento dutos'!$B193)/100+('Levantamento dutos'!$C193)/100)*2)*'Levantamento dutos'!$D193,0),0)</f>
        <v>0</v>
      </c>
      <c r="D193">
        <f>IF('Levantamento dutos'!$B193&gt;Calculos!$Z$4,IF('Levantamento dutos'!$B193&lt;=Calculos!$Z$5,((('Levantamento dutos'!$B193)/100+('Levantamento dutos'!$C193)/100)*2)*'Levantamento dutos'!$D193,0),0)</f>
        <v>0</v>
      </c>
      <c r="E193">
        <f>IF('Levantamento dutos'!$B193&gt;Calculos!$Z$5,IF('Levantamento dutos'!$B193&lt;=Calculos!$Z$6,((('Levantamento dutos'!$B193)/100+('Levantamento dutos'!$C193)/100)*2)*'Levantamento dutos'!$D193,0),0)</f>
        <v>0</v>
      </c>
      <c r="F193" s="59">
        <f>IF('Levantamento dutos'!$B193&gt;Calculos!$Z$7,((('Levantamento dutos'!$B193)/100+('Levantamento dutos'!$C193)/100)*2)*'Levantamento dutos'!$D193,0)</f>
        <v>0</v>
      </c>
      <c r="G193">
        <f>(('Levantamento dutos'!B193+'Levantamento dutos'!C193)/100)*2</f>
        <v>0</v>
      </c>
      <c r="H193" s="58">
        <f>IF(CODE('Levantamento dutos'!$E193)=76,SUM($B193:$F193),0)</f>
        <v>0</v>
      </c>
      <c r="I193">
        <f>IF(CODE('Levantamento dutos'!$E193)=73,SUM($B193:$F193),0)</f>
        <v>0</v>
      </c>
      <c r="J193">
        <f>IF(CODE('Levantamento dutos'!$E193)=80,SUM($B193:$F193),0)</f>
        <v>0</v>
      </c>
      <c r="K193">
        <f>IF(CODE('Levantamento dutos'!$F193)=66,SUM($B193:$F193),0)</f>
        <v>0</v>
      </c>
      <c r="L193">
        <f>IF(CODE('Levantamento dutos'!$F193)=70,SUM($B193:$F193),0)</f>
        <v>0</v>
      </c>
      <c r="M193" s="59">
        <f>IF(CODE('Levantamento dutos'!$E193)=84,SUM($B193:$F193),0)</f>
        <v>0</v>
      </c>
      <c r="N193" s="60">
        <f>IF(CODE('Levantamento dutos'!$G193)=80,IF('Levantamento dutos'!$B193&lt;=200,('Levantamento dutos'!$D193/'Levantamento dutos'!$G$12*Calculos!$G193*2),0),0)</f>
        <v>0</v>
      </c>
      <c r="O193" s="60">
        <f>IF(CODE('Levantamento dutos'!$G193)=80,IF('Levantamento dutos'!$B193&gt;200,('Levantamento dutos'!$D193/'Levantamento dutos'!$G$12*Calculos!$G193*2),0),0)</f>
        <v>0</v>
      </c>
      <c r="P193" s="60">
        <f>IF(CODE('Levantamento dutos'!$G193)=67,('Levantamento dutos'!$D193/'Levantamento dutos'!$G$12*Calculos!$G193*2),0)</f>
        <v>0</v>
      </c>
      <c r="Q193" s="60">
        <f>IF(CODE('Levantamento dutos'!H193)=83,((('Levantamento dutos'!B193/100)+('Levantamento dutos'!$H$12/1000))+(('Levantamento dutos'!C193/100)+('Levantamento dutos'!$H$12)/1000))*2*'Levantamento dutos'!D193,0)</f>
        <v>0</v>
      </c>
      <c r="S193" s="60">
        <f>IF(CODE('Levantamento dutos'!$I193)=83,$Q193,0)</f>
        <v>0</v>
      </c>
      <c r="T193" s="60">
        <f>IF(CODE('Levantamento dutos'!$E193)=76,ROUND((('Levantamento dutos'!$D193/5)*(Calculos!$G193+0.2)*1.2),0),0)</f>
        <v>0</v>
      </c>
      <c r="U193" s="60">
        <f>IF(CODE('Levantamento dutos'!$E193)=73,ROUND((('Levantamento dutos'!$D193/0.5)*(Calculos!$G193+0.2)*1.2),0),0)</f>
        <v>0</v>
      </c>
      <c r="V193" s="60">
        <f>IF(CODE('Levantamento dutos'!$E193)=80,ROUND((('Levantamento dutos'!$D193/0.5)*(Calculos!$G193+0.2)*1.2),0),0)</f>
        <v>0</v>
      </c>
      <c r="W193" s="60">
        <f>IF(CODE('Levantamento dutos'!$E193)=76,'Levantamento dutos'!$D193/0.5*1.5,0)</f>
        <v>0</v>
      </c>
      <c r="X193" s="60">
        <f>IF(CODE('Levantamento dutos'!$E193)=73,'Levantamento dutos'!$D193/0.5*1.5,0)</f>
        <v>0</v>
      </c>
      <c r="Y193" s="60">
        <f>IF(CODE('Levantamento dutos'!$E193)=80,'Levantamento dutos'!$D193/0.5*1.5,0)</f>
        <v>0</v>
      </c>
      <c r="Z193" s="60">
        <f>IF(CODE('Levantamento dutos'!$E193)=76,ROUND(('Levantamento dutos'!$D193)+('Levantamento dutos'!$D193*Calculos!$G193*2)*1.1,0),0)</f>
        <v>0</v>
      </c>
      <c r="AA193" s="60">
        <f>IF(CODE('Levantamento dutos'!$G193)=80,('Levantamento dutos'!$D193/'Levantamento dutos'!$G$12)*8,0)</f>
        <v>0</v>
      </c>
      <c r="AB193" s="60">
        <f>IF(CODE('Levantamento dutos'!$G193)=80,IF('Levantamento dutos'!$B193&gt;30,('Levantamento dutos'!$D193/'Levantamento dutos'!$G$12)*4,0),0)</f>
        <v>0</v>
      </c>
      <c r="AC193" s="60">
        <f>IF('Levantamento dutos'!$B193&gt;220,('Levantamento dutos'!$D193/'Levantamento dutos'!$G$12*Calculos!$G193*2),0)</f>
        <v>0</v>
      </c>
      <c r="AD193" s="60">
        <f>IF(CODE('Levantamento dutos'!$E193)=73,((('Levantamento dutos'!$E$12/1000)+0.02)*'Levantamento dutos'!$D193)*4*1.3,0)</f>
        <v>0</v>
      </c>
      <c r="AE193" s="60">
        <f>IF(CODE('Levantamento dutos'!$E193)=80,((('Levantamento dutos'!$E$12/1000)+0.02)*'Levantamento dutos'!$D193)*4*1.3,0)</f>
        <v>0</v>
      </c>
    </row>
    <row r="194" spans="2:31" x14ac:dyDescent="0.2">
      <c r="B194" s="58">
        <f>IF('Levantamento dutos'!$B194&lt;=Calculos!$Z$3,((('Levantamento dutos'!$B194)/100+('Levantamento dutos'!$C194)/100)*2)*'Levantamento dutos'!$D194,0)</f>
        <v>0</v>
      </c>
      <c r="C194">
        <f>IF('Levantamento dutos'!$B194&gt;Calculos!$Z$3,IF('Levantamento dutos'!$B194&lt;=Calculos!$Z$4,((('Levantamento dutos'!$B194)/100+('Levantamento dutos'!$C194)/100)*2)*'Levantamento dutos'!$D194,0),0)</f>
        <v>0</v>
      </c>
      <c r="D194">
        <f>IF('Levantamento dutos'!$B194&gt;Calculos!$Z$4,IF('Levantamento dutos'!$B194&lt;=Calculos!$Z$5,((('Levantamento dutos'!$B194)/100+('Levantamento dutos'!$C194)/100)*2)*'Levantamento dutos'!$D194,0),0)</f>
        <v>0</v>
      </c>
      <c r="E194">
        <f>IF('Levantamento dutos'!$B194&gt;Calculos!$Z$5,IF('Levantamento dutos'!$B194&lt;=Calculos!$Z$6,((('Levantamento dutos'!$B194)/100+('Levantamento dutos'!$C194)/100)*2)*'Levantamento dutos'!$D194,0),0)</f>
        <v>0</v>
      </c>
      <c r="F194" s="59">
        <f>IF('Levantamento dutos'!$B194&gt;Calculos!$Z$7,((('Levantamento dutos'!$B194)/100+('Levantamento dutos'!$C194)/100)*2)*'Levantamento dutos'!$D194,0)</f>
        <v>0</v>
      </c>
      <c r="G194">
        <f>(('Levantamento dutos'!B194+'Levantamento dutos'!C194)/100)*2</f>
        <v>0</v>
      </c>
      <c r="H194" s="58">
        <f>IF(CODE('Levantamento dutos'!$E194)=76,SUM($B194:$F194),0)</f>
        <v>0</v>
      </c>
      <c r="I194">
        <f>IF(CODE('Levantamento dutos'!$E194)=73,SUM($B194:$F194),0)</f>
        <v>0</v>
      </c>
      <c r="J194">
        <f>IF(CODE('Levantamento dutos'!$E194)=80,SUM($B194:$F194),0)</f>
        <v>0</v>
      </c>
      <c r="K194">
        <f>IF(CODE('Levantamento dutos'!$F194)=66,SUM($B194:$F194),0)</f>
        <v>0</v>
      </c>
      <c r="L194">
        <f>IF(CODE('Levantamento dutos'!$F194)=70,SUM($B194:$F194),0)</f>
        <v>0</v>
      </c>
      <c r="M194" s="59">
        <f>IF(CODE('Levantamento dutos'!$E194)=84,SUM($B194:$F194),0)</f>
        <v>0</v>
      </c>
      <c r="N194" s="60">
        <f>IF(CODE('Levantamento dutos'!$G194)=80,IF('Levantamento dutos'!$B194&lt;=200,('Levantamento dutos'!$D194/'Levantamento dutos'!$G$12*Calculos!$G194*2),0),0)</f>
        <v>0</v>
      </c>
      <c r="O194" s="60">
        <f>IF(CODE('Levantamento dutos'!$G194)=80,IF('Levantamento dutos'!$B194&gt;200,('Levantamento dutos'!$D194/'Levantamento dutos'!$G$12*Calculos!$G194*2),0),0)</f>
        <v>0</v>
      </c>
      <c r="P194" s="60">
        <f>IF(CODE('Levantamento dutos'!$G194)=67,('Levantamento dutos'!$D194/'Levantamento dutos'!$G$12*Calculos!$G194*2),0)</f>
        <v>0</v>
      </c>
      <c r="Q194" s="60">
        <f>IF(CODE('Levantamento dutos'!H194)=83,((('Levantamento dutos'!B194/100)+('Levantamento dutos'!$H$12/1000))+(('Levantamento dutos'!C194/100)+('Levantamento dutos'!$H$12)/1000))*2*'Levantamento dutos'!D194,0)</f>
        <v>0</v>
      </c>
      <c r="S194" s="60">
        <f>IF(CODE('Levantamento dutos'!$I194)=83,$Q194,0)</f>
        <v>0</v>
      </c>
      <c r="T194" s="60">
        <f>IF(CODE('Levantamento dutos'!$E194)=76,ROUND((('Levantamento dutos'!$D194/5)*(Calculos!$G194+0.2)*1.2),0),0)</f>
        <v>0</v>
      </c>
      <c r="U194" s="60">
        <f>IF(CODE('Levantamento dutos'!$E194)=73,ROUND((('Levantamento dutos'!$D194/0.5)*(Calculos!$G194+0.2)*1.2),0),0)</f>
        <v>0</v>
      </c>
      <c r="V194" s="60">
        <f>IF(CODE('Levantamento dutos'!$E194)=80,ROUND((('Levantamento dutos'!$D194/0.5)*(Calculos!$G194+0.2)*1.2),0),0)</f>
        <v>0</v>
      </c>
      <c r="W194" s="60">
        <f>IF(CODE('Levantamento dutos'!$E194)=76,'Levantamento dutos'!$D194/0.5*1.5,0)</f>
        <v>0</v>
      </c>
      <c r="X194" s="60">
        <f>IF(CODE('Levantamento dutos'!$E194)=73,'Levantamento dutos'!$D194/0.5*1.5,0)</f>
        <v>0</v>
      </c>
      <c r="Y194" s="60">
        <f>IF(CODE('Levantamento dutos'!$E194)=80,'Levantamento dutos'!$D194/0.5*1.5,0)</f>
        <v>0</v>
      </c>
      <c r="Z194" s="60">
        <f>IF(CODE('Levantamento dutos'!$E194)=76,ROUND(('Levantamento dutos'!$D194)+('Levantamento dutos'!$D194*Calculos!$G194*2)*1.1,0),0)</f>
        <v>0</v>
      </c>
      <c r="AA194" s="60">
        <f>IF(CODE('Levantamento dutos'!$G194)=80,('Levantamento dutos'!$D194/'Levantamento dutos'!$G$12)*8,0)</f>
        <v>0</v>
      </c>
      <c r="AB194" s="60">
        <f>IF(CODE('Levantamento dutos'!$G194)=80,IF('Levantamento dutos'!$B194&gt;30,('Levantamento dutos'!$D194/'Levantamento dutos'!$G$12)*4,0),0)</f>
        <v>0</v>
      </c>
      <c r="AC194" s="60">
        <f>IF('Levantamento dutos'!$B194&gt;220,('Levantamento dutos'!$D194/'Levantamento dutos'!$G$12*Calculos!$G194*2),0)</f>
        <v>0</v>
      </c>
      <c r="AD194" s="60">
        <f>IF(CODE('Levantamento dutos'!$E194)=73,((('Levantamento dutos'!$E$12/1000)+0.02)*'Levantamento dutos'!$D194)*4*1.3,0)</f>
        <v>0</v>
      </c>
      <c r="AE194" s="60">
        <f>IF(CODE('Levantamento dutos'!$E194)=80,((('Levantamento dutos'!$E$12/1000)+0.02)*'Levantamento dutos'!$D194)*4*1.3,0)</f>
        <v>0</v>
      </c>
    </row>
    <row r="195" spans="2:31" x14ac:dyDescent="0.2">
      <c r="B195" s="58">
        <f>IF('Levantamento dutos'!$B195&lt;=Calculos!$Z$3,((('Levantamento dutos'!$B195)/100+('Levantamento dutos'!$C195)/100)*2)*'Levantamento dutos'!$D195,0)</f>
        <v>0</v>
      </c>
      <c r="C195">
        <f>IF('Levantamento dutos'!$B195&gt;Calculos!$Z$3,IF('Levantamento dutos'!$B195&lt;=Calculos!$Z$4,((('Levantamento dutos'!$B195)/100+('Levantamento dutos'!$C195)/100)*2)*'Levantamento dutos'!$D195,0),0)</f>
        <v>0</v>
      </c>
      <c r="D195">
        <f>IF('Levantamento dutos'!$B195&gt;Calculos!$Z$4,IF('Levantamento dutos'!$B195&lt;=Calculos!$Z$5,((('Levantamento dutos'!$B195)/100+('Levantamento dutos'!$C195)/100)*2)*'Levantamento dutos'!$D195,0),0)</f>
        <v>0</v>
      </c>
      <c r="E195">
        <f>IF('Levantamento dutos'!$B195&gt;Calculos!$Z$5,IF('Levantamento dutos'!$B195&lt;=Calculos!$Z$6,((('Levantamento dutos'!$B195)/100+('Levantamento dutos'!$C195)/100)*2)*'Levantamento dutos'!$D195,0),0)</f>
        <v>0</v>
      </c>
      <c r="F195" s="59">
        <f>IF('Levantamento dutos'!$B195&gt;Calculos!$Z$7,((('Levantamento dutos'!$B195)/100+('Levantamento dutos'!$C195)/100)*2)*'Levantamento dutos'!$D195,0)</f>
        <v>0</v>
      </c>
      <c r="G195">
        <f>(('Levantamento dutos'!B195+'Levantamento dutos'!C195)/100)*2</f>
        <v>0</v>
      </c>
      <c r="H195" s="58">
        <f>IF(CODE('Levantamento dutos'!$E195)=76,SUM($B195:$F195),0)</f>
        <v>0</v>
      </c>
      <c r="I195">
        <f>IF(CODE('Levantamento dutos'!$E195)=73,SUM($B195:$F195),0)</f>
        <v>0</v>
      </c>
      <c r="J195">
        <f>IF(CODE('Levantamento dutos'!$E195)=80,SUM($B195:$F195),0)</f>
        <v>0</v>
      </c>
      <c r="K195">
        <f>IF(CODE('Levantamento dutos'!$F195)=66,SUM($B195:$F195),0)</f>
        <v>0</v>
      </c>
      <c r="L195">
        <f>IF(CODE('Levantamento dutos'!$F195)=70,SUM($B195:$F195),0)</f>
        <v>0</v>
      </c>
      <c r="M195" s="59">
        <f>IF(CODE('Levantamento dutos'!$E195)=84,SUM($B195:$F195),0)</f>
        <v>0</v>
      </c>
      <c r="N195" s="60">
        <f>IF(CODE('Levantamento dutos'!$G195)=80,IF('Levantamento dutos'!$B195&lt;=200,('Levantamento dutos'!$D195/'Levantamento dutos'!$G$12*Calculos!$G195*2),0),0)</f>
        <v>0</v>
      </c>
      <c r="O195" s="60">
        <f>IF(CODE('Levantamento dutos'!$G195)=80,IF('Levantamento dutos'!$B195&gt;200,('Levantamento dutos'!$D195/'Levantamento dutos'!$G$12*Calculos!$G195*2),0),0)</f>
        <v>0</v>
      </c>
      <c r="P195" s="60">
        <f>IF(CODE('Levantamento dutos'!$G195)=67,('Levantamento dutos'!$D195/'Levantamento dutos'!$G$12*Calculos!$G195*2),0)</f>
        <v>0</v>
      </c>
      <c r="Q195" s="60">
        <f>IF(CODE('Levantamento dutos'!H195)=83,((('Levantamento dutos'!B195/100)+('Levantamento dutos'!$H$12/1000))+(('Levantamento dutos'!C195/100)+('Levantamento dutos'!$H$12)/1000))*2*'Levantamento dutos'!D195,0)</f>
        <v>0</v>
      </c>
      <c r="S195" s="60">
        <f>IF(CODE('Levantamento dutos'!$I195)=83,$Q195,0)</f>
        <v>0</v>
      </c>
      <c r="T195" s="60">
        <f>IF(CODE('Levantamento dutos'!$E195)=76,ROUND((('Levantamento dutos'!$D195/5)*(Calculos!$G195+0.2)*1.2),0),0)</f>
        <v>0</v>
      </c>
      <c r="U195" s="60">
        <f>IF(CODE('Levantamento dutos'!$E195)=73,ROUND((('Levantamento dutos'!$D195/0.5)*(Calculos!$G195+0.2)*1.2),0),0)</f>
        <v>0</v>
      </c>
      <c r="V195" s="60">
        <f>IF(CODE('Levantamento dutos'!$E195)=80,ROUND((('Levantamento dutos'!$D195/0.5)*(Calculos!$G195+0.2)*1.2),0),0)</f>
        <v>0</v>
      </c>
      <c r="W195" s="60">
        <f>IF(CODE('Levantamento dutos'!$E195)=76,'Levantamento dutos'!$D195/0.5*1.5,0)</f>
        <v>0</v>
      </c>
      <c r="X195" s="60">
        <f>IF(CODE('Levantamento dutos'!$E195)=73,'Levantamento dutos'!$D195/0.5*1.5,0)</f>
        <v>0</v>
      </c>
      <c r="Y195" s="60">
        <f>IF(CODE('Levantamento dutos'!$E195)=80,'Levantamento dutos'!$D195/0.5*1.5,0)</f>
        <v>0</v>
      </c>
      <c r="Z195" s="60">
        <f>IF(CODE('Levantamento dutos'!$E195)=76,ROUND(('Levantamento dutos'!$D195)+('Levantamento dutos'!$D195*Calculos!$G195*2)*1.1,0),0)</f>
        <v>0</v>
      </c>
      <c r="AA195" s="60">
        <f>IF(CODE('Levantamento dutos'!$G195)=80,('Levantamento dutos'!$D195/'Levantamento dutos'!$G$12)*8,0)</f>
        <v>0</v>
      </c>
      <c r="AB195" s="60">
        <f>IF(CODE('Levantamento dutos'!$G195)=80,IF('Levantamento dutos'!$B195&gt;30,('Levantamento dutos'!$D195/'Levantamento dutos'!$G$12)*4,0),0)</f>
        <v>0</v>
      </c>
      <c r="AC195" s="60">
        <f>IF('Levantamento dutos'!$B195&gt;220,('Levantamento dutos'!$D195/'Levantamento dutos'!$G$12*Calculos!$G195*2),0)</f>
        <v>0</v>
      </c>
      <c r="AD195" s="60">
        <f>IF(CODE('Levantamento dutos'!$E195)=73,((('Levantamento dutos'!$E$12/1000)+0.02)*'Levantamento dutos'!$D195)*4*1.3,0)</f>
        <v>0</v>
      </c>
      <c r="AE195" s="60">
        <f>IF(CODE('Levantamento dutos'!$E195)=80,((('Levantamento dutos'!$E$12/1000)+0.02)*'Levantamento dutos'!$D195)*4*1.3,0)</f>
        <v>0</v>
      </c>
    </row>
    <row r="196" spans="2:31" x14ac:dyDescent="0.2">
      <c r="B196" s="58">
        <f>IF('Levantamento dutos'!$B196&lt;=Calculos!$Z$3,((('Levantamento dutos'!$B196)/100+('Levantamento dutos'!$C196)/100)*2)*'Levantamento dutos'!$D196,0)</f>
        <v>0</v>
      </c>
      <c r="C196">
        <f>IF('Levantamento dutos'!$B196&gt;Calculos!$Z$3,IF('Levantamento dutos'!$B196&lt;=Calculos!$Z$4,((('Levantamento dutos'!$B196)/100+('Levantamento dutos'!$C196)/100)*2)*'Levantamento dutos'!$D196,0),0)</f>
        <v>0</v>
      </c>
      <c r="D196">
        <f>IF('Levantamento dutos'!$B196&gt;Calculos!$Z$4,IF('Levantamento dutos'!$B196&lt;=Calculos!$Z$5,((('Levantamento dutos'!$B196)/100+('Levantamento dutos'!$C196)/100)*2)*'Levantamento dutos'!$D196,0),0)</f>
        <v>0</v>
      </c>
      <c r="E196">
        <f>IF('Levantamento dutos'!$B196&gt;Calculos!$Z$5,IF('Levantamento dutos'!$B196&lt;=Calculos!$Z$6,((('Levantamento dutos'!$B196)/100+('Levantamento dutos'!$C196)/100)*2)*'Levantamento dutos'!$D196,0),0)</f>
        <v>0</v>
      </c>
      <c r="F196" s="59">
        <f>IF('Levantamento dutos'!$B196&gt;Calculos!$Z$7,((('Levantamento dutos'!$B196)/100+('Levantamento dutos'!$C196)/100)*2)*'Levantamento dutos'!$D196,0)</f>
        <v>0</v>
      </c>
      <c r="G196">
        <f>(('Levantamento dutos'!B196+'Levantamento dutos'!C196)/100)*2</f>
        <v>0</v>
      </c>
      <c r="H196" s="58">
        <f>IF(CODE('Levantamento dutos'!$E196)=76,SUM($B196:$F196),0)</f>
        <v>0</v>
      </c>
      <c r="I196">
        <f>IF(CODE('Levantamento dutos'!$E196)=73,SUM($B196:$F196),0)</f>
        <v>0</v>
      </c>
      <c r="J196">
        <f>IF(CODE('Levantamento dutos'!$E196)=80,SUM($B196:$F196),0)</f>
        <v>0</v>
      </c>
      <c r="K196">
        <f>IF(CODE('Levantamento dutos'!$F196)=66,SUM($B196:$F196),0)</f>
        <v>0</v>
      </c>
      <c r="L196">
        <f>IF(CODE('Levantamento dutos'!$F196)=70,SUM($B196:$F196),0)</f>
        <v>0</v>
      </c>
      <c r="M196" s="59">
        <f>IF(CODE('Levantamento dutos'!$E196)=84,SUM($B196:$F196),0)</f>
        <v>0</v>
      </c>
      <c r="N196" s="60">
        <f>IF(CODE('Levantamento dutos'!$G196)=80,IF('Levantamento dutos'!$B196&lt;=200,('Levantamento dutos'!$D196/'Levantamento dutos'!$G$12*Calculos!$G196*2),0),0)</f>
        <v>0</v>
      </c>
      <c r="O196" s="60">
        <f>IF(CODE('Levantamento dutos'!$G196)=80,IF('Levantamento dutos'!$B196&gt;200,('Levantamento dutos'!$D196/'Levantamento dutos'!$G$12*Calculos!$G196*2),0),0)</f>
        <v>0</v>
      </c>
      <c r="P196" s="60">
        <f>IF(CODE('Levantamento dutos'!$G196)=67,('Levantamento dutos'!$D196/'Levantamento dutos'!$G$12*Calculos!$G196*2),0)</f>
        <v>0</v>
      </c>
      <c r="Q196" s="60">
        <f>IF(CODE('Levantamento dutos'!H196)=83,((('Levantamento dutos'!B196/100)+('Levantamento dutos'!$H$12/1000))+(('Levantamento dutos'!C196/100)+('Levantamento dutos'!$H$12)/1000))*2*'Levantamento dutos'!D196,0)</f>
        <v>0</v>
      </c>
      <c r="S196" s="60">
        <f>IF(CODE('Levantamento dutos'!$I196)=83,$Q196,0)</f>
        <v>0</v>
      </c>
      <c r="T196" s="60">
        <f>IF(CODE('Levantamento dutos'!$E196)=76,ROUND((('Levantamento dutos'!$D196/5)*(Calculos!$G196+0.2)*1.2),0),0)</f>
        <v>0</v>
      </c>
      <c r="U196" s="60">
        <f>IF(CODE('Levantamento dutos'!$E196)=73,ROUND((('Levantamento dutos'!$D196/0.5)*(Calculos!$G196+0.2)*1.2),0),0)</f>
        <v>0</v>
      </c>
      <c r="V196" s="60">
        <f>IF(CODE('Levantamento dutos'!$E196)=80,ROUND((('Levantamento dutos'!$D196/0.5)*(Calculos!$G196+0.2)*1.2),0),0)</f>
        <v>0</v>
      </c>
      <c r="W196" s="60">
        <f>IF(CODE('Levantamento dutos'!$E196)=76,'Levantamento dutos'!$D196/0.5*1.5,0)</f>
        <v>0</v>
      </c>
      <c r="X196" s="60">
        <f>IF(CODE('Levantamento dutos'!$E196)=73,'Levantamento dutos'!$D196/0.5*1.5,0)</f>
        <v>0</v>
      </c>
      <c r="Y196" s="60">
        <f>IF(CODE('Levantamento dutos'!$E196)=80,'Levantamento dutos'!$D196/0.5*1.5,0)</f>
        <v>0</v>
      </c>
      <c r="Z196" s="60">
        <f>IF(CODE('Levantamento dutos'!$E196)=76,ROUND(('Levantamento dutos'!$D196)+('Levantamento dutos'!$D196*Calculos!$G196*2)*1.1,0),0)</f>
        <v>0</v>
      </c>
      <c r="AA196" s="60">
        <f>IF(CODE('Levantamento dutos'!$G196)=80,('Levantamento dutos'!$D196/'Levantamento dutos'!$G$12)*8,0)</f>
        <v>0</v>
      </c>
      <c r="AB196" s="60">
        <f>IF(CODE('Levantamento dutos'!$G196)=80,IF('Levantamento dutos'!$B196&gt;30,('Levantamento dutos'!$D196/'Levantamento dutos'!$G$12)*4,0),0)</f>
        <v>0</v>
      </c>
      <c r="AC196" s="60">
        <f>IF('Levantamento dutos'!$B196&gt;220,('Levantamento dutos'!$D196/'Levantamento dutos'!$G$12*Calculos!$G196*2),0)</f>
        <v>0</v>
      </c>
      <c r="AD196" s="60">
        <f>IF(CODE('Levantamento dutos'!$E196)=73,((('Levantamento dutos'!$E$12/1000)+0.02)*'Levantamento dutos'!$D196)*4*1.3,0)</f>
        <v>0</v>
      </c>
      <c r="AE196" s="60">
        <f>IF(CODE('Levantamento dutos'!$E196)=80,((('Levantamento dutos'!$E$12/1000)+0.02)*'Levantamento dutos'!$D196)*4*1.3,0)</f>
        <v>0</v>
      </c>
    </row>
    <row r="197" spans="2:31" x14ac:dyDescent="0.2">
      <c r="B197" s="58">
        <f>IF('Levantamento dutos'!$B197&lt;=Calculos!$Z$3,((('Levantamento dutos'!$B197)/100+('Levantamento dutos'!$C197)/100)*2)*'Levantamento dutos'!$D197,0)</f>
        <v>0</v>
      </c>
      <c r="C197">
        <f>IF('Levantamento dutos'!$B197&gt;Calculos!$Z$3,IF('Levantamento dutos'!$B197&lt;=Calculos!$Z$4,((('Levantamento dutos'!$B197)/100+('Levantamento dutos'!$C197)/100)*2)*'Levantamento dutos'!$D197,0),0)</f>
        <v>0</v>
      </c>
      <c r="D197">
        <f>IF('Levantamento dutos'!$B197&gt;Calculos!$Z$4,IF('Levantamento dutos'!$B197&lt;=Calculos!$Z$5,((('Levantamento dutos'!$B197)/100+('Levantamento dutos'!$C197)/100)*2)*'Levantamento dutos'!$D197,0),0)</f>
        <v>0</v>
      </c>
      <c r="E197">
        <f>IF('Levantamento dutos'!$B197&gt;Calculos!$Z$5,IF('Levantamento dutos'!$B197&lt;=Calculos!$Z$6,((('Levantamento dutos'!$B197)/100+('Levantamento dutos'!$C197)/100)*2)*'Levantamento dutos'!$D197,0),0)</f>
        <v>0</v>
      </c>
      <c r="F197" s="59">
        <f>IF('Levantamento dutos'!$B197&gt;Calculos!$Z$7,((('Levantamento dutos'!$B197)/100+('Levantamento dutos'!$C197)/100)*2)*'Levantamento dutos'!$D197,0)</f>
        <v>0</v>
      </c>
      <c r="G197">
        <f>(('Levantamento dutos'!B197+'Levantamento dutos'!C197)/100)*2</f>
        <v>0</v>
      </c>
      <c r="H197" s="58">
        <f>IF(CODE('Levantamento dutos'!$E197)=76,SUM($B197:$F197),0)</f>
        <v>0</v>
      </c>
      <c r="I197">
        <f>IF(CODE('Levantamento dutos'!$E197)=73,SUM($B197:$F197),0)</f>
        <v>0</v>
      </c>
      <c r="J197">
        <f>IF(CODE('Levantamento dutos'!$E197)=80,SUM($B197:$F197),0)</f>
        <v>0</v>
      </c>
      <c r="K197">
        <f>IF(CODE('Levantamento dutos'!$F197)=66,SUM($B197:$F197),0)</f>
        <v>0</v>
      </c>
      <c r="L197">
        <f>IF(CODE('Levantamento dutos'!$F197)=70,SUM($B197:$F197),0)</f>
        <v>0</v>
      </c>
      <c r="M197" s="59">
        <f>IF(CODE('Levantamento dutos'!$E197)=84,SUM($B197:$F197),0)</f>
        <v>0</v>
      </c>
      <c r="N197" s="60">
        <f>IF(CODE('Levantamento dutos'!$G197)=80,IF('Levantamento dutos'!$B197&lt;=200,('Levantamento dutos'!$D197/'Levantamento dutos'!$G$12*Calculos!$G197*2),0),0)</f>
        <v>0</v>
      </c>
      <c r="O197" s="60">
        <f>IF(CODE('Levantamento dutos'!$G197)=80,IF('Levantamento dutos'!$B197&gt;200,('Levantamento dutos'!$D197/'Levantamento dutos'!$G$12*Calculos!$G197*2),0),0)</f>
        <v>0</v>
      </c>
      <c r="P197" s="60">
        <f>IF(CODE('Levantamento dutos'!$G197)=67,('Levantamento dutos'!$D197/'Levantamento dutos'!$G$12*Calculos!$G197*2),0)</f>
        <v>0</v>
      </c>
      <c r="Q197" s="60">
        <f>IF(CODE('Levantamento dutos'!H197)=83,((('Levantamento dutos'!B197/100)+('Levantamento dutos'!$H$12/1000))+(('Levantamento dutos'!C197/100)+('Levantamento dutos'!$H$12)/1000))*2*'Levantamento dutos'!D197,0)</f>
        <v>0</v>
      </c>
      <c r="S197" s="60">
        <f>IF(CODE('Levantamento dutos'!$I197)=83,$Q197,0)</f>
        <v>0</v>
      </c>
      <c r="T197" s="60">
        <f>IF(CODE('Levantamento dutos'!$E197)=76,ROUND((('Levantamento dutos'!$D197/5)*(Calculos!$G197+0.2)*1.2),0),0)</f>
        <v>0</v>
      </c>
      <c r="U197" s="60">
        <f>IF(CODE('Levantamento dutos'!$E197)=73,ROUND((('Levantamento dutos'!$D197/0.5)*(Calculos!$G197+0.2)*1.2),0),0)</f>
        <v>0</v>
      </c>
      <c r="V197" s="60">
        <f>IF(CODE('Levantamento dutos'!$E197)=80,ROUND((('Levantamento dutos'!$D197/0.5)*(Calculos!$G197+0.2)*1.2),0),0)</f>
        <v>0</v>
      </c>
      <c r="W197" s="60">
        <f>IF(CODE('Levantamento dutos'!$E197)=76,'Levantamento dutos'!$D197/0.5*1.5,0)</f>
        <v>0</v>
      </c>
      <c r="X197" s="60">
        <f>IF(CODE('Levantamento dutos'!$E197)=73,'Levantamento dutos'!$D197/0.5*1.5,0)</f>
        <v>0</v>
      </c>
      <c r="Y197" s="60">
        <f>IF(CODE('Levantamento dutos'!$E197)=80,'Levantamento dutos'!$D197/0.5*1.5,0)</f>
        <v>0</v>
      </c>
      <c r="Z197" s="60">
        <f>IF(CODE('Levantamento dutos'!$E197)=76,ROUND(('Levantamento dutos'!$D197)+('Levantamento dutos'!$D197*Calculos!$G197*2)*1.1,0),0)</f>
        <v>0</v>
      </c>
      <c r="AA197" s="60">
        <f>IF(CODE('Levantamento dutos'!$G197)=80,('Levantamento dutos'!$D197/'Levantamento dutos'!$G$12)*8,0)</f>
        <v>0</v>
      </c>
      <c r="AB197" s="60">
        <f>IF(CODE('Levantamento dutos'!$G197)=80,IF('Levantamento dutos'!$B197&gt;30,('Levantamento dutos'!$D197/'Levantamento dutos'!$G$12)*4,0),0)</f>
        <v>0</v>
      </c>
      <c r="AC197" s="60">
        <f>IF('Levantamento dutos'!$B197&gt;220,('Levantamento dutos'!$D197/'Levantamento dutos'!$G$12*Calculos!$G197*2),0)</f>
        <v>0</v>
      </c>
      <c r="AD197" s="60">
        <f>IF(CODE('Levantamento dutos'!$E197)=73,((('Levantamento dutos'!$E$12/1000)+0.02)*'Levantamento dutos'!$D197)*4*1.3,0)</f>
        <v>0</v>
      </c>
      <c r="AE197" s="60">
        <f>IF(CODE('Levantamento dutos'!$E197)=80,((('Levantamento dutos'!$E$12/1000)+0.02)*'Levantamento dutos'!$D197)*4*1.3,0)</f>
        <v>0</v>
      </c>
    </row>
    <row r="198" spans="2:31" x14ac:dyDescent="0.2">
      <c r="B198" s="58">
        <f>IF('Levantamento dutos'!$B198&lt;=Calculos!$Z$3,((('Levantamento dutos'!$B198)/100+('Levantamento dutos'!$C198)/100)*2)*'Levantamento dutos'!$D198,0)</f>
        <v>0</v>
      </c>
      <c r="C198">
        <f>IF('Levantamento dutos'!$B198&gt;Calculos!$Z$3,IF('Levantamento dutos'!$B198&lt;=Calculos!$Z$4,((('Levantamento dutos'!$B198)/100+('Levantamento dutos'!$C198)/100)*2)*'Levantamento dutos'!$D198,0),0)</f>
        <v>0</v>
      </c>
      <c r="D198">
        <f>IF('Levantamento dutos'!$B198&gt;Calculos!$Z$4,IF('Levantamento dutos'!$B198&lt;=Calculos!$Z$5,((('Levantamento dutos'!$B198)/100+('Levantamento dutos'!$C198)/100)*2)*'Levantamento dutos'!$D198,0),0)</f>
        <v>0</v>
      </c>
      <c r="E198">
        <f>IF('Levantamento dutos'!$B198&gt;Calculos!$Z$5,IF('Levantamento dutos'!$B198&lt;=Calculos!$Z$6,((('Levantamento dutos'!$B198)/100+('Levantamento dutos'!$C198)/100)*2)*'Levantamento dutos'!$D198,0),0)</f>
        <v>0</v>
      </c>
      <c r="F198" s="59">
        <f>IF('Levantamento dutos'!$B198&gt;Calculos!$Z$7,((('Levantamento dutos'!$B198)/100+('Levantamento dutos'!$C198)/100)*2)*'Levantamento dutos'!$D198,0)</f>
        <v>0</v>
      </c>
      <c r="G198">
        <f>(('Levantamento dutos'!B198+'Levantamento dutos'!C198)/100)*2</f>
        <v>0</v>
      </c>
      <c r="H198" s="58">
        <f>IF(CODE('Levantamento dutos'!$E198)=76,SUM($B198:$F198),0)</f>
        <v>0</v>
      </c>
      <c r="I198">
        <f>IF(CODE('Levantamento dutos'!$E198)=73,SUM($B198:$F198),0)</f>
        <v>0</v>
      </c>
      <c r="J198">
        <f>IF(CODE('Levantamento dutos'!$E198)=80,SUM($B198:$F198),0)</f>
        <v>0</v>
      </c>
      <c r="K198">
        <f>IF(CODE('Levantamento dutos'!$F198)=66,SUM($B198:$F198),0)</f>
        <v>0</v>
      </c>
      <c r="L198">
        <f>IF(CODE('Levantamento dutos'!$F198)=70,SUM($B198:$F198),0)</f>
        <v>0</v>
      </c>
      <c r="M198" s="59">
        <f>IF(CODE('Levantamento dutos'!$E198)=84,SUM($B198:$F198),0)</f>
        <v>0</v>
      </c>
      <c r="N198" s="60">
        <f>IF(CODE('Levantamento dutos'!$G198)=80,IF('Levantamento dutos'!$B198&lt;=200,('Levantamento dutos'!$D198/'Levantamento dutos'!$G$12*Calculos!$G198*2),0),0)</f>
        <v>0</v>
      </c>
      <c r="O198" s="60">
        <f>IF(CODE('Levantamento dutos'!$G198)=80,IF('Levantamento dutos'!$B198&gt;200,('Levantamento dutos'!$D198/'Levantamento dutos'!$G$12*Calculos!$G198*2),0),0)</f>
        <v>0</v>
      </c>
      <c r="P198" s="60">
        <f>IF(CODE('Levantamento dutos'!$G198)=67,('Levantamento dutos'!$D198/'Levantamento dutos'!$G$12*Calculos!$G198*2),0)</f>
        <v>0</v>
      </c>
      <c r="Q198" s="60">
        <f>IF(CODE('Levantamento dutos'!H198)=83,((('Levantamento dutos'!B198/100)+('Levantamento dutos'!$H$12/1000))+(('Levantamento dutos'!C198/100)+('Levantamento dutos'!$H$12)/1000))*2*'Levantamento dutos'!D198,0)</f>
        <v>0</v>
      </c>
      <c r="S198" s="60">
        <f>IF(CODE('Levantamento dutos'!$I198)=83,$Q198,0)</f>
        <v>0</v>
      </c>
      <c r="T198" s="60">
        <f>IF(CODE('Levantamento dutos'!$E198)=76,ROUND((('Levantamento dutos'!$D198/5)*(Calculos!$G198+0.2)*1.2),0),0)</f>
        <v>0</v>
      </c>
      <c r="U198" s="60">
        <f>IF(CODE('Levantamento dutos'!$E198)=73,ROUND((('Levantamento dutos'!$D198/0.5)*(Calculos!$G198+0.2)*1.2),0),0)</f>
        <v>0</v>
      </c>
      <c r="V198" s="60">
        <f>IF(CODE('Levantamento dutos'!$E198)=80,ROUND((('Levantamento dutos'!$D198/0.5)*(Calculos!$G198+0.2)*1.2),0),0)</f>
        <v>0</v>
      </c>
      <c r="W198" s="60">
        <f>IF(CODE('Levantamento dutos'!$E198)=76,'Levantamento dutos'!$D198/0.5*1.5,0)</f>
        <v>0</v>
      </c>
      <c r="X198" s="60">
        <f>IF(CODE('Levantamento dutos'!$E198)=73,'Levantamento dutos'!$D198/0.5*1.5,0)</f>
        <v>0</v>
      </c>
      <c r="Y198" s="60">
        <f>IF(CODE('Levantamento dutos'!$E198)=80,'Levantamento dutos'!$D198/0.5*1.5,0)</f>
        <v>0</v>
      </c>
      <c r="Z198" s="60">
        <f>IF(CODE('Levantamento dutos'!$E198)=76,ROUND(('Levantamento dutos'!$D198)+('Levantamento dutos'!$D198*Calculos!$G198*2)*1.1,0),0)</f>
        <v>0</v>
      </c>
      <c r="AA198" s="60">
        <f>IF(CODE('Levantamento dutos'!$G198)=80,('Levantamento dutos'!$D198/'Levantamento dutos'!$G$12)*8,0)</f>
        <v>0</v>
      </c>
      <c r="AB198" s="60">
        <f>IF(CODE('Levantamento dutos'!$G198)=80,IF('Levantamento dutos'!$B198&gt;30,('Levantamento dutos'!$D198/'Levantamento dutos'!$G$12)*4,0),0)</f>
        <v>0</v>
      </c>
      <c r="AC198" s="60">
        <f>IF('Levantamento dutos'!$B198&gt;220,('Levantamento dutos'!$D198/'Levantamento dutos'!$G$12*Calculos!$G198*2),0)</f>
        <v>0</v>
      </c>
      <c r="AD198" s="60">
        <f>IF(CODE('Levantamento dutos'!$E198)=73,((('Levantamento dutos'!$E$12/1000)+0.02)*'Levantamento dutos'!$D198)*4*1.3,0)</f>
        <v>0</v>
      </c>
      <c r="AE198" s="60">
        <f>IF(CODE('Levantamento dutos'!$E198)=80,((('Levantamento dutos'!$E$12/1000)+0.02)*'Levantamento dutos'!$D198)*4*1.3,0)</f>
        <v>0</v>
      </c>
    </row>
    <row r="199" spans="2:31" x14ac:dyDescent="0.2">
      <c r="B199" s="58">
        <f>IF('Levantamento dutos'!$B199&lt;=Calculos!$Z$3,((('Levantamento dutos'!$B199)/100+('Levantamento dutos'!$C199)/100)*2)*'Levantamento dutos'!$D199,0)</f>
        <v>0</v>
      </c>
      <c r="C199">
        <f>IF('Levantamento dutos'!$B199&gt;Calculos!$Z$3,IF('Levantamento dutos'!$B199&lt;=Calculos!$Z$4,((('Levantamento dutos'!$B199)/100+('Levantamento dutos'!$C199)/100)*2)*'Levantamento dutos'!$D199,0),0)</f>
        <v>0</v>
      </c>
      <c r="D199">
        <f>IF('Levantamento dutos'!$B199&gt;Calculos!$Z$4,IF('Levantamento dutos'!$B199&lt;=Calculos!$Z$5,((('Levantamento dutos'!$B199)/100+('Levantamento dutos'!$C199)/100)*2)*'Levantamento dutos'!$D199,0),0)</f>
        <v>0</v>
      </c>
      <c r="E199">
        <f>IF('Levantamento dutos'!$B199&gt;Calculos!$Z$5,IF('Levantamento dutos'!$B199&lt;=Calculos!$Z$6,((('Levantamento dutos'!$B199)/100+('Levantamento dutos'!$C199)/100)*2)*'Levantamento dutos'!$D199,0),0)</f>
        <v>0</v>
      </c>
      <c r="F199" s="59">
        <f>IF('Levantamento dutos'!$B199&gt;Calculos!$Z$7,((('Levantamento dutos'!$B199)/100+('Levantamento dutos'!$C199)/100)*2)*'Levantamento dutos'!$D199,0)</f>
        <v>0</v>
      </c>
      <c r="G199">
        <f>(('Levantamento dutos'!B199+'Levantamento dutos'!C199)/100)*2</f>
        <v>0</v>
      </c>
      <c r="H199" s="58">
        <f>IF(CODE('Levantamento dutos'!$E199)=76,SUM($B199:$F199),0)</f>
        <v>0</v>
      </c>
      <c r="I199">
        <f>IF(CODE('Levantamento dutos'!$E199)=73,SUM($B199:$F199),0)</f>
        <v>0</v>
      </c>
      <c r="J199">
        <f>IF(CODE('Levantamento dutos'!$E199)=80,SUM($B199:$F199),0)</f>
        <v>0</v>
      </c>
      <c r="K199">
        <f>IF(CODE('Levantamento dutos'!$F199)=66,SUM($B199:$F199),0)</f>
        <v>0</v>
      </c>
      <c r="L199">
        <f>IF(CODE('Levantamento dutos'!$F199)=70,SUM($B199:$F199),0)</f>
        <v>0</v>
      </c>
      <c r="M199" s="59">
        <f>IF(CODE('Levantamento dutos'!$E199)=84,SUM($B199:$F199),0)</f>
        <v>0</v>
      </c>
      <c r="N199" s="60">
        <f>IF(CODE('Levantamento dutos'!$G199)=80,IF('Levantamento dutos'!$B199&lt;=200,('Levantamento dutos'!$D199/'Levantamento dutos'!$G$12*Calculos!$G199*2),0),0)</f>
        <v>0</v>
      </c>
      <c r="O199" s="60">
        <f>IF(CODE('Levantamento dutos'!$G199)=80,IF('Levantamento dutos'!$B199&gt;200,('Levantamento dutos'!$D199/'Levantamento dutos'!$G$12*Calculos!$G199*2),0),0)</f>
        <v>0</v>
      </c>
      <c r="P199" s="60">
        <f>IF(CODE('Levantamento dutos'!$G199)=67,('Levantamento dutos'!$D199/'Levantamento dutos'!$G$12*Calculos!$G199*2),0)</f>
        <v>0</v>
      </c>
      <c r="Q199" s="60">
        <f>IF(CODE('Levantamento dutos'!H199)=83,((('Levantamento dutos'!B199/100)+('Levantamento dutos'!$H$12/1000))+(('Levantamento dutos'!C199/100)+('Levantamento dutos'!$H$12)/1000))*2*'Levantamento dutos'!D199,0)</f>
        <v>0</v>
      </c>
      <c r="S199" s="60">
        <f>IF(CODE('Levantamento dutos'!$I199)=83,$Q199,0)</f>
        <v>0</v>
      </c>
      <c r="T199" s="60">
        <f>IF(CODE('Levantamento dutos'!$E199)=76,ROUND((('Levantamento dutos'!$D199/5)*(Calculos!$G199+0.2)*1.2),0),0)</f>
        <v>0</v>
      </c>
      <c r="U199" s="60">
        <f>IF(CODE('Levantamento dutos'!$E199)=73,ROUND((('Levantamento dutos'!$D199/0.5)*(Calculos!$G199+0.2)*1.2),0),0)</f>
        <v>0</v>
      </c>
      <c r="V199" s="60">
        <f>IF(CODE('Levantamento dutos'!$E199)=80,ROUND((('Levantamento dutos'!$D199/0.5)*(Calculos!$G199+0.2)*1.2),0),0)</f>
        <v>0</v>
      </c>
      <c r="W199" s="60">
        <f>IF(CODE('Levantamento dutos'!$E199)=76,'Levantamento dutos'!$D199/0.5*1.5,0)</f>
        <v>0</v>
      </c>
      <c r="X199" s="60">
        <f>IF(CODE('Levantamento dutos'!$E199)=73,'Levantamento dutos'!$D199/0.5*1.5,0)</f>
        <v>0</v>
      </c>
      <c r="Y199" s="60">
        <f>IF(CODE('Levantamento dutos'!$E199)=80,'Levantamento dutos'!$D199/0.5*1.5,0)</f>
        <v>0</v>
      </c>
      <c r="Z199" s="60">
        <f>IF(CODE('Levantamento dutos'!$E199)=76,ROUND(('Levantamento dutos'!$D199)+('Levantamento dutos'!$D199*Calculos!$G199*2)*1.1,0),0)</f>
        <v>0</v>
      </c>
      <c r="AA199" s="60">
        <f>IF(CODE('Levantamento dutos'!$G199)=80,('Levantamento dutos'!$D199/'Levantamento dutos'!$G$12)*8,0)</f>
        <v>0</v>
      </c>
      <c r="AB199" s="60">
        <f>IF(CODE('Levantamento dutos'!$G199)=80,IF('Levantamento dutos'!$B199&gt;30,('Levantamento dutos'!$D199/'Levantamento dutos'!$G$12)*4,0),0)</f>
        <v>0</v>
      </c>
      <c r="AC199" s="60">
        <f>IF('Levantamento dutos'!$B199&gt;220,('Levantamento dutos'!$D199/'Levantamento dutos'!$G$12*Calculos!$G199*2),0)</f>
        <v>0</v>
      </c>
      <c r="AD199" s="60">
        <f>IF(CODE('Levantamento dutos'!$E199)=73,((('Levantamento dutos'!$E$12/1000)+0.02)*'Levantamento dutos'!$D199)*4*1.3,0)</f>
        <v>0</v>
      </c>
      <c r="AE199" s="60">
        <f>IF(CODE('Levantamento dutos'!$E199)=80,((('Levantamento dutos'!$E$12/1000)+0.02)*'Levantamento dutos'!$D199)*4*1.3,0)</f>
        <v>0</v>
      </c>
    </row>
    <row r="200" spans="2:31" x14ac:dyDescent="0.2">
      <c r="B200" s="58">
        <f>IF('Levantamento dutos'!$B200&lt;=Calculos!$Z$3,((('Levantamento dutos'!$B200)/100+('Levantamento dutos'!$C200)/100)*2)*'Levantamento dutos'!$D200,0)</f>
        <v>0</v>
      </c>
      <c r="C200">
        <f>IF('Levantamento dutos'!$B200&gt;Calculos!$Z$3,IF('Levantamento dutos'!$B200&lt;=Calculos!$Z$4,((('Levantamento dutos'!$B200)/100+('Levantamento dutos'!$C200)/100)*2)*'Levantamento dutos'!$D200,0),0)</f>
        <v>0</v>
      </c>
      <c r="D200">
        <f>IF('Levantamento dutos'!$B200&gt;Calculos!$Z$4,IF('Levantamento dutos'!$B200&lt;=Calculos!$Z$5,((('Levantamento dutos'!$B200)/100+('Levantamento dutos'!$C200)/100)*2)*'Levantamento dutos'!$D200,0),0)</f>
        <v>0</v>
      </c>
      <c r="E200">
        <f>IF('Levantamento dutos'!$B200&gt;Calculos!$Z$5,IF('Levantamento dutos'!$B200&lt;=Calculos!$Z$6,((('Levantamento dutos'!$B200)/100+('Levantamento dutos'!$C200)/100)*2)*'Levantamento dutos'!$D200,0),0)</f>
        <v>0</v>
      </c>
      <c r="F200" s="59">
        <f>IF('Levantamento dutos'!$B200&gt;Calculos!$Z$7,((('Levantamento dutos'!$B200)/100+('Levantamento dutos'!$C200)/100)*2)*'Levantamento dutos'!$D200,0)</f>
        <v>0</v>
      </c>
      <c r="G200">
        <f>(('Levantamento dutos'!B200+'Levantamento dutos'!C200)/100)*2</f>
        <v>0</v>
      </c>
      <c r="H200" s="58">
        <f>IF(CODE('Levantamento dutos'!$E200)=76,SUM($B200:$F200),0)</f>
        <v>0</v>
      </c>
      <c r="I200">
        <f>IF(CODE('Levantamento dutos'!$E200)=73,SUM($B200:$F200),0)</f>
        <v>0</v>
      </c>
      <c r="J200">
        <f>IF(CODE('Levantamento dutos'!$E200)=80,SUM($B200:$F200),0)</f>
        <v>0</v>
      </c>
      <c r="K200">
        <f>IF(CODE('Levantamento dutos'!$F200)=66,SUM($B200:$F200),0)</f>
        <v>0</v>
      </c>
      <c r="L200">
        <f>IF(CODE('Levantamento dutos'!$F200)=70,SUM($B200:$F200),0)</f>
        <v>0</v>
      </c>
      <c r="M200" s="59">
        <f>IF(CODE('Levantamento dutos'!$E200)=84,SUM($B200:$F200),0)</f>
        <v>0</v>
      </c>
      <c r="N200" s="60">
        <f>IF(CODE('Levantamento dutos'!$G200)=80,IF('Levantamento dutos'!$B200&lt;=200,('Levantamento dutos'!$D200/'Levantamento dutos'!$G$12*Calculos!$G200*2),0),0)</f>
        <v>0</v>
      </c>
      <c r="O200" s="60">
        <f>IF(CODE('Levantamento dutos'!$G200)=80,IF('Levantamento dutos'!$B200&gt;200,('Levantamento dutos'!$D200/'Levantamento dutos'!$G$12*Calculos!$G200*2),0),0)</f>
        <v>0</v>
      </c>
      <c r="P200" s="60">
        <f>IF(CODE('Levantamento dutos'!$G200)=67,('Levantamento dutos'!$D200/'Levantamento dutos'!$G$12*Calculos!$G200*2),0)</f>
        <v>0</v>
      </c>
      <c r="Q200" s="60">
        <f>IF(CODE('Levantamento dutos'!H200)=83,((('Levantamento dutos'!B200/100)+('Levantamento dutos'!$H$12/1000))+(('Levantamento dutos'!C200/100)+('Levantamento dutos'!$H$12)/1000))*2*'Levantamento dutos'!D200,0)</f>
        <v>0</v>
      </c>
      <c r="S200" s="60">
        <f>IF(CODE('Levantamento dutos'!$I200)=83,$Q200,0)</f>
        <v>0</v>
      </c>
      <c r="T200" s="60">
        <f>IF(CODE('Levantamento dutos'!$E200)=76,ROUND((('Levantamento dutos'!$D200/5)*(Calculos!$G200+0.2)*1.2),0),0)</f>
        <v>0</v>
      </c>
      <c r="U200" s="60">
        <f>IF(CODE('Levantamento dutos'!$E200)=73,ROUND((('Levantamento dutos'!$D200/0.5)*(Calculos!$G200+0.2)*1.2),0),0)</f>
        <v>0</v>
      </c>
      <c r="V200" s="60">
        <f>IF(CODE('Levantamento dutos'!$E200)=80,ROUND((('Levantamento dutos'!$D200/0.5)*(Calculos!$G200+0.2)*1.2),0),0)</f>
        <v>0</v>
      </c>
      <c r="W200" s="60">
        <f>IF(CODE('Levantamento dutos'!$E200)=76,'Levantamento dutos'!$D200/0.5*1.5,0)</f>
        <v>0</v>
      </c>
      <c r="X200" s="60">
        <f>IF(CODE('Levantamento dutos'!$E200)=73,'Levantamento dutos'!$D200/0.5*1.5,0)</f>
        <v>0</v>
      </c>
      <c r="Y200" s="60">
        <f>IF(CODE('Levantamento dutos'!$E200)=80,'Levantamento dutos'!$D200/0.5*1.5,0)</f>
        <v>0</v>
      </c>
      <c r="Z200" s="60">
        <f>IF(CODE('Levantamento dutos'!$E200)=76,ROUND(('Levantamento dutos'!$D200)+('Levantamento dutos'!$D200*Calculos!$G200*2)*1.1,0),0)</f>
        <v>0</v>
      </c>
      <c r="AA200" s="60">
        <f>IF(CODE('Levantamento dutos'!$G200)=80,('Levantamento dutos'!$D200/'Levantamento dutos'!$G$12)*8,0)</f>
        <v>0</v>
      </c>
      <c r="AB200" s="60">
        <f>IF(CODE('Levantamento dutos'!$G200)=80,IF('Levantamento dutos'!$B200&gt;30,('Levantamento dutos'!$D200/'Levantamento dutos'!$G$12)*4,0),0)</f>
        <v>0</v>
      </c>
      <c r="AC200" s="60">
        <f>IF('Levantamento dutos'!$B200&gt;220,('Levantamento dutos'!$D200/'Levantamento dutos'!$G$12*Calculos!$G200*2),0)</f>
        <v>0</v>
      </c>
      <c r="AD200" s="60">
        <f>IF(CODE('Levantamento dutos'!$E200)=73,((('Levantamento dutos'!$E$12/1000)+0.02)*'Levantamento dutos'!$D200)*4*1.3,0)</f>
        <v>0</v>
      </c>
      <c r="AE200" s="60">
        <f>IF(CODE('Levantamento dutos'!$E200)=80,((('Levantamento dutos'!$E$12/1000)+0.02)*'Levantamento dutos'!$D200)*4*1.3,0)</f>
        <v>0</v>
      </c>
    </row>
    <row r="201" spans="2:31" x14ac:dyDescent="0.2">
      <c r="B201" s="58">
        <f>IF('Levantamento dutos'!$B201&lt;=Calculos!$Z$3,((('Levantamento dutos'!$B201)/100+('Levantamento dutos'!$C201)/100)*2)*'Levantamento dutos'!$D201,0)</f>
        <v>0</v>
      </c>
      <c r="C201">
        <f>IF('Levantamento dutos'!$B201&gt;Calculos!$Z$3,IF('Levantamento dutos'!$B201&lt;=Calculos!$Z$4,((('Levantamento dutos'!$B201)/100+('Levantamento dutos'!$C201)/100)*2)*'Levantamento dutos'!$D201,0),0)</f>
        <v>0</v>
      </c>
      <c r="D201">
        <f>IF('Levantamento dutos'!$B201&gt;Calculos!$Z$4,IF('Levantamento dutos'!$B201&lt;=Calculos!$Z$5,((('Levantamento dutos'!$B201)/100+('Levantamento dutos'!$C201)/100)*2)*'Levantamento dutos'!$D201,0),0)</f>
        <v>0</v>
      </c>
      <c r="E201">
        <f>IF('Levantamento dutos'!$B201&gt;Calculos!$Z$5,IF('Levantamento dutos'!$B201&lt;=Calculos!$Z$6,((('Levantamento dutos'!$B201)/100+('Levantamento dutos'!$C201)/100)*2)*'Levantamento dutos'!$D201,0),0)</f>
        <v>0</v>
      </c>
      <c r="F201" s="59">
        <f>IF('Levantamento dutos'!$B201&gt;Calculos!$Z$7,((('Levantamento dutos'!$B201)/100+('Levantamento dutos'!$C201)/100)*2)*'Levantamento dutos'!$D201,0)</f>
        <v>0</v>
      </c>
      <c r="G201">
        <f>(('Levantamento dutos'!B201+'Levantamento dutos'!C201)/100)*2</f>
        <v>0</v>
      </c>
      <c r="H201" s="58">
        <f>IF(CODE('Levantamento dutos'!$E201)=76,SUM($B201:$F201),0)</f>
        <v>0</v>
      </c>
      <c r="I201">
        <f>IF(CODE('Levantamento dutos'!$E201)=73,SUM($B201:$F201),0)</f>
        <v>0</v>
      </c>
      <c r="J201">
        <f>IF(CODE('Levantamento dutos'!$E201)=80,SUM($B201:$F201),0)</f>
        <v>0</v>
      </c>
      <c r="K201">
        <f>IF(CODE('Levantamento dutos'!$F201)=66,SUM($B201:$F201),0)</f>
        <v>0</v>
      </c>
      <c r="L201">
        <f>IF(CODE('Levantamento dutos'!$F201)=70,SUM($B201:$F201),0)</f>
        <v>0</v>
      </c>
      <c r="M201" s="59">
        <f>IF(CODE('Levantamento dutos'!$E201)=84,SUM($B201:$F201),0)</f>
        <v>0</v>
      </c>
      <c r="N201" s="60">
        <f>IF(CODE('Levantamento dutos'!$G201)=80,IF('Levantamento dutos'!$B201&lt;=200,('Levantamento dutos'!$D201/'Levantamento dutos'!$G$12*Calculos!$G201*2),0),0)</f>
        <v>0</v>
      </c>
      <c r="O201" s="60">
        <f>IF(CODE('Levantamento dutos'!$G201)=80,IF('Levantamento dutos'!$B201&gt;200,('Levantamento dutos'!$D201/'Levantamento dutos'!$G$12*Calculos!$G201*2),0),0)</f>
        <v>0</v>
      </c>
      <c r="P201" s="60">
        <f>IF(CODE('Levantamento dutos'!$G201)=67,('Levantamento dutos'!$D201/'Levantamento dutos'!$G$12*Calculos!$G201*2),0)</f>
        <v>0</v>
      </c>
      <c r="Q201" s="60">
        <f>IF(CODE('Levantamento dutos'!H201)=83,((('Levantamento dutos'!B201/100)+('Levantamento dutos'!$H$12/1000))+(('Levantamento dutos'!C201/100)+('Levantamento dutos'!$H$12)/1000))*2*'Levantamento dutos'!D201,0)</f>
        <v>0</v>
      </c>
      <c r="S201" s="60">
        <f>IF(CODE('Levantamento dutos'!$I201)=83,$Q201,0)</f>
        <v>0</v>
      </c>
      <c r="T201" s="60">
        <f>IF(CODE('Levantamento dutos'!$E201)=76,ROUND((('Levantamento dutos'!$D201/5)*(Calculos!$G201+0.2)*1.2),0),0)</f>
        <v>0</v>
      </c>
      <c r="U201" s="60">
        <f>IF(CODE('Levantamento dutos'!$E201)=73,ROUND((('Levantamento dutos'!$D201/0.5)*(Calculos!$G201+0.2)*1.2),0),0)</f>
        <v>0</v>
      </c>
      <c r="V201" s="60">
        <f>IF(CODE('Levantamento dutos'!$E201)=80,ROUND((('Levantamento dutos'!$D201/0.5)*(Calculos!$G201+0.2)*1.2),0),0)</f>
        <v>0</v>
      </c>
      <c r="W201" s="60">
        <f>IF(CODE('Levantamento dutos'!$E201)=76,'Levantamento dutos'!$D201/0.5*1.5,0)</f>
        <v>0</v>
      </c>
      <c r="X201" s="60">
        <f>IF(CODE('Levantamento dutos'!$E201)=73,'Levantamento dutos'!$D201/0.5*1.5,0)</f>
        <v>0</v>
      </c>
      <c r="Y201" s="60">
        <f>IF(CODE('Levantamento dutos'!$E201)=80,'Levantamento dutos'!$D201/0.5*1.5,0)</f>
        <v>0</v>
      </c>
      <c r="Z201" s="60">
        <f>IF(CODE('Levantamento dutos'!$E201)=76,ROUND(('Levantamento dutos'!$D201)+('Levantamento dutos'!$D201*Calculos!$G201*2)*1.1,0),0)</f>
        <v>0</v>
      </c>
      <c r="AA201" s="60">
        <f>IF(CODE('Levantamento dutos'!$G201)=80,('Levantamento dutos'!$D201/'Levantamento dutos'!$G$12)*8,0)</f>
        <v>0</v>
      </c>
      <c r="AB201" s="60">
        <f>IF(CODE('Levantamento dutos'!$G201)=80,IF('Levantamento dutos'!$B201&gt;30,('Levantamento dutos'!$D201/'Levantamento dutos'!$G$12)*4,0),0)</f>
        <v>0</v>
      </c>
      <c r="AC201" s="60">
        <f>IF('Levantamento dutos'!$B201&gt;220,('Levantamento dutos'!$D201/'Levantamento dutos'!$G$12*Calculos!$G201*2),0)</f>
        <v>0</v>
      </c>
      <c r="AD201" s="60">
        <f>IF(CODE('Levantamento dutos'!$E201)=73,((('Levantamento dutos'!$E$12/1000)+0.02)*'Levantamento dutos'!$D201)*4*1.3,0)</f>
        <v>0</v>
      </c>
      <c r="AE201" s="60">
        <f>IF(CODE('Levantamento dutos'!$E201)=80,((('Levantamento dutos'!$E$12/1000)+0.02)*'Levantamento dutos'!$D201)*4*1.3,0)</f>
        <v>0</v>
      </c>
    </row>
    <row r="202" spans="2:31" x14ac:dyDescent="0.2">
      <c r="B202" s="58">
        <f>IF('Levantamento dutos'!$B202&lt;=Calculos!$Z$3,((('Levantamento dutos'!$B202)/100+('Levantamento dutos'!$C202)/100)*2)*'Levantamento dutos'!$D202,0)</f>
        <v>0</v>
      </c>
      <c r="C202">
        <f>IF('Levantamento dutos'!$B202&gt;Calculos!$Z$3,IF('Levantamento dutos'!$B202&lt;=Calculos!$Z$4,((('Levantamento dutos'!$B202)/100+('Levantamento dutos'!$C202)/100)*2)*'Levantamento dutos'!$D202,0),0)</f>
        <v>0</v>
      </c>
      <c r="D202">
        <f>IF('Levantamento dutos'!$B202&gt;Calculos!$Z$4,IF('Levantamento dutos'!$B202&lt;=Calculos!$Z$5,((('Levantamento dutos'!$B202)/100+('Levantamento dutos'!$C202)/100)*2)*'Levantamento dutos'!$D202,0),0)</f>
        <v>0</v>
      </c>
      <c r="E202">
        <f>IF('Levantamento dutos'!$B202&gt;Calculos!$Z$5,IF('Levantamento dutos'!$B202&lt;=Calculos!$Z$6,((('Levantamento dutos'!$B202)/100+('Levantamento dutos'!$C202)/100)*2)*'Levantamento dutos'!$D202,0),0)</f>
        <v>0</v>
      </c>
      <c r="F202" s="59">
        <f>IF('Levantamento dutos'!$B202&gt;Calculos!$Z$7,((('Levantamento dutos'!$B202)/100+('Levantamento dutos'!$C202)/100)*2)*'Levantamento dutos'!$D202,0)</f>
        <v>0</v>
      </c>
      <c r="G202">
        <f>(('Levantamento dutos'!B202+'Levantamento dutos'!C202)/100)*2</f>
        <v>0</v>
      </c>
      <c r="H202" s="58">
        <f>IF(CODE('Levantamento dutos'!$E202)=76,SUM($B202:$F202),0)</f>
        <v>0</v>
      </c>
      <c r="I202">
        <f>IF(CODE('Levantamento dutos'!$E202)=73,SUM($B202:$F202),0)</f>
        <v>0</v>
      </c>
      <c r="J202">
        <f>IF(CODE('Levantamento dutos'!$E202)=80,SUM($B202:$F202),0)</f>
        <v>0</v>
      </c>
      <c r="K202">
        <f>IF(CODE('Levantamento dutos'!$F202)=66,SUM($B202:$F202),0)</f>
        <v>0</v>
      </c>
      <c r="L202">
        <f>IF(CODE('Levantamento dutos'!$F202)=70,SUM($B202:$F202),0)</f>
        <v>0</v>
      </c>
      <c r="M202" s="59">
        <f>IF(CODE('Levantamento dutos'!$E202)=84,SUM($B202:$F202),0)</f>
        <v>0</v>
      </c>
      <c r="N202" s="60">
        <f>IF(CODE('Levantamento dutos'!$G202)=80,IF('Levantamento dutos'!$B202&lt;=200,('Levantamento dutos'!$D202/'Levantamento dutos'!$G$12*Calculos!$G202*2),0),0)</f>
        <v>0</v>
      </c>
      <c r="O202" s="60">
        <f>IF(CODE('Levantamento dutos'!$G202)=80,IF('Levantamento dutos'!$B202&gt;200,('Levantamento dutos'!$D202/'Levantamento dutos'!$G$12*Calculos!$G202*2),0),0)</f>
        <v>0</v>
      </c>
      <c r="P202" s="60">
        <f>IF(CODE('Levantamento dutos'!$G202)=67,('Levantamento dutos'!$D202/'Levantamento dutos'!$G$12*Calculos!$G202*2),0)</f>
        <v>0</v>
      </c>
      <c r="Q202" s="60">
        <f>IF(CODE('Levantamento dutos'!H202)=83,((('Levantamento dutos'!B202/100)+('Levantamento dutos'!$H$12/1000))+(('Levantamento dutos'!C202/100)+('Levantamento dutos'!$H$12)/1000))*2*'Levantamento dutos'!D202,0)</f>
        <v>0</v>
      </c>
      <c r="S202" s="60">
        <f>IF(CODE('Levantamento dutos'!$I202)=83,$Q202,0)</f>
        <v>0</v>
      </c>
      <c r="T202" s="60">
        <f>IF(CODE('Levantamento dutos'!$E202)=76,ROUND((('Levantamento dutos'!$D202/5)*(Calculos!$G202+0.2)*1.2),0),0)</f>
        <v>0</v>
      </c>
      <c r="U202" s="60">
        <f>IF(CODE('Levantamento dutos'!$E202)=73,ROUND((('Levantamento dutos'!$D202/0.5)*(Calculos!$G202+0.2)*1.2),0),0)</f>
        <v>0</v>
      </c>
      <c r="V202" s="60">
        <f>IF(CODE('Levantamento dutos'!$E202)=80,ROUND((('Levantamento dutos'!$D202/0.5)*(Calculos!$G202+0.2)*1.2),0),0)</f>
        <v>0</v>
      </c>
      <c r="W202" s="60">
        <f>IF(CODE('Levantamento dutos'!$E202)=76,'Levantamento dutos'!$D202/0.5*1.5,0)</f>
        <v>0</v>
      </c>
      <c r="X202" s="60">
        <f>IF(CODE('Levantamento dutos'!$E202)=73,'Levantamento dutos'!$D202/0.5*1.5,0)</f>
        <v>0</v>
      </c>
      <c r="Y202" s="60">
        <f>IF(CODE('Levantamento dutos'!$E202)=80,'Levantamento dutos'!$D202/0.5*1.5,0)</f>
        <v>0</v>
      </c>
      <c r="Z202" s="60">
        <f>IF(CODE('Levantamento dutos'!$E202)=76,ROUND(('Levantamento dutos'!$D202)+('Levantamento dutos'!$D202*Calculos!$G202*2)*1.1,0),0)</f>
        <v>0</v>
      </c>
      <c r="AA202" s="60">
        <f>IF(CODE('Levantamento dutos'!$G202)=80,('Levantamento dutos'!$D202/'Levantamento dutos'!$G$12)*8,0)</f>
        <v>0</v>
      </c>
      <c r="AB202" s="60">
        <f>IF(CODE('Levantamento dutos'!$G202)=80,IF('Levantamento dutos'!$B202&gt;30,('Levantamento dutos'!$D202/'Levantamento dutos'!$G$12)*4,0),0)</f>
        <v>0</v>
      </c>
      <c r="AC202" s="60">
        <f>IF('Levantamento dutos'!$B202&gt;220,('Levantamento dutos'!$D202/'Levantamento dutos'!$G$12*Calculos!$G202*2),0)</f>
        <v>0</v>
      </c>
      <c r="AD202" s="60">
        <f>IF(CODE('Levantamento dutos'!$E202)=73,((('Levantamento dutos'!$E$12/1000)+0.02)*'Levantamento dutos'!$D202)*4*1.3,0)</f>
        <v>0</v>
      </c>
      <c r="AE202" s="60">
        <f>IF(CODE('Levantamento dutos'!$E202)=80,((('Levantamento dutos'!$E$12/1000)+0.02)*'Levantamento dutos'!$D202)*4*1.3,0)</f>
        <v>0</v>
      </c>
    </row>
    <row r="203" spans="2:31" x14ac:dyDescent="0.2">
      <c r="B203" s="58">
        <f>IF('Levantamento dutos'!$B203&lt;=Calculos!$Z$3,((('Levantamento dutos'!$B203)/100+('Levantamento dutos'!$C203)/100)*2)*'Levantamento dutos'!$D203,0)</f>
        <v>0</v>
      </c>
      <c r="C203">
        <f>IF('Levantamento dutos'!$B203&gt;Calculos!$Z$3,IF('Levantamento dutos'!$B203&lt;=Calculos!$Z$4,((('Levantamento dutos'!$B203)/100+('Levantamento dutos'!$C203)/100)*2)*'Levantamento dutos'!$D203,0),0)</f>
        <v>0</v>
      </c>
      <c r="D203">
        <f>IF('Levantamento dutos'!$B203&gt;Calculos!$Z$4,IF('Levantamento dutos'!$B203&lt;=Calculos!$Z$5,((('Levantamento dutos'!$B203)/100+('Levantamento dutos'!$C203)/100)*2)*'Levantamento dutos'!$D203,0),0)</f>
        <v>0</v>
      </c>
      <c r="E203">
        <f>IF('Levantamento dutos'!$B203&gt;Calculos!$Z$5,IF('Levantamento dutos'!$B203&lt;=Calculos!$Z$6,((('Levantamento dutos'!$B203)/100+('Levantamento dutos'!$C203)/100)*2)*'Levantamento dutos'!$D203,0),0)</f>
        <v>0</v>
      </c>
      <c r="F203" s="59">
        <f>IF('Levantamento dutos'!$B203&gt;Calculos!$Z$7,((('Levantamento dutos'!$B203)/100+('Levantamento dutos'!$C203)/100)*2)*'Levantamento dutos'!$D203,0)</f>
        <v>0</v>
      </c>
      <c r="G203">
        <f>(('Levantamento dutos'!B203+'Levantamento dutos'!C203)/100)*2</f>
        <v>0</v>
      </c>
      <c r="H203" s="58">
        <f>IF(CODE('Levantamento dutos'!$E203)=76,SUM($B203:$F203),0)</f>
        <v>0</v>
      </c>
      <c r="I203">
        <f>IF(CODE('Levantamento dutos'!$E203)=73,SUM($B203:$F203),0)</f>
        <v>0</v>
      </c>
      <c r="J203">
        <f>IF(CODE('Levantamento dutos'!$E203)=80,SUM($B203:$F203),0)</f>
        <v>0</v>
      </c>
      <c r="K203">
        <f>IF(CODE('Levantamento dutos'!$F203)=66,SUM($B203:$F203),0)</f>
        <v>0</v>
      </c>
      <c r="L203">
        <f>IF(CODE('Levantamento dutos'!$F203)=70,SUM($B203:$F203),0)</f>
        <v>0</v>
      </c>
      <c r="M203" s="59">
        <f>IF(CODE('Levantamento dutos'!$E203)=84,SUM($B203:$F203),0)</f>
        <v>0</v>
      </c>
      <c r="N203" s="60">
        <f>IF(CODE('Levantamento dutos'!$G203)=80,IF('Levantamento dutos'!$B203&lt;=200,('Levantamento dutos'!$D203/'Levantamento dutos'!$G$12*Calculos!$G203*2),0),0)</f>
        <v>0</v>
      </c>
      <c r="O203" s="60">
        <f>IF(CODE('Levantamento dutos'!$G203)=80,IF('Levantamento dutos'!$B203&gt;200,('Levantamento dutos'!$D203/'Levantamento dutos'!$G$12*Calculos!$G203*2),0),0)</f>
        <v>0</v>
      </c>
      <c r="P203" s="60">
        <f>IF(CODE('Levantamento dutos'!$G203)=67,('Levantamento dutos'!$D203/'Levantamento dutos'!$G$12*Calculos!$G203*2),0)</f>
        <v>0</v>
      </c>
      <c r="Q203" s="60">
        <f>IF(CODE('Levantamento dutos'!H203)=83,((('Levantamento dutos'!B203/100)+('Levantamento dutos'!$H$12/1000))+(('Levantamento dutos'!C203/100)+('Levantamento dutos'!$H$12)/1000))*2*'Levantamento dutos'!D203,0)</f>
        <v>0</v>
      </c>
      <c r="S203" s="60">
        <f>IF(CODE('Levantamento dutos'!$I203)=83,$Q203,0)</f>
        <v>0</v>
      </c>
      <c r="T203" s="60">
        <f>IF(CODE('Levantamento dutos'!$E203)=76,ROUND((('Levantamento dutos'!$D203/5)*(Calculos!$G203+0.2)*1.2),0),0)</f>
        <v>0</v>
      </c>
      <c r="U203" s="60">
        <f>IF(CODE('Levantamento dutos'!$E203)=73,ROUND((('Levantamento dutos'!$D203/0.5)*(Calculos!$G203+0.2)*1.2),0),0)</f>
        <v>0</v>
      </c>
      <c r="V203" s="60">
        <f>IF(CODE('Levantamento dutos'!$E203)=80,ROUND((('Levantamento dutos'!$D203/0.5)*(Calculos!$G203+0.2)*1.2),0),0)</f>
        <v>0</v>
      </c>
      <c r="W203" s="60">
        <f>IF(CODE('Levantamento dutos'!$E203)=76,'Levantamento dutos'!$D203/0.5*1.5,0)</f>
        <v>0</v>
      </c>
      <c r="X203" s="60">
        <f>IF(CODE('Levantamento dutos'!$E203)=73,'Levantamento dutos'!$D203/0.5*1.5,0)</f>
        <v>0</v>
      </c>
      <c r="Y203" s="60">
        <f>IF(CODE('Levantamento dutos'!$E203)=80,'Levantamento dutos'!$D203/0.5*1.5,0)</f>
        <v>0</v>
      </c>
      <c r="Z203" s="60">
        <f>IF(CODE('Levantamento dutos'!$E203)=76,ROUND(('Levantamento dutos'!$D203)+('Levantamento dutos'!$D203*Calculos!$G203*2)*1.1,0),0)</f>
        <v>0</v>
      </c>
      <c r="AA203" s="60">
        <f>IF(CODE('Levantamento dutos'!$G203)=80,('Levantamento dutos'!$D203/'Levantamento dutos'!$G$12)*8,0)</f>
        <v>0</v>
      </c>
      <c r="AB203" s="60">
        <f>IF(CODE('Levantamento dutos'!$G203)=80,IF('Levantamento dutos'!$B203&gt;30,('Levantamento dutos'!$D203/'Levantamento dutos'!$G$12)*4,0),0)</f>
        <v>0</v>
      </c>
      <c r="AC203" s="60">
        <f>IF('Levantamento dutos'!$B203&gt;220,('Levantamento dutos'!$D203/'Levantamento dutos'!$G$12*Calculos!$G203*2),0)</f>
        <v>0</v>
      </c>
      <c r="AD203" s="60">
        <f>IF(CODE('Levantamento dutos'!$E203)=73,((('Levantamento dutos'!$E$12/1000)+0.02)*'Levantamento dutos'!$D203)*4*1.3,0)</f>
        <v>0</v>
      </c>
      <c r="AE203" s="60">
        <f>IF(CODE('Levantamento dutos'!$E203)=80,((('Levantamento dutos'!$E$12/1000)+0.02)*'Levantamento dutos'!$D203)*4*1.3,0)</f>
        <v>0</v>
      </c>
    </row>
    <row r="204" spans="2:31" x14ac:dyDescent="0.2">
      <c r="B204" s="58">
        <f>IF('Levantamento dutos'!$B204&lt;=Calculos!$Z$3,((('Levantamento dutos'!$B204)/100+('Levantamento dutos'!$C204)/100)*2)*'Levantamento dutos'!$D204,0)</f>
        <v>0</v>
      </c>
      <c r="C204">
        <f>IF('Levantamento dutos'!$B204&gt;Calculos!$Z$3,IF('Levantamento dutos'!$B204&lt;=Calculos!$Z$4,((('Levantamento dutos'!$B204)/100+('Levantamento dutos'!$C204)/100)*2)*'Levantamento dutos'!$D204,0),0)</f>
        <v>0</v>
      </c>
      <c r="D204">
        <f>IF('Levantamento dutos'!$B204&gt;Calculos!$Z$4,IF('Levantamento dutos'!$B204&lt;=Calculos!$Z$5,((('Levantamento dutos'!$B204)/100+('Levantamento dutos'!$C204)/100)*2)*'Levantamento dutos'!$D204,0),0)</f>
        <v>0</v>
      </c>
      <c r="E204">
        <f>IF('Levantamento dutos'!$B204&gt;Calculos!$Z$5,IF('Levantamento dutos'!$B204&lt;=Calculos!$Z$6,((('Levantamento dutos'!$B204)/100+('Levantamento dutos'!$C204)/100)*2)*'Levantamento dutos'!$D204,0),0)</f>
        <v>0</v>
      </c>
      <c r="F204" s="59">
        <f>IF('Levantamento dutos'!$B204&gt;Calculos!$Z$7,((('Levantamento dutos'!$B204)/100+('Levantamento dutos'!$C204)/100)*2)*'Levantamento dutos'!$D204,0)</f>
        <v>0</v>
      </c>
      <c r="G204">
        <f>(('Levantamento dutos'!B204+'Levantamento dutos'!C204)/100)*2</f>
        <v>0</v>
      </c>
      <c r="H204" s="58">
        <f>IF(CODE('Levantamento dutos'!$E204)=76,SUM($B204:$F204),0)</f>
        <v>0</v>
      </c>
      <c r="I204">
        <f>IF(CODE('Levantamento dutos'!$E204)=73,SUM($B204:$F204),0)</f>
        <v>0</v>
      </c>
      <c r="J204">
        <f>IF(CODE('Levantamento dutos'!$E204)=80,SUM($B204:$F204),0)</f>
        <v>0</v>
      </c>
      <c r="K204">
        <f>IF(CODE('Levantamento dutos'!$F204)=66,SUM($B204:$F204),0)</f>
        <v>0</v>
      </c>
      <c r="L204">
        <f>IF(CODE('Levantamento dutos'!$F204)=70,SUM($B204:$F204),0)</f>
        <v>0</v>
      </c>
      <c r="M204" s="59">
        <f>IF(CODE('Levantamento dutos'!$E204)=84,SUM($B204:$F204),0)</f>
        <v>0</v>
      </c>
      <c r="N204" s="60">
        <f>IF(CODE('Levantamento dutos'!$G204)=80,IF('Levantamento dutos'!$B204&lt;=200,('Levantamento dutos'!$D204/'Levantamento dutos'!$G$12*Calculos!$G204*2),0),0)</f>
        <v>0</v>
      </c>
      <c r="O204" s="60">
        <f>IF(CODE('Levantamento dutos'!$G204)=80,IF('Levantamento dutos'!$B204&gt;200,('Levantamento dutos'!$D204/'Levantamento dutos'!$G$12*Calculos!$G204*2),0),0)</f>
        <v>0</v>
      </c>
      <c r="P204" s="60">
        <f>IF(CODE('Levantamento dutos'!$G204)=67,('Levantamento dutos'!$D204/'Levantamento dutos'!$G$12*Calculos!$G204*2),0)</f>
        <v>0</v>
      </c>
      <c r="Q204" s="60">
        <f>IF(CODE('Levantamento dutos'!H204)=83,((('Levantamento dutos'!B204/100)+('Levantamento dutos'!$H$12/1000))+(('Levantamento dutos'!C204/100)+('Levantamento dutos'!$H$12)/1000))*2*'Levantamento dutos'!D204,0)</f>
        <v>0</v>
      </c>
      <c r="S204" s="60">
        <f>IF(CODE('Levantamento dutos'!$I204)=83,$Q204,0)</f>
        <v>0</v>
      </c>
      <c r="T204" s="60">
        <f>IF(CODE('Levantamento dutos'!$E204)=76,ROUND((('Levantamento dutos'!$D204/5)*(Calculos!$G204+0.2)*1.2),0),0)</f>
        <v>0</v>
      </c>
      <c r="U204" s="60">
        <f>IF(CODE('Levantamento dutos'!$E204)=73,ROUND((('Levantamento dutos'!$D204/0.5)*(Calculos!$G204+0.2)*1.2),0),0)</f>
        <v>0</v>
      </c>
      <c r="V204" s="60">
        <f>IF(CODE('Levantamento dutos'!$E204)=80,ROUND((('Levantamento dutos'!$D204/0.5)*(Calculos!$G204+0.2)*1.2),0),0)</f>
        <v>0</v>
      </c>
      <c r="W204" s="60">
        <f>IF(CODE('Levantamento dutos'!$E204)=76,'Levantamento dutos'!$D204/0.5*1.5,0)</f>
        <v>0</v>
      </c>
      <c r="X204" s="60">
        <f>IF(CODE('Levantamento dutos'!$E204)=73,'Levantamento dutos'!$D204/0.5*1.5,0)</f>
        <v>0</v>
      </c>
      <c r="Y204" s="60">
        <f>IF(CODE('Levantamento dutos'!$E204)=80,'Levantamento dutos'!$D204/0.5*1.5,0)</f>
        <v>0</v>
      </c>
      <c r="Z204" s="60">
        <f>IF(CODE('Levantamento dutos'!$E204)=76,ROUND(('Levantamento dutos'!$D204)+('Levantamento dutos'!$D204*Calculos!$G204*2)*1.1,0),0)</f>
        <v>0</v>
      </c>
      <c r="AA204" s="60">
        <f>IF(CODE('Levantamento dutos'!$G204)=80,('Levantamento dutos'!$D204/'Levantamento dutos'!$G$12)*8,0)</f>
        <v>0</v>
      </c>
      <c r="AB204" s="60">
        <f>IF(CODE('Levantamento dutos'!$G204)=80,IF('Levantamento dutos'!$B204&gt;30,('Levantamento dutos'!$D204/'Levantamento dutos'!$G$12)*4,0),0)</f>
        <v>0</v>
      </c>
      <c r="AC204" s="60">
        <f>IF('Levantamento dutos'!$B204&gt;220,('Levantamento dutos'!$D204/'Levantamento dutos'!$G$12*Calculos!$G204*2),0)</f>
        <v>0</v>
      </c>
      <c r="AD204" s="60">
        <f>IF(CODE('Levantamento dutos'!$E204)=73,((('Levantamento dutos'!$E$12/1000)+0.02)*'Levantamento dutos'!$D204)*4*1.3,0)</f>
        <v>0</v>
      </c>
      <c r="AE204" s="60">
        <f>IF(CODE('Levantamento dutos'!$E204)=80,((('Levantamento dutos'!$E$12/1000)+0.02)*'Levantamento dutos'!$D204)*4*1.3,0)</f>
        <v>0</v>
      </c>
    </row>
    <row r="205" spans="2:31" x14ac:dyDescent="0.2">
      <c r="B205" s="58">
        <f>IF('Levantamento dutos'!$B205&lt;=Calculos!$Z$3,((('Levantamento dutos'!$B205)/100+('Levantamento dutos'!$C205)/100)*2)*'Levantamento dutos'!$D205,0)</f>
        <v>0</v>
      </c>
      <c r="C205">
        <f>IF('Levantamento dutos'!$B205&gt;Calculos!$Z$3,IF('Levantamento dutos'!$B205&lt;=Calculos!$Z$4,((('Levantamento dutos'!$B205)/100+('Levantamento dutos'!$C205)/100)*2)*'Levantamento dutos'!$D205,0),0)</f>
        <v>0</v>
      </c>
      <c r="D205">
        <f>IF('Levantamento dutos'!$B205&gt;Calculos!$Z$4,IF('Levantamento dutos'!$B205&lt;=Calculos!$Z$5,((('Levantamento dutos'!$B205)/100+('Levantamento dutos'!$C205)/100)*2)*'Levantamento dutos'!$D205,0),0)</f>
        <v>0</v>
      </c>
      <c r="E205">
        <f>IF('Levantamento dutos'!$B205&gt;Calculos!$Z$5,IF('Levantamento dutos'!$B205&lt;=Calculos!$Z$6,((('Levantamento dutos'!$B205)/100+('Levantamento dutos'!$C205)/100)*2)*'Levantamento dutos'!$D205,0),0)</f>
        <v>0</v>
      </c>
      <c r="F205" s="59">
        <f>IF('Levantamento dutos'!$B205&gt;Calculos!$Z$7,((('Levantamento dutos'!$B205)/100+('Levantamento dutos'!$C205)/100)*2)*'Levantamento dutos'!$D205,0)</f>
        <v>0</v>
      </c>
      <c r="G205">
        <f>(('Levantamento dutos'!B205+'Levantamento dutos'!C205)/100)*2</f>
        <v>0</v>
      </c>
      <c r="H205" s="58">
        <f>IF(CODE('Levantamento dutos'!$E205)=76,SUM($B205:$F205),0)</f>
        <v>0</v>
      </c>
      <c r="I205">
        <f>IF(CODE('Levantamento dutos'!$E205)=73,SUM($B205:$F205),0)</f>
        <v>0</v>
      </c>
      <c r="J205">
        <f>IF(CODE('Levantamento dutos'!$E205)=80,SUM($B205:$F205),0)</f>
        <v>0</v>
      </c>
      <c r="K205">
        <f>IF(CODE('Levantamento dutos'!$F205)=66,SUM($B205:$F205),0)</f>
        <v>0</v>
      </c>
      <c r="L205">
        <f>IF(CODE('Levantamento dutos'!$F205)=70,SUM($B205:$F205),0)</f>
        <v>0</v>
      </c>
      <c r="M205" s="59">
        <f>IF(CODE('Levantamento dutos'!$E205)=84,SUM($B205:$F205),0)</f>
        <v>0</v>
      </c>
      <c r="N205" s="60">
        <f>IF(CODE('Levantamento dutos'!$G205)=80,IF('Levantamento dutos'!$B205&lt;=200,('Levantamento dutos'!$D205/'Levantamento dutos'!$G$12*Calculos!$G205*2),0),0)</f>
        <v>0</v>
      </c>
      <c r="O205" s="60">
        <f>IF(CODE('Levantamento dutos'!$G205)=80,IF('Levantamento dutos'!$B205&gt;200,('Levantamento dutos'!$D205/'Levantamento dutos'!$G$12*Calculos!$G205*2),0),0)</f>
        <v>0</v>
      </c>
      <c r="P205" s="60">
        <f>IF(CODE('Levantamento dutos'!$G205)=67,('Levantamento dutos'!$D205/'Levantamento dutos'!$G$12*Calculos!$G205*2),0)</f>
        <v>0</v>
      </c>
      <c r="Q205" s="60">
        <f>IF(CODE('Levantamento dutos'!H205)=83,((('Levantamento dutos'!B205/100)+('Levantamento dutos'!$H$12/1000))+(('Levantamento dutos'!C205/100)+('Levantamento dutos'!$H$12)/1000))*2*'Levantamento dutos'!D205,0)</f>
        <v>0</v>
      </c>
      <c r="S205" s="60">
        <f>IF(CODE('Levantamento dutos'!$I205)=83,$Q205,0)</f>
        <v>0</v>
      </c>
      <c r="T205" s="60">
        <f>IF(CODE('Levantamento dutos'!$E205)=76,ROUND((('Levantamento dutos'!$D205/5)*(Calculos!$G205+0.2)*1.2),0),0)</f>
        <v>0</v>
      </c>
      <c r="U205" s="60">
        <f>IF(CODE('Levantamento dutos'!$E205)=73,ROUND((('Levantamento dutos'!$D205/0.5)*(Calculos!$G205+0.2)*1.2),0),0)</f>
        <v>0</v>
      </c>
      <c r="V205" s="60">
        <f>IF(CODE('Levantamento dutos'!$E205)=80,ROUND((('Levantamento dutos'!$D205/0.5)*(Calculos!$G205+0.2)*1.2),0),0)</f>
        <v>0</v>
      </c>
      <c r="W205" s="60">
        <f>IF(CODE('Levantamento dutos'!$E205)=76,'Levantamento dutos'!$D205/0.5*1.5,0)</f>
        <v>0</v>
      </c>
      <c r="X205" s="60">
        <f>IF(CODE('Levantamento dutos'!$E205)=73,'Levantamento dutos'!$D205/0.5*1.5,0)</f>
        <v>0</v>
      </c>
      <c r="Y205" s="60">
        <f>IF(CODE('Levantamento dutos'!$E205)=80,'Levantamento dutos'!$D205/0.5*1.5,0)</f>
        <v>0</v>
      </c>
      <c r="Z205" s="60">
        <f>IF(CODE('Levantamento dutos'!$E205)=76,ROUND(('Levantamento dutos'!$D205)+('Levantamento dutos'!$D205*Calculos!$G205*2)*1.1,0),0)</f>
        <v>0</v>
      </c>
      <c r="AA205" s="60">
        <f>IF(CODE('Levantamento dutos'!$G205)=80,('Levantamento dutos'!$D205/'Levantamento dutos'!$G$12)*8,0)</f>
        <v>0</v>
      </c>
      <c r="AB205" s="60">
        <f>IF(CODE('Levantamento dutos'!$G205)=80,IF('Levantamento dutos'!$B205&gt;30,('Levantamento dutos'!$D205/'Levantamento dutos'!$G$12)*4,0),0)</f>
        <v>0</v>
      </c>
      <c r="AC205" s="60">
        <f>IF('Levantamento dutos'!$B205&gt;220,('Levantamento dutos'!$D205/'Levantamento dutos'!$G$12*Calculos!$G205*2),0)</f>
        <v>0</v>
      </c>
      <c r="AD205" s="60">
        <f>IF(CODE('Levantamento dutos'!$E205)=73,((('Levantamento dutos'!$E$12/1000)+0.02)*'Levantamento dutos'!$D205)*4*1.3,0)</f>
        <v>0</v>
      </c>
      <c r="AE205" s="60">
        <f>IF(CODE('Levantamento dutos'!$E205)=80,((('Levantamento dutos'!$E$12/1000)+0.02)*'Levantamento dutos'!$D205)*4*1.3,0)</f>
        <v>0</v>
      </c>
    </row>
    <row r="206" spans="2:31" x14ac:dyDescent="0.2">
      <c r="B206" s="58">
        <f>IF('Levantamento dutos'!$B206&lt;=Calculos!$Z$3,((('Levantamento dutos'!$B206)/100+('Levantamento dutos'!$C206)/100)*2)*'Levantamento dutos'!$D206,0)</f>
        <v>0</v>
      </c>
      <c r="C206">
        <f>IF('Levantamento dutos'!$B206&gt;Calculos!$Z$3,IF('Levantamento dutos'!$B206&lt;=Calculos!$Z$4,((('Levantamento dutos'!$B206)/100+('Levantamento dutos'!$C206)/100)*2)*'Levantamento dutos'!$D206,0),0)</f>
        <v>0</v>
      </c>
      <c r="D206">
        <f>IF('Levantamento dutos'!$B206&gt;Calculos!$Z$4,IF('Levantamento dutos'!$B206&lt;=Calculos!$Z$5,((('Levantamento dutos'!$B206)/100+('Levantamento dutos'!$C206)/100)*2)*'Levantamento dutos'!$D206,0),0)</f>
        <v>0</v>
      </c>
      <c r="E206">
        <f>IF('Levantamento dutos'!$B206&gt;Calculos!$Z$5,IF('Levantamento dutos'!$B206&lt;=Calculos!$Z$6,((('Levantamento dutos'!$B206)/100+('Levantamento dutos'!$C206)/100)*2)*'Levantamento dutos'!$D206,0),0)</f>
        <v>0</v>
      </c>
      <c r="F206" s="59">
        <f>IF('Levantamento dutos'!$B206&gt;Calculos!$Z$7,((('Levantamento dutos'!$B206)/100+('Levantamento dutos'!$C206)/100)*2)*'Levantamento dutos'!$D206,0)</f>
        <v>0</v>
      </c>
      <c r="G206">
        <f>(('Levantamento dutos'!B206+'Levantamento dutos'!C206)/100)*2</f>
        <v>0</v>
      </c>
      <c r="H206" s="58">
        <f>IF(CODE('Levantamento dutos'!$E206)=76,SUM($B206:$F206),0)</f>
        <v>0</v>
      </c>
      <c r="I206">
        <f>IF(CODE('Levantamento dutos'!$E206)=73,SUM($B206:$F206),0)</f>
        <v>0</v>
      </c>
      <c r="J206">
        <f>IF(CODE('Levantamento dutos'!$E206)=80,SUM($B206:$F206),0)</f>
        <v>0</v>
      </c>
      <c r="K206">
        <f>IF(CODE('Levantamento dutos'!$F206)=66,SUM($B206:$F206),0)</f>
        <v>0</v>
      </c>
      <c r="L206">
        <f>IF(CODE('Levantamento dutos'!$F206)=70,SUM($B206:$F206),0)</f>
        <v>0</v>
      </c>
      <c r="M206" s="59">
        <f>IF(CODE('Levantamento dutos'!$E206)=84,SUM($B206:$F206),0)</f>
        <v>0</v>
      </c>
      <c r="N206" s="60">
        <f>IF(CODE('Levantamento dutos'!$G206)=80,IF('Levantamento dutos'!$B206&lt;=200,('Levantamento dutos'!$D206/'Levantamento dutos'!$G$12*Calculos!$G206*2),0),0)</f>
        <v>0</v>
      </c>
      <c r="O206" s="60">
        <f>IF(CODE('Levantamento dutos'!$G206)=80,IF('Levantamento dutos'!$B206&gt;200,('Levantamento dutos'!$D206/'Levantamento dutos'!$G$12*Calculos!$G206*2),0),0)</f>
        <v>0</v>
      </c>
      <c r="P206" s="60">
        <f>IF(CODE('Levantamento dutos'!$G206)=67,('Levantamento dutos'!$D206/'Levantamento dutos'!$G$12*Calculos!$G206*2),0)</f>
        <v>0</v>
      </c>
      <c r="Q206" s="60">
        <f>IF(CODE('Levantamento dutos'!H206)=83,((('Levantamento dutos'!B206/100)+('Levantamento dutos'!$H$12/1000))+(('Levantamento dutos'!C206/100)+('Levantamento dutos'!$H$12)/1000))*2*'Levantamento dutos'!D206,0)</f>
        <v>0</v>
      </c>
      <c r="S206" s="60">
        <f>IF(CODE('Levantamento dutos'!$I206)=83,$Q206,0)</f>
        <v>0</v>
      </c>
      <c r="T206" s="60">
        <f>IF(CODE('Levantamento dutos'!$E206)=76,ROUND((('Levantamento dutos'!$D206/5)*(Calculos!$G206+0.2)*1.2),0),0)</f>
        <v>0</v>
      </c>
      <c r="U206" s="60">
        <f>IF(CODE('Levantamento dutos'!$E206)=73,ROUND((('Levantamento dutos'!$D206/0.5)*(Calculos!$G206+0.2)*1.2),0),0)</f>
        <v>0</v>
      </c>
      <c r="V206" s="60">
        <f>IF(CODE('Levantamento dutos'!$E206)=80,ROUND((('Levantamento dutos'!$D206/0.5)*(Calculos!$G206+0.2)*1.2),0),0)</f>
        <v>0</v>
      </c>
      <c r="W206" s="60">
        <f>IF(CODE('Levantamento dutos'!$E206)=76,'Levantamento dutos'!$D206/0.5*1.5,0)</f>
        <v>0</v>
      </c>
      <c r="X206" s="60">
        <f>IF(CODE('Levantamento dutos'!$E206)=73,'Levantamento dutos'!$D206/0.5*1.5,0)</f>
        <v>0</v>
      </c>
      <c r="Y206" s="60">
        <f>IF(CODE('Levantamento dutos'!$E206)=80,'Levantamento dutos'!$D206/0.5*1.5,0)</f>
        <v>0</v>
      </c>
      <c r="Z206" s="60">
        <f>IF(CODE('Levantamento dutos'!$E206)=76,ROUND(('Levantamento dutos'!$D206)+('Levantamento dutos'!$D206*Calculos!$G206*2)*1.1,0),0)</f>
        <v>0</v>
      </c>
      <c r="AA206" s="60">
        <f>IF(CODE('Levantamento dutos'!$G206)=80,('Levantamento dutos'!$D206/'Levantamento dutos'!$G$12)*8,0)</f>
        <v>0</v>
      </c>
      <c r="AB206" s="60">
        <f>IF(CODE('Levantamento dutos'!$G206)=80,IF('Levantamento dutos'!$B206&gt;30,('Levantamento dutos'!$D206/'Levantamento dutos'!$G$12)*4,0),0)</f>
        <v>0</v>
      </c>
      <c r="AC206" s="60">
        <f>IF('Levantamento dutos'!$B206&gt;220,('Levantamento dutos'!$D206/'Levantamento dutos'!$G$12*Calculos!$G206*2),0)</f>
        <v>0</v>
      </c>
      <c r="AD206" s="60">
        <f>IF(CODE('Levantamento dutos'!$E206)=73,((('Levantamento dutos'!$E$12/1000)+0.02)*'Levantamento dutos'!$D206)*4*1.3,0)</f>
        <v>0</v>
      </c>
      <c r="AE206" s="60">
        <f>IF(CODE('Levantamento dutos'!$E206)=80,((('Levantamento dutos'!$E$12/1000)+0.02)*'Levantamento dutos'!$D206)*4*1.3,0)</f>
        <v>0</v>
      </c>
    </row>
    <row r="207" spans="2:31" x14ac:dyDescent="0.2">
      <c r="B207" s="58">
        <f>IF('Levantamento dutos'!$B207&lt;=Calculos!$Z$3,((('Levantamento dutos'!$B207)/100+('Levantamento dutos'!$C207)/100)*2)*'Levantamento dutos'!$D207,0)</f>
        <v>0</v>
      </c>
      <c r="C207">
        <f>IF('Levantamento dutos'!$B207&gt;Calculos!$Z$3,IF('Levantamento dutos'!$B207&lt;=Calculos!$Z$4,((('Levantamento dutos'!$B207)/100+('Levantamento dutos'!$C207)/100)*2)*'Levantamento dutos'!$D207,0),0)</f>
        <v>0</v>
      </c>
      <c r="D207">
        <f>IF('Levantamento dutos'!$B207&gt;Calculos!$Z$4,IF('Levantamento dutos'!$B207&lt;=Calculos!$Z$5,((('Levantamento dutos'!$B207)/100+('Levantamento dutos'!$C207)/100)*2)*'Levantamento dutos'!$D207,0),0)</f>
        <v>0</v>
      </c>
      <c r="E207">
        <f>IF('Levantamento dutos'!$B207&gt;Calculos!$Z$5,IF('Levantamento dutos'!$B207&lt;=Calculos!$Z$6,((('Levantamento dutos'!$B207)/100+('Levantamento dutos'!$C207)/100)*2)*'Levantamento dutos'!$D207,0),0)</f>
        <v>0</v>
      </c>
      <c r="F207" s="59">
        <f>IF('Levantamento dutos'!$B207&gt;Calculos!$Z$7,((('Levantamento dutos'!$B207)/100+('Levantamento dutos'!$C207)/100)*2)*'Levantamento dutos'!$D207,0)</f>
        <v>0</v>
      </c>
      <c r="G207">
        <f>(('Levantamento dutos'!B207+'Levantamento dutos'!C207)/100)*2</f>
        <v>0</v>
      </c>
      <c r="H207" s="58">
        <f>IF(CODE('Levantamento dutos'!$E207)=76,SUM($B207:$F207),0)</f>
        <v>0</v>
      </c>
      <c r="I207">
        <f>IF(CODE('Levantamento dutos'!$E207)=73,SUM($B207:$F207),0)</f>
        <v>0</v>
      </c>
      <c r="J207">
        <f>IF(CODE('Levantamento dutos'!$E207)=80,SUM($B207:$F207),0)</f>
        <v>0</v>
      </c>
      <c r="K207">
        <f>IF(CODE('Levantamento dutos'!$F207)=66,SUM($B207:$F207),0)</f>
        <v>0</v>
      </c>
      <c r="L207">
        <f>IF(CODE('Levantamento dutos'!$F207)=70,SUM($B207:$F207),0)</f>
        <v>0</v>
      </c>
      <c r="M207" s="59">
        <f>IF(CODE('Levantamento dutos'!$E207)=84,SUM($B207:$F207),0)</f>
        <v>0</v>
      </c>
      <c r="N207" s="60">
        <f>IF(CODE('Levantamento dutos'!$G207)=80,IF('Levantamento dutos'!$B207&lt;=200,('Levantamento dutos'!$D207/'Levantamento dutos'!$G$12*Calculos!$G207*2),0),0)</f>
        <v>0</v>
      </c>
      <c r="O207" s="60">
        <f>IF(CODE('Levantamento dutos'!$G207)=80,IF('Levantamento dutos'!$B207&gt;200,('Levantamento dutos'!$D207/'Levantamento dutos'!$G$12*Calculos!$G207*2),0),0)</f>
        <v>0</v>
      </c>
      <c r="P207" s="60">
        <f>IF(CODE('Levantamento dutos'!$G207)=67,('Levantamento dutos'!$D207/'Levantamento dutos'!$G$12*Calculos!$G207*2),0)</f>
        <v>0</v>
      </c>
      <c r="Q207" s="60">
        <f>IF(CODE('Levantamento dutos'!H207)=83,((('Levantamento dutos'!B207/100)+('Levantamento dutos'!$H$12/1000))+(('Levantamento dutos'!C207/100)+('Levantamento dutos'!$H$12)/1000))*2*'Levantamento dutos'!D207,0)</f>
        <v>0</v>
      </c>
      <c r="S207" s="60">
        <f>IF(CODE('Levantamento dutos'!$I207)=83,$Q207,0)</f>
        <v>0</v>
      </c>
      <c r="T207" s="60">
        <f>IF(CODE('Levantamento dutos'!$E207)=76,ROUND((('Levantamento dutos'!$D207/5)*(Calculos!$G207+0.2)*1.2),0),0)</f>
        <v>0</v>
      </c>
      <c r="U207" s="60">
        <f>IF(CODE('Levantamento dutos'!$E207)=73,ROUND((('Levantamento dutos'!$D207/0.5)*(Calculos!$G207+0.2)*1.2),0),0)</f>
        <v>0</v>
      </c>
      <c r="V207" s="60">
        <f>IF(CODE('Levantamento dutos'!$E207)=80,ROUND((('Levantamento dutos'!$D207/0.5)*(Calculos!$G207+0.2)*1.2),0),0)</f>
        <v>0</v>
      </c>
      <c r="W207" s="60">
        <f>IF(CODE('Levantamento dutos'!$E207)=76,'Levantamento dutos'!$D207/0.5*1.5,0)</f>
        <v>0</v>
      </c>
      <c r="X207" s="60">
        <f>IF(CODE('Levantamento dutos'!$E207)=73,'Levantamento dutos'!$D207/0.5*1.5,0)</f>
        <v>0</v>
      </c>
      <c r="Y207" s="60">
        <f>IF(CODE('Levantamento dutos'!$E207)=80,'Levantamento dutos'!$D207/0.5*1.5,0)</f>
        <v>0</v>
      </c>
      <c r="Z207" s="60">
        <f>IF(CODE('Levantamento dutos'!$E207)=76,ROUND(('Levantamento dutos'!$D207)+('Levantamento dutos'!$D207*Calculos!$G207*2)*1.1,0),0)</f>
        <v>0</v>
      </c>
      <c r="AA207" s="60">
        <f>IF(CODE('Levantamento dutos'!$G207)=80,('Levantamento dutos'!$D207/'Levantamento dutos'!$G$12)*8,0)</f>
        <v>0</v>
      </c>
      <c r="AB207" s="60">
        <f>IF(CODE('Levantamento dutos'!$G207)=80,IF('Levantamento dutos'!$B207&gt;30,('Levantamento dutos'!$D207/'Levantamento dutos'!$G$12)*4,0),0)</f>
        <v>0</v>
      </c>
      <c r="AC207" s="60">
        <f>IF('Levantamento dutos'!$B207&gt;220,('Levantamento dutos'!$D207/'Levantamento dutos'!$G$12*Calculos!$G207*2),0)</f>
        <v>0</v>
      </c>
      <c r="AD207" s="60">
        <f>IF(CODE('Levantamento dutos'!$E207)=73,((('Levantamento dutos'!$E$12/1000)+0.02)*'Levantamento dutos'!$D207)*4*1.3,0)</f>
        <v>0</v>
      </c>
      <c r="AE207" s="60">
        <f>IF(CODE('Levantamento dutos'!$E207)=80,((('Levantamento dutos'!$E$12/1000)+0.02)*'Levantamento dutos'!$D207)*4*1.3,0)</f>
        <v>0</v>
      </c>
    </row>
    <row r="208" spans="2:31" x14ac:dyDescent="0.2">
      <c r="B208" s="58">
        <f>IF('Levantamento dutos'!$B208&lt;=Calculos!$Z$3,((('Levantamento dutos'!$B208)/100+('Levantamento dutos'!$C208)/100)*2)*'Levantamento dutos'!$D208,0)</f>
        <v>0</v>
      </c>
      <c r="C208">
        <f>IF('Levantamento dutos'!$B208&gt;Calculos!$Z$3,IF('Levantamento dutos'!$B208&lt;=Calculos!$Z$4,((('Levantamento dutos'!$B208)/100+('Levantamento dutos'!$C208)/100)*2)*'Levantamento dutos'!$D208,0),0)</f>
        <v>0</v>
      </c>
      <c r="D208">
        <f>IF('Levantamento dutos'!$B208&gt;Calculos!$Z$4,IF('Levantamento dutos'!$B208&lt;=Calculos!$Z$5,((('Levantamento dutos'!$B208)/100+('Levantamento dutos'!$C208)/100)*2)*'Levantamento dutos'!$D208,0),0)</f>
        <v>0</v>
      </c>
      <c r="E208">
        <f>IF('Levantamento dutos'!$B208&gt;Calculos!$Z$5,IF('Levantamento dutos'!$B208&lt;=Calculos!$Z$6,((('Levantamento dutos'!$B208)/100+('Levantamento dutos'!$C208)/100)*2)*'Levantamento dutos'!$D208,0),0)</f>
        <v>0</v>
      </c>
      <c r="F208" s="59">
        <f>IF('Levantamento dutos'!$B208&gt;Calculos!$Z$7,((('Levantamento dutos'!$B208)/100+('Levantamento dutos'!$C208)/100)*2)*'Levantamento dutos'!$D208,0)</f>
        <v>0</v>
      </c>
      <c r="G208">
        <f>(('Levantamento dutos'!B208+'Levantamento dutos'!C208)/100)*2</f>
        <v>0</v>
      </c>
      <c r="H208" s="58">
        <f>IF(CODE('Levantamento dutos'!$E208)=76,SUM($B208:$F208),0)</f>
        <v>0</v>
      </c>
      <c r="I208">
        <f>IF(CODE('Levantamento dutos'!$E208)=73,SUM($B208:$F208),0)</f>
        <v>0</v>
      </c>
      <c r="J208">
        <f>IF(CODE('Levantamento dutos'!$E208)=80,SUM($B208:$F208),0)</f>
        <v>0</v>
      </c>
      <c r="K208">
        <f>IF(CODE('Levantamento dutos'!$F208)=66,SUM($B208:$F208),0)</f>
        <v>0</v>
      </c>
      <c r="L208">
        <f>IF(CODE('Levantamento dutos'!$F208)=70,SUM($B208:$F208),0)</f>
        <v>0</v>
      </c>
      <c r="M208" s="59">
        <f>IF(CODE('Levantamento dutos'!$E208)=84,SUM($B208:$F208),0)</f>
        <v>0</v>
      </c>
      <c r="N208" s="60">
        <f>IF(CODE('Levantamento dutos'!$G208)=80,IF('Levantamento dutos'!$B208&lt;=200,('Levantamento dutos'!$D208/'Levantamento dutos'!$G$12*Calculos!$G208*2),0),0)</f>
        <v>0</v>
      </c>
      <c r="O208" s="60">
        <f>IF(CODE('Levantamento dutos'!$G208)=80,IF('Levantamento dutos'!$B208&gt;200,('Levantamento dutos'!$D208/'Levantamento dutos'!$G$12*Calculos!$G208*2),0),0)</f>
        <v>0</v>
      </c>
      <c r="P208" s="60">
        <f>IF(CODE('Levantamento dutos'!$G208)=67,('Levantamento dutos'!$D208/'Levantamento dutos'!$G$12*Calculos!$G208*2),0)</f>
        <v>0</v>
      </c>
      <c r="Q208" s="60">
        <f>IF(CODE('Levantamento dutos'!H208)=83,((('Levantamento dutos'!B208/100)+('Levantamento dutos'!$H$12/1000))+(('Levantamento dutos'!C208/100)+('Levantamento dutos'!$H$12)/1000))*2*'Levantamento dutos'!D208,0)</f>
        <v>0</v>
      </c>
      <c r="S208" s="60">
        <f>IF(CODE('Levantamento dutos'!$I208)=83,$Q208,0)</f>
        <v>0</v>
      </c>
      <c r="T208" s="60">
        <f>IF(CODE('Levantamento dutos'!$E208)=76,ROUND((('Levantamento dutos'!$D208/5)*(Calculos!$G208+0.2)*1.2),0),0)</f>
        <v>0</v>
      </c>
      <c r="U208" s="60">
        <f>IF(CODE('Levantamento dutos'!$E208)=73,ROUND((('Levantamento dutos'!$D208/0.5)*(Calculos!$G208+0.2)*1.2),0),0)</f>
        <v>0</v>
      </c>
      <c r="V208" s="60">
        <f>IF(CODE('Levantamento dutos'!$E208)=80,ROUND((('Levantamento dutos'!$D208/0.5)*(Calculos!$G208+0.2)*1.2),0),0)</f>
        <v>0</v>
      </c>
      <c r="W208" s="60">
        <f>IF(CODE('Levantamento dutos'!$E208)=76,'Levantamento dutos'!$D208/0.5*1.5,0)</f>
        <v>0</v>
      </c>
      <c r="X208" s="60">
        <f>IF(CODE('Levantamento dutos'!$E208)=73,'Levantamento dutos'!$D208/0.5*1.5,0)</f>
        <v>0</v>
      </c>
      <c r="Y208" s="60">
        <f>IF(CODE('Levantamento dutos'!$E208)=80,'Levantamento dutos'!$D208/0.5*1.5,0)</f>
        <v>0</v>
      </c>
      <c r="Z208" s="60">
        <f>IF(CODE('Levantamento dutos'!$E208)=76,ROUND(('Levantamento dutos'!$D208)+('Levantamento dutos'!$D208*Calculos!$G208*2)*1.1,0),0)</f>
        <v>0</v>
      </c>
      <c r="AA208" s="60">
        <f>IF(CODE('Levantamento dutos'!$G208)=80,('Levantamento dutos'!$D208/'Levantamento dutos'!$G$12)*8,0)</f>
        <v>0</v>
      </c>
      <c r="AB208" s="60">
        <f>IF(CODE('Levantamento dutos'!$G208)=80,IF('Levantamento dutos'!$B208&gt;30,('Levantamento dutos'!$D208/'Levantamento dutos'!$G$12)*4,0),0)</f>
        <v>0</v>
      </c>
      <c r="AC208" s="60">
        <f>IF('Levantamento dutos'!$B208&gt;220,('Levantamento dutos'!$D208/'Levantamento dutos'!$G$12*Calculos!$G208*2),0)</f>
        <v>0</v>
      </c>
      <c r="AD208" s="60">
        <f>IF(CODE('Levantamento dutos'!$E208)=73,((('Levantamento dutos'!$E$12/1000)+0.02)*'Levantamento dutos'!$D208)*4*1.3,0)</f>
        <v>0</v>
      </c>
      <c r="AE208" s="60">
        <f>IF(CODE('Levantamento dutos'!$E208)=80,((('Levantamento dutos'!$E$12/1000)+0.02)*'Levantamento dutos'!$D208)*4*1.3,0)</f>
        <v>0</v>
      </c>
    </row>
    <row r="209" spans="2:31" x14ac:dyDescent="0.2">
      <c r="B209" s="58">
        <f>IF('Levantamento dutos'!$B209&lt;=Calculos!$Z$3,((('Levantamento dutos'!$B209)/100+('Levantamento dutos'!$C209)/100)*2)*'Levantamento dutos'!$D209,0)</f>
        <v>0</v>
      </c>
      <c r="C209">
        <f>IF('Levantamento dutos'!$B209&gt;Calculos!$Z$3,IF('Levantamento dutos'!$B209&lt;=Calculos!$Z$4,((('Levantamento dutos'!$B209)/100+('Levantamento dutos'!$C209)/100)*2)*'Levantamento dutos'!$D209,0),0)</f>
        <v>0</v>
      </c>
      <c r="D209">
        <f>IF('Levantamento dutos'!$B209&gt;Calculos!$Z$4,IF('Levantamento dutos'!$B209&lt;=Calculos!$Z$5,((('Levantamento dutos'!$B209)/100+('Levantamento dutos'!$C209)/100)*2)*'Levantamento dutos'!$D209,0),0)</f>
        <v>0</v>
      </c>
      <c r="E209">
        <f>IF('Levantamento dutos'!$B209&gt;Calculos!$Z$5,IF('Levantamento dutos'!$B209&lt;=Calculos!$Z$6,((('Levantamento dutos'!$B209)/100+('Levantamento dutos'!$C209)/100)*2)*'Levantamento dutos'!$D209,0),0)</f>
        <v>0</v>
      </c>
      <c r="F209" s="59">
        <f>IF('Levantamento dutos'!$B209&gt;Calculos!$Z$7,((('Levantamento dutos'!$B209)/100+('Levantamento dutos'!$C209)/100)*2)*'Levantamento dutos'!$D209,0)</f>
        <v>0</v>
      </c>
      <c r="G209">
        <f>(('Levantamento dutos'!B209+'Levantamento dutos'!C209)/100)*2</f>
        <v>0</v>
      </c>
      <c r="H209" s="58">
        <f>IF(CODE('Levantamento dutos'!$E209)=76,SUM($B209:$F209),0)</f>
        <v>0</v>
      </c>
      <c r="I209">
        <f>IF(CODE('Levantamento dutos'!$E209)=73,SUM($B209:$F209),0)</f>
        <v>0</v>
      </c>
      <c r="J209">
        <f>IF(CODE('Levantamento dutos'!$E209)=80,SUM($B209:$F209),0)</f>
        <v>0</v>
      </c>
      <c r="K209">
        <f>IF(CODE('Levantamento dutos'!$F209)=66,SUM($B209:$F209),0)</f>
        <v>0</v>
      </c>
      <c r="L209">
        <f>IF(CODE('Levantamento dutos'!$F209)=70,SUM($B209:$F209),0)</f>
        <v>0</v>
      </c>
      <c r="M209" s="59">
        <f>IF(CODE('Levantamento dutos'!$E209)=84,SUM($B209:$F209),0)</f>
        <v>0</v>
      </c>
      <c r="N209" s="60">
        <f>IF(CODE('Levantamento dutos'!$G209)=80,IF('Levantamento dutos'!$B209&lt;=200,('Levantamento dutos'!$D209/'Levantamento dutos'!$G$12*Calculos!$G209*2),0),0)</f>
        <v>0</v>
      </c>
      <c r="O209" s="60">
        <f>IF(CODE('Levantamento dutos'!$G209)=80,IF('Levantamento dutos'!$B209&gt;200,('Levantamento dutos'!$D209/'Levantamento dutos'!$G$12*Calculos!$G209*2),0),0)</f>
        <v>0</v>
      </c>
      <c r="P209" s="60">
        <f>IF(CODE('Levantamento dutos'!$G209)=67,('Levantamento dutos'!$D209/'Levantamento dutos'!$G$12*Calculos!$G209*2),0)</f>
        <v>0</v>
      </c>
      <c r="Q209" s="60">
        <f>IF(CODE('Levantamento dutos'!H209)=83,((('Levantamento dutos'!B209/100)+('Levantamento dutos'!$H$12/1000))+(('Levantamento dutos'!C209/100)+('Levantamento dutos'!$H$12)/1000))*2*'Levantamento dutos'!D209,0)</f>
        <v>0</v>
      </c>
      <c r="S209" s="60">
        <f>IF(CODE('Levantamento dutos'!$I209)=83,$Q209,0)</f>
        <v>0</v>
      </c>
      <c r="T209" s="60">
        <f>IF(CODE('Levantamento dutos'!$E209)=76,ROUND((('Levantamento dutos'!$D209/5)*(Calculos!$G209+0.2)*1.2),0),0)</f>
        <v>0</v>
      </c>
      <c r="U209" s="60">
        <f>IF(CODE('Levantamento dutos'!$E209)=73,ROUND((('Levantamento dutos'!$D209/0.5)*(Calculos!$G209+0.2)*1.2),0),0)</f>
        <v>0</v>
      </c>
      <c r="V209" s="60">
        <f>IF(CODE('Levantamento dutos'!$E209)=80,ROUND((('Levantamento dutos'!$D209/0.5)*(Calculos!$G209+0.2)*1.2),0),0)</f>
        <v>0</v>
      </c>
      <c r="W209" s="60">
        <f>IF(CODE('Levantamento dutos'!$E209)=76,'Levantamento dutos'!$D209/0.5*1.5,0)</f>
        <v>0</v>
      </c>
      <c r="X209" s="60">
        <f>IF(CODE('Levantamento dutos'!$E209)=73,'Levantamento dutos'!$D209/0.5*1.5,0)</f>
        <v>0</v>
      </c>
      <c r="Y209" s="60">
        <f>IF(CODE('Levantamento dutos'!$E209)=80,'Levantamento dutos'!$D209/0.5*1.5,0)</f>
        <v>0</v>
      </c>
      <c r="Z209" s="60">
        <f>IF(CODE('Levantamento dutos'!$E209)=76,ROUND(('Levantamento dutos'!$D209)+('Levantamento dutos'!$D209*Calculos!$G209*2)*1.1,0),0)</f>
        <v>0</v>
      </c>
      <c r="AA209" s="60">
        <f>IF(CODE('Levantamento dutos'!$G209)=80,('Levantamento dutos'!$D209/'Levantamento dutos'!$G$12)*8,0)</f>
        <v>0</v>
      </c>
      <c r="AB209" s="60">
        <f>IF(CODE('Levantamento dutos'!$G209)=80,IF('Levantamento dutos'!$B209&gt;30,('Levantamento dutos'!$D209/'Levantamento dutos'!$G$12)*4,0),0)</f>
        <v>0</v>
      </c>
      <c r="AC209" s="60">
        <f>IF('Levantamento dutos'!$B209&gt;220,('Levantamento dutos'!$D209/'Levantamento dutos'!$G$12*Calculos!$G209*2),0)</f>
        <v>0</v>
      </c>
      <c r="AD209" s="60">
        <f>IF(CODE('Levantamento dutos'!$E209)=73,((('Levantamento dutos'!$E$12/1000)+0.02)*'Levantamento dutos'!$D209)*4*1.3,0)</f>
        <v>0</v>
      </c>
      <c r="AE209" s="60">
        <f>IF(CODE('Levantamento dutos'!$E209)=80,((('Levantamento dutos'!$E$12/1000)+0.02)*'Levantamento dutos'!$D209)*4*1.3,0)</f>
        <v>0</v>
      </c>
    </row>
    <row r="210" spans="2:31" x14ac:dyDescent="0.2">
      <c r="B210" s="58">
        <f>IF('Levantamento dutos'!$B210&lt;=Calculos!$Z$3,((('Levantamento dutos'!$B210)/100+('Levantamento dutos'!$C210)/100)*2)*'Levantamento dutos'!$D210,0)</f>
        <v>0</v>
      </c>
      <c r="C210">
        <f>IF('Levantamento dutos'!$B210&gt;Calculos!$Z$3,IF('Levantamento dutos'!$B210&lt;=Calculos!$Z$4,((('Levantamento dutos'!$B210)/100+('Levantamento dutos'!$C210)/100)*2)*'Levantamento dutos'!$D210,0),0)</f>
        <v>0</v>
      </c>
      <c r="D210">
        <f>IF('Levantamento dutos'!$B210&gt;Calculos!$Z$4,IF('Levantamento dutos'!$B210&lt;=Calculos!$Z$5,((('Levantamento dutos'!$B210)/100+('Levantamento dutos'!$C210)/100)*2)*'Levantamento dutos'!$D210,0),0)</f>
        <v>0</v>
      </c>
      <c r="E210">
        <f>IF('Levantamento dutos'!$B210&gt;Calculos!$Z$5,IF('Levantamento dutos'!$B210&lt;=Calculos!$Z$6,((('Levantamento dutos'!$B210)/100+('Levantamento dutos'!$C210)/100)*2)*'Levantamento dutos'!$D210,0),0)</f>
        <v>0</v>
      </c>
      <c r="F210" s="59">
        <f>IF('Levantamento dutos'!$B210&gt;Calculos!$Z$7,((('Levantamento dutos'!$B210)/100+('Levantamento dutos'!$C210)/100)*2)*'Levantamento dutos'!$D210,0)</f>
        <v>0</v>
      </c>
      <c r="G210">
        <f>(('Levantamento dutos'!B210+'Levantamento dutos'!C210)/100)*2</f>
        <v>0</v>
      </c>
      <c r="H210" s="58">
        <f>IF(CODE('Levantamento dutos'!$E210)=76,SUM($B210:$F210),0)</f>
        <v>0</v>
      </c>
      <c r="I210">
        <f>IF(CODE('Levantamento dutos'!$E210)=73,SUM($B210:$F210),0)</f>
        <v>0</v>
      </c>
      <c r="J210">
        <f>IF(CODE('Levantamento dutos'!$E210)=80,SUM($B210:$F210),0)</f>
        <v>0</v>
      </c>
      <c r="K210">
        <f>IF(CODE('Levantamento dutos'!$F210)=66,SUM($B210:$F210),0)</f>
        <v>0</v>
      </c>
      <c r="L210">
        <f>IF(CODE('Levantamento dutos'!$F210)=70,SUM($B210:$F210),0)</f>
        <v>0</v>
      </c>
      <c r="M210" s="59">
        <f>IF(CODE('Levantamento dutos'!$E210)=84,SUM($B210:$F210),0)</f>
        <v>0</v>
      </c>
      <c r="N210" s="60">
        <f>IF(CODE('Levantamento dutos'!$G210)=80,IF('Levantamento dutos'!$B210&lt;=200,('Levantamento dutos'!$D210/'Levantamento dutos'!$G$12*Calculos!$G210*2),0),0)</f>
        <v>0</v>
      </c>
      <c r="O210" s="60">
        <f>IF(CODE('Levantamento dutos'!$G210)=80,IF('Levantamento dutos'!$B210&gt;200,('Levantamento dutos'!$D210/'Levantamento dutos'!$G$12*Calculos!$G210*2),0),0)</f>
        <v>0</v>
      </c>
      <c r="P210" s="60">
        <f>IF(CODE('Levantamento dutos'!$G210)=67,('Levantamento dutos'!$D210/'Levantamento dutos'!$G$12*Calculos!$G210*2),0)</f>
        <v>0</v>
      </c>
      <c r="Q210" s="60">
        <f>IF(CODE('Levantamento dutos'!H210)=83,((('Levantamento dutos'!B210/100)+('Levantamento dutos'!$H$12/1000))+(('Levantamento dutos'!C210/100)+('Levantamento dutos'!$H$12)/1000))*2*'Levantamento dutos'!D210,0)</f>
        <v>0</v>
      </c>
      <c r="S210" s="60">
        <f>IF(CODE('Levantamento dutos'!$I210)=83,$Q210,0)</f>
        <v>0</v>
      </c>
      <c r="T210" s="60">
        <f>IF(CODE('Levantamento dutos'!$E210)=76,ROUND((('Levantamento dutos'!$D210/5)*(Calculos!$G210+0.2)*1.2),0),0)</f>
        <v>0</v>
      </c>
      <c r="U210" s="60">
        <f>IF(CODE('Levantamento dutos'!$E210)=73,ROUND((('Levantamento dutos'!$D210/0.5)*(Calculos!$G210+0.2)*1.2),0),0)</f>
        <v>0</v>
      </c>
      <c r="V210" s="60">
        <f>IF(CODE('Levantamento dutos'!$E210)=80,ROUND((('Levantamento dutos'!$D210/0.5)*(Calculos!$G210+0.2)*1.2),0),0)</f>
        <v>0</v>
      </c>
      <c r="W210" s="60">
        <f>IF(CODE('Levantamento dutos'!$E210)=76,'Levantamento dutos'!$D210/0.5*1.5,0)</f>
        <v>0</v>
      </c>
      <c r="X210" s="60">
        <f>IF(CODE('Levantamento dutos'!$E210)=73,'Levantamento dutos'!$D210/0.5*1.5,0)</f>
        <v>0</v>
      </c>
      <c r="Y210" s="60">
        <f>IF(CODE('Levantamento dutos'!$E210)=80,'Levantamento dutos'!$D210/0.5*1.5,0)</f>
        <v>0</v>
      </c>
      <c r="Z210" s="60">
        <f>IF(CODE('Levantamento dutos'!$E210)=76,ROUND(('Levantamento dutos'!$D210)+('Levantamento dutos'!$D210*Calculos!$G210*2)*1.1,0),0)</f>
        <v>0</v>
      </c>
      <c r="AA210" s="60">
        <f>IF(CODE('Levantamento dutos'!$G210)=80,('Levantamento dutos'!$D210/'Levantamento dutos'!$G$12)*8,0)</f>
        <v>0</v>
      </c>
      <c r="AB210" s="60">
        <f>IF(CODE('Levantamento dutos'!$G210)=80,IF('Levantamento dutos'!$B210&gt;30,('Levantamento dutos'!$D210/'Levantamento dutos'!$G$12)*4,0),0)</f>
        <v>0</v>
      </c>
      <c r="AC210" s="60">
        <f>IF('Levantamento dutos'!$B210&gt;220,('Levantamento dutos'!$D210/'Levantamento dutos'!$G$12*Calculos!$G210*2),0)</f>
        <v>0</v>
      </c>
      <c r="AD210" s="60">
        <f>IF(CODE('Levantamento dutos'!$E210)=73,((('Levantamento dutos'!$E$12/1000)+0.02)*'Levantamento dutos'!$D210)*4*1.3,0)</f>
        <v>0</v>
      </c>
      <c r="AE210" s="60">
        <f>IF(CODE('Levantamento dutos'!$E210)=80,((('Levantamento dutos'!$E$12/1000)+0.02)*'Levantamento dutos'!$D210)*4*1.3,0)</f>
        <v>0</v>
      </c>
    </row>
    <row r="211" spans="2:31" x14ac:dyDescent="0.2">
      <c r="B211" s="58">
        <f>IF('Levantamento dutos'!$B211&lt;=Calculos!$Z$3,((('Levantamento dutos'!$B211)/100+('Levantamento dutos'!$C211)/100)*2)*'Levantamento dutos'!$D211,0)</f>
        <v>0</v>
      </c>
      <c r="C211">
        <f>IF('Levantamento dutos'!$B211&gt;Calculos!$Z$3,IF('Levantamento dutos'!$B211&lt;=Calculos!$Z$4,((('Levantamento dutos'!$B211)/100+('Levantamento dutos'!$C211)/100)*2)*'Levantamento dutos'!$D211,0),0)</f>
        <v>0</v>
      </c>
      <c r="D211">
        <f>IF('Levantamento dutos'!$B211&gt;Calculos!$Z$4,IF('Levantamento dutos'!$B211&lt;=Calculos!$Z$5,((('Levantamento dutos'!$B211)/100+('Levantamento dutos'!$C211)/100)*2)*'Levantamento dutos'!$D211,0),0)</f>
        <v>0</v>
      </c>
      <c r="E211">
        <f>IF('Levantamento dutos'!$B211&gt;Calculos!$Z$5,IF('Levantamento dutos'!$B211&lt;=Calculos!$Z$6,((('Levantamento dutos'!$B211)/100+('Levantamento dutos'!$C211)/100)*2)*'Levantamento dutos'!$D211,0),0)</f>
        <v>0</v>
      </c>
      <c r="F211" s="59">
        <f>IF('Levantamento dutos'!$B211&gt;Calculos!$Z$7,((('Levantamento dutos'!$B211)/100+('Levantamento dutos'!$C211)/100)*2)*'Levantamento dutos'!$D211,0)</f>
        <v>0</v>
      </c>
      <c r="G211">
        <f>(('Levantamento dutos'!B211+'Levantamento dutos'!C211)/100)*2</f>
        <v>0</v>
      </c>
      <c r="H211" s="58">
        <f>IF(CODE('Levantamento dutos'!$E211)=76,SUM($B211:$F211),0)</f>
        <v>0</v>
      </c>
      <c r="I211">
        <f>IF(CODE('Levantamento dutos'!$E211)=73,SUM($B211:$F211),0)</f>
        <v>0</v>
      </c>
      <c r="J211">
        <f>IF(CODE('Levantamento dutos'!$E211)=80,SUM($B211:$F211),0)</f>
        <v>0</v>
      </c>
      <c r="K211">
        <f>IF(CODE('Levantamento dutos'!$F211)=66,SUM($B211:$F211),0)</f>
        <v>0</v>
      </c>
      <c r="L211">
        <f>IF(CODE('Levantamento dutos'!$F211)=70,SUM($B211:$F211),0)</f>
        <v>0</v>
      </c>
      <c r="M211" s="59">
        <f>IF(CODE('Levantamento dutos'!$E211)=84,SUM($B211:$F211),0)</f>
        <v>0</v>
      </c>
      <c r="N211" s="60">
        <f>IF(CODE('Levantamento dutos'!$G211)=80,IF('Levantamento dutos'!$B211&lt;=200,('Levantamento dutos'!$D211/'Levantamento dutos'!$G$12*Calculos!$G211*2),0),0)</f>
        <v>0</v>
      </c>
      <c r="O211" s="60">
        <f>IF(CODE('Levantamento dutos'!$G211)=80,IF('Levantamento dutos'!$B211&gt;200,('Levantamento dutos'!$D211/'Levantamento dutos'!$G$12*Calculos!$G211*2),0),0)</f>
        <v>0</v>
      </c>
      <c r="P211" s="60">
        <f>IF(CODE('Levantamento dutos'!$G211)=67,('Levantamento dutos'!$D211/'Levantamento dutos'!$G$12*Calculos!$G211*2),0)</f>
        <v>0</v>
      </c>
      <c r="Q211" s="60">
        <f>IF(CODE('Levantamento dutos'!H211)=83,((('Levantamento dutos'!B211/100)+('Levantamento dutos'!$H$12/1000))+(('Levantamento dutos'!C211/100)+('Levantamento dutos'!$H$12)/1000))*2*'Levantamento dutos'!D211,0)</f>
        <v>0</v>
      </c>
      <c r="S211" s="60">
        <f>IF(CODE('Levantamento dutos'!$I211)=83,$Q211,0)</f>
        <v>0</v>
      </c>
      <c r="T211" s="60">
        <f>IF(CODE('Levantamento dutos'!$E211)=76,ROUND((('Levantamento dutos'!$D211/5)*(Calculos!$G211+0.2)*1.2),0),0)</f>
        <v>0</v>
      </c>
      <c r="U211" s="60">
        <f>IF(CODE('Levantamento dutos'!$E211)=73,ROUND((('Levantamento dutos'!$D211/0.5)*(Calculos!$G211+0.2)*1.2),0),0)</f>
        <v>0</v>
      </c>
      <c r="V211" s="60">
        <f>IF(CODE('Levantamento dutos'!$E211)=80,ROUND((('Levantamento dutos'!$D211/0.5)*(Calculos!$G211+0.2)*1.2),0),0)</f>
        <v>0</v>
      </c>
      <c r="W211" s="60">
        <f>IF(CODE('Levantamento dutos'!$E211)=76,'Levantamento dutos'!$D211/0.5*1.5,0)</f>
        <v>0</v>
      </c>
      <c r="X211" s="60">
        <f>IF(CODE('Levantamento dutos'!$E211)=73,'Levantamento dutos'!$D211/0.5*1.5,0)</f>
        <v>0</v>
      </c>
      <c r="Y211" s="60">
        <f>IF(CODE('Levantamento dutos'!$E211)=80,'Levantamento dutos'!$D211/0.5*1.5,0)</f>
        <v>0</v>
      </c>
      <c r="Z211" s="60">
        <f>IF(CODE('Levantamento dutos'!$E211)=76,ROUND(('Levantamento dutos'!$D211)+('Levantamento dutos'!$D211*Calculos!$G211*2)*1.1,0),0)</f>
        <v>0</v>
      </c>
      <c r="AA211" s="60">
        <f>IF(CODE('Levantamento dutos'!$G211)=80,('Levantamento dutos'!$D211/'Levantamento dutos'!$G$12)*8,0)</f>
        <v>0</v>
      </c>
      <c r="AB211" s="60">
        <f>IF(CODE('Levantamento dutos'!$G211)=80,IF('Levantamento dutos'!$B211&gt;30,('Levantamento dutos'!$D211/'Levantamento dutos'!$G$12)*4,0),0)</f>
        <v>0</v>
      </c>
      <c r="AC211" s="60">
        <f>IF('Levantamento dutos'!$B211&gt;220,('Levantamento dutos'!$D211/'Levantamento dutos'!$G$12*Calculos!$G211*2),0)</f>
        <v>0</v>
      </c>
      <c r="AD211" s="60">
        <f>IF(CODE('Levantamento dutos'!$E211)=73,((('Levantamento dutos'!$E$12/1000)+0.02)*'Levantamento dutos'!$D211)*4*1.3,0)</f>
        <v>0</v>
      </c>
      <c r="AE211" s="60">
        <f>IF(CODE('Levantamento dutos'!$E211)=80,((('Levantamento dutos'!$E$12/1000)+0.02)*'Levantamento dutos'!$D211)*4*1.3,0)</f>
        <v>0</v>
      </c>
    </row>
    <row r="212" spans="2:31" x14ac:dyDescent="0.2">
      <c r="B212" s="58">
        <f>IF('Levantamento dutos'!$B212&lt;=Calculos!$Z$3,((('Levantamento dutos'!$B212)/100+('Levantamento dutos'!$C212)/100)*2)*'Levantamento dutos'!$D212,0)</f>
        <v>0</v>
      </c>
      <c r="C212">
        <f>IF('Levantamento dutos'!$B212&gt;Calculos!$Z$3,IF('Levantamento dutos'!$B212&lt;=Calculos!$Z$4,((('Levantamento dutos'!$B212)/100+('Levantamento dutos'!$C212)/100)*2)*'Levantamento dutos'!$D212,0),0)</f>
        <v>0</v>
      </c>
      <c r="D212">
        <f>IF('Levantamento dutos'!$B212&gt;Calculos!$Z$4,IF('Levantamento dutos'!$B212&lt;=Calculos!$Z$5,((('Levantamento dutos'!$B212)/100+('Levantamento dutos'!$C212)/100)*2)*'Levantamento dutos'!$D212,0),0)</f>
        <v>0</v>
      </c>
      <c r="E212">
        <f>IF('Levantamento dutos'!$B212&gt;Calculos!$Z$5,IF('Levantamento dutos'!$B212&lt;=Calculos!$Z$6,((('Levantamento dutos'!$B212)/100+('Levantamento dutos'!$C212)/100)*2)*'Levantamento dutos'!$D212,0),0)</f>
        <v>0</v>
      </c>
      <c r="F212" s="59">
        <f>IF('Levantamento dutos'!$B212&gt;Calculos!$Z$7,((('Levantamento dutos'!$B212)/100+('Levantamento dutos'!$C212)/100)*2)*'Levantamento dutos'!$D212,0)</f>
        <v>0</v>
      </c>
      <c r="G212">
        <f>(('Levantamento dutos'!B212+'Levantamento dutos'!C212)/100)*2</f>
        <v>0</v>
      </c>
      <c r="H212" s="58">
        <f>IF(CODE('Levantamento dutos'!$E212)=76,SUM($B212:$F212),0)</f>
        <v>0</v>
      </c>
      <c r="I212">
        <f>IF(CODE('Levantamento dutos'!$E212)=73,SUM($B212:$F212),0)</f>
        <v>0</v>
      </c>
      <c r="J212">
        <f>IF(CODE('Levantamento dutos'!$E212)=80,SUM($B212:$F212),0)</f>
        <v>0</v>
      </c>
      <c r="K212">
        <f>IF(CODE('Levantamento dutos'!$F212)=66,SUM($B212:$F212),0)</f>
        <v>0</v>
      </c>
      <c r="L212">
        <f>IF(CODE('Levantamento dutos'!$F212)=70,SUM($B212:$F212),0)</f>
        <v>0</v>
      </c>
      <c r="M212" s="59">
        <f>IF(CODE('Levantamento dutos'!$E212)=84,SUM($B212:$F212),0)</f>
        <v>0</v>
      </c>
      <c r="N212" s="60">
        <f>IF(CODE('Levantamento dutos'!$G212)=80,IF('Levantamento dutos'!$B212&lt;=200,('Levantamento dutos'!$D212/'Levantamento dutos'!$G$12*Calculos!$G212*2),0),0)</f>
        <v>0</v>
      </c>
      <c r="O212" s="60">
        <f>IF(CODE('Levantamento dutos'!$G212)=80,IF('Levantamento dutos'!$B212&gt;200,('Levantamento dutos'!$D212/'Levantamento dutos'!$G$12*Calculos!$G212*2),0),0)</f>
        <v>0</v>
      </c>
      <c r="P212" s="60">
        <f>IF(CODE('Levantamento dutos'!$G212)=67,('Levantamento dutos'!$D212/'Levantamento dutos'!$G$12*Calculos!$G212*2),0)</f>
        <v>0</v>
      </c>
      <c r="Q212" s="60">
        <f>IF(CODE('Levantamento dutos'!H212)=83,((('Levantamento dutos'!B212/100)+('Levantamento dutos'!$H$12/1000))+(('Levantamento dutos'!C212/100)+('Levantamento dutos'!$H$12)/1000))*2*'Levantamento dutos'!D212,0)</f>
        <v>0</v>
      </c>
      <c r="S212" s="60">
        <f>IF(CODE('Levantamento dutos'!$I212)=83,$Q212,0)</f>
        <v>0</v>
      </c>
      <c r="T212" s="60">
        <f>IF(CODE('Levantamento dutos'!$E212)=76,ROUND((('Levantamento dutos'!$D212/5)*(Calculos!$G212+0.2)*1.2),0),0)</f>
        <v>0</v>
      </c>
      <c r="U212" s="60">
        <f>IF(CODE('Levantamento dutos'!$E212)=73,ROUND((('Levantamento dutos'!$D212/0.5)*(Calculos!$G212+0.2)*1.2),0),0)</f>
        <v>0</v>
      </c>
      <c r="V212" s="60">
        <f>IF(CODE('Levantamento dutos'!$E212)=80,ROUND((('Levantamento dutos'!$D212/0.5)*(Calculos!$G212+0.2)*1.2),0),0)</f>
        <v>0</v>
      </c>
      <c r="W212" s="60">
        <f>IF(CODE('Levantamento dutos'!$E212)=76,'Levantamento dutos'!$D212/0.5*1.5,0)</f>
        <v>0</v>
      </c>
      <c r="X212" s="60">
        <f>IF(CODE('Levantamento dutos'!$E212)=73,'Levantamento dutos'!$D212/0.5*1.5,0)</f>
        <v>0</v>
      </c>
      <c r="Y212" s="60">
        <f>IF(CODE('Levantamento dutos'!$E212)=80,'Levantamento dutos'!$D212/0.5*1.5,0)</f>
        <v>0</v>
      </c>
      <c r="Z212" s="60">
        <f>IF(CODE('Levantamento dutos'!$E212)=76,ROUND(('Levantamento dutos'!$D212)+('Levantamento dutos'!$D212*Calculos!$G212*2)*1.1,0),0)</f>
        <v>0</v>
      </c>
      <c r="AA212" s="60">
        <f>IF(CODE('Levantamento dutos'!$G212)=80,('Levantamento dutos'!$D212/'Levantamento dutos'!$G$12)*8,0)</f>
        <v>0</v>
      </c>
      <c r="AB212" s="60">
        <f>IF(CODE('Levantamento dutos'!$G212)=80,IF('Levantamento dutos'!$B212&gt;30,('Levantamento dutos'!$D212/'Levantamento dutos'!$G$12)*4,0),0)</f>
        <v>0</v>
      </c>
      <c r="AC212" s="60">
        <f>IF('Levantamento dutos'!$B212&gt;220,('Levantamento dutos'!$D212/'Levantamento dutos'!$G$12*Calculos!$G212*2),0)</f>
        <v>0</v>
      </c>
      <c r="AD212" s="60">
        <f>IF(CODE('Levantamento dutos'!$E212)=73,((('Levantamento dutos'!$E$12/1000)+0.02)*'Levantamento dutos'!$D212)*4*1.3,0)</f>
        <v>0</v>
      </c>
      <c r="AE212" s="60">
        <f>IF(CODE('Levantamento dutos'!$E212)=80,((('Levantamento dutos'!$E$12/1000)+0.02)*'Levantamento dutos'!$D212)*4*1.3,0)</f>
        <v>0</v>
      </c>
    </row>
    <row r="213" spans="2:31" x14ac:dyDescent="0.2">
      <c r="B213" s="58">
        <f>IF('Levantamento dutos'!$B213&lt;=Calculos!$Z$3,((('Levantamento dutos'!$B213)/100+('Levantamento dutos'!$C213)/100)*2)*'Levantamento dutos'!$D213,0)</f>
        <v>0</v>
      </c>
      <c r="C213">
        <f>IF('Levantamento dutos'!$B213&gt;Calculos!$Z$3,IF('Levantamento dutos'!$B213&lt;=Calculos!$Z$4,((('Levantamento dutos'!$B213)/100+('Levantamento dutos'!$C213)/100)*2)*'Levantamento dutos'!$D213,0),0)</f>
        <v>0</v>
      </c>
      <c r="D213">
        <f>IF('Levantamento dutos'!$B213&gt;Calculos!$Z$4,IF('Levantamento dutos'!$B213&lt;=Calculos!$Z$5,((('Levantamento dutos'!$B213)/100+('Levantamento dutos'!$C213)/100)*2)*'Levantamento dutos'!$D213,0),0)</f>
        <v>0</v>
      </c>
      <c r="E213">
        <f>IF('Levantamento dutos'!$B213&gt;Calculos!$Z$5,IF('Levantamento dutos'!$B213&lt;=Calculos!$Z$6,((('Levantamento dutos'!$B213)/100+('Levantamento dutos'!$C213)/100)*2)*'Levantamento dutos'!$D213,0),0)</f>
        <v>0</v>
      </c>
      <c r="F213" s="59">
        <f>IF('Levantamento dutos'!$B213&gt;Calculos!$Z$7,((('Levantamento dutos'!$B213)/100+('Levantamento dutos'!$C213)/100)*2)*'Levantamento dutos'!$D213,0)</f>
        <v>0</v>
      </c>
      <c r="G213">
        <f>(('Levantamento dutos'!B213+'Levantamento dutos'!C213)/100)*2</f>
        <v>0</v>
      </c>
      <c r="H213" s="58">
        <f>IF(CODE('Levantamento dutos'!$E213)=76,SUM($B213:$F213),0)</f>
        <v>0</v>
      </c>
      <c r="I213">
        <f>IF(CODE('Levantamento dutos'!$E213)=73,SUM($B213:$F213),0)</f>
        <v>0</v>
      </c>
      <c r="J213">
        <f>IF(CODE('Levantamento dutos'!$E213)=80,SUM($B213:$F213),0)</f>
        <v>0</v>
      </c>
      <c r="K213">
        <f>IF(CODE('Levantamento dutos'!$F213)=66,SUM($B213:$F213),0)</f>
        <v>0</v>
      </c>
      <c r="L213">
        <f>IF(CODE('Levantamento dutos'!$F213)=70,SUM($B213:$F213),0)</f>
        <v>0</v>
      </c>
      <c r="M213" s="59">
        <f>IF(CODE('Levantamento dutos'!$E213)=84,SUM($B213:$F213),0)</f>
        <v>0</v>
      </c>
      <c r="N213" s="60">
        <f>IF(CODE('Levantamento dutos'!$G213)=80,IF('Levantamento dutos'!$B213&lt;=200,('Levantamento dutos'!$D213/'Levantamento dutos'!$G$12*Calculos!$G213*2),0),0)</f>
        <v>0</v>
      </c>
      <c r="O213" s="60">
        <f>IF(CODE('Levantamento dutos'!$G213)=80,IF('Levantamento dutos'!$B213&gt;200,('Levantamento dutos'!$D213/'Levantamento dutos'!$G$12*Calculos!$G213*2),0),0)</f>
        <v>0</v>
      </c>
      <c r="P213" s="60">
        <f>IF(CODE('Levantamento dutos'!$G213)=67,('Levantamento dutos'!$D213/'Levantamento dutos'!$G$12*Calculos!$G213*2),0)</f>
        <v>0</v>
      </c>
      <c r="Q213" s="60">
        <f>IF(CODE('Levantamento dutos'!H213)=83,((('Levantamento dutos'!B213/100)+('Levantamento dutos'!$H$12/1000))+(('Levantamento dutos'!C213/100)+('Levantamento dutos'!$H$12)/1000))*2*'Levantamento dutos'!D213,0)</f>
        <v>0</v>
      </c>
      <c r="S213" s="60">
        <f>IF(CODE('Levantamento dutos'!$I213)=83,$Q213,0)</f>
        <v>0</v>
      </c>
      <c r="T213" s="60">
        <f>IF(CODE('Levantamento dutos'!$E213)=76,ROUND((('Levantamento dutos'!$D213/5)*(Calculos!$G213+0.2)*1.2),0),0)</f>
        <v>0</v>
      </c>
      <c r="U213" s="60">
        <f>IF(CODE('Levantamento dutos'!$E213)=73,ROUND((('Levantamento dutos'!$D213/0.5)*(Calculos!$G213+0.2)*1.2),0),0)</f>
        <v>0</v>
      </c>
      <c r="V213" s="60">
        <f>IF(CODE('Levantamento dutos'!$E213)=80,ROUND((('Levantamento dutos'!$D213/0.5)*(Calculos!$G213+0.2)*1.2),0),0)</f>
        <v>0</v>
      </c>
      <c r="W213" s="60">
        <f>IF(CODE('Levantamento dutos'!$E213)=76,'Levantamento dutos'!$D213/0.5*1.5,0)</f>
        <v>0</v>
      </c>
      <c r="X213" s="60">
        <f>IF(CODE('Levantamento dutos'!$E213)=73,'Levantamento dutos'!$D213/0.5*1.5,0)</f>
        <v>0</v>
      </c>
      <c r="Y213" s="60">
        <f>IF(CODE('Levantamento dutos'!$E213)=80,'Levantamento dutos'!$D213/0.5*1.5,0)</f>
        <v>0</v>
      </c>
      <c r="Z213" s="60">
        <f>IF(CODE('Levantamento dutos'!$E213)=76,ROUND(('Levantamento dutos'!$D213)+('Levantamento dutos'!$D213*Calculos!$G213*2)*1.1,0),0)</f>
        <v>0</v>
      </c>
      <c r="AA213" s="60">
        <f>IF(CODE('Levantamento dutos'!$G213)=80,('Levantamento dutos'!$D213/'Levantamento dutos'!$G$12)*8,0)</f>
        <v>0</v>
      </c>
      <c r="AB213" s="60">
        <f>IF(CODE('Levantamento dutos'!$G213)=80,IF('Levantamento dutos'!$B213&gt;30,('Levantamento dutos'!$D213/'Levantamento dutos'!$G$12)*4,0),0)</f>
        <v>0</v>
      </c>
      <c r="AC213" s="60">
        <f>IF('Levantamento dutos'!$B213&gt;220,('Levantamento dutos'!$D213/'Levantamento dutos'!$G$12*Calculos!$G213*2),0)</f>
        <v>0</v>
      </c>
      <c r="AD213" s="60">
        <f>IF(CODE('Levantamento dutos'!$E213)=73,((('Levantamento dutos'!$E$12/1000)+0.02)*'Levantamento dutos'!$D213)*4*1.3,0)</f>
        <v>0</v>
      </c>
      <c r="AE213" s="60">
        <f>IF(CODE('Levantamento dutos'!$E213)=80,((('Levantamento dutos'!$E$12/1000)+0.02)*'Levantamento dutos'!$D213)*4*1.3,0)</f>
        <v>0</v>
      </c>
    </row>
    <row r="214" spans="2:31" x14ac:dyDescent="0.2">
      <c r="B214" s="58">
        <f>IF('Levantamento dutos'!$B214&lt;=Calculos!$Z$3,((('Levantamento dutos'!$B214)/100+('Levantamento dutos'!$C214)/100)*2)*'Levantamento dutos'!$D214,0)</f>
        <v>0</v>
      </c>
      <c r="C214">
        <f>IF('Levantamento dutos'!$B214&gt;Calculos!$Z$3,IF('Levantamento dutos'!$B214&lt;=Calculos!$Z$4,((('Levantamento dutos'!$B214)/100+('Levantamento dutos'!$C214)/100)*2)*'Levantamento dutos'!$D214,0),0)</f>
        <v>0</v>
      </c>
      <c r="D214">
        <f>IF('Levantamento dutos'!$B214&gt;Calculos!$Z$4,IF('Levantamento dutos'!$B214&lt;=Calculos!$Z$5,((('Levantamento dutos'!$B214)/100+('Levantamento dutos'!$C214)/100)*2)*'Levantamento dutos'!$D214,0),0)</f>
        <v>0</v>
      </c>
      <c r="E214">
        <f>IF('Levantamento dutos'!$B214&gt;Calculos!$Z$5,IF('Levantamento dutos'!$B214&lt;=Calculos!$Z$6,((('Levantamento dutos'!$B214)/100+('Levantamento dutos'!$C214)/100)*2)*'Levantamento dutos'!$D214,0),0)</f>
        <v>0</v>
      </c>
      <c r="F214" s="59">
        <f>IF('Levantamento dutos'!$B214&gt;Calculos!$Z$7,((('Levantamento dutos'!$B214)/100+('Levantamento dutos'!$C214)/100)*2)*'Levantamento dutos'!$D214,0)</f>
        <v>0</v>
      </c>
      <c r="G214">
        <f>(('Levantamento dutos'!B214+'Levantamento dutos'!C214)/100)*2</f>
        <v>0</v>
      </c>
      <c r="H214" s="58">
        <f>IF(CODE('Levantamento dutos'!$E214)=76,SUM($B214:$F214),0)</f>
        <v>0</v>
      </c>
      <c r="I214">
        <f>IF(CODE('Levantamento dutos'!$E214)=73,SUM($B214:$F214),0)</f>
        <v>0</v>
      </c>
      <c r="J214">
        <f>IF(CODE('Levantamento dutos'!$E214)=80,SUM($B214:$F214),0)</f>
        <v>0</v>
      </c>
      <c r="K214">
        <f>IF(CODE('Levantamento dutos'!$F214)=66,SUM($B214:$F214),0)</f>
        <v>0</v>
      </c>
      <c r="L214">
        <f>IF(CODE('Levantamento dutos'!$F214)=70,SUM($B214:$F214),0)</f>
        <v>0</v>
      </c>
      <c r="M214" s="59">
        <f>IF(CODE('Levantamento dutos'!$E214)=84,SUM($B214:$F214),0)</f>
        <v>0</v>
      </c>
      <c r="N214" s="60">
        <f>IF(CODE('Levantamento dutos'!$G214)=80,IF('Levantamento dutos'!$B214&lt;=200,('Levantamento dutos'!$D214/'Levantamento dutos'!$G$12*Calculos!$G214*2),0),0)</f>
        <v>0</v>
      </c>
      <c r="O214" s="60">
        <f>IF(CODE('Levantamento dutos'!$G214)=80,IF('Levantamento dutos'!$B214&gt;200,('Levantamento dutos'!$D214/'Levantamento dutos'!$G$12*Calculos!$G214*2),0),0)</f>
        <v>0</v>
      </c>
      <c r="P214" s="60">
        <f>IF(CODE('Levantamento dutos'!$G214)=67,('Levantamento dutos'!$D214/'Levantamento dutos'!$G$12*Calculos!$G214*2),0)</f>
        <v>0</v>
      </c>
      <c r="Q214" s="60">
        <f>IF(CODE('Levantamento dutos'!H214)=83,((('Levantamento dutos'!B214/100)+('Levantamento dutos'!$H$12/1000))+(('Levantamento dutos'!C214/100)+('Levantamento dutos'!$H$12)/1000))*2*'Levantamento dutos'!D214,0)</f>
        <v>0</v>
      </c>
      <c r="S214" s="60">
        <f>IF(CODE('Levantamento dutos'!$I214)=83,$Q214,0)</f>
        <v>0</v>
      </c>
      <c r="T214" s="60">
        <f>IF(CODE('Levantamento dutos'!$E214)=76,ROUND((('Levantamento dutos'!$D214/5)*(Calculos!$G214+0.2)*1.2),0),0)</f>
        <v>0</v>
      </c>
      <c r="U214" s="60">
        <f>IF(CODE('Levantamento dutos'!$E214)=73,ROUND((('Levantamento dutos'!$D214/0.5)*(Calculos!$G214+0.2)*1.2),0),0)</f>
        <v>0</v>
      </c>
      <c r="V214" s="60">
        <f>IF(CODE('Levantamento dutos'!$E214)=80,ROUND((('Levantamento dutos'!$D214/0.5)*(Calculos!$G214+0.2)*1.2),0),0)</f>
        <v>0</v>
      </c>
      <c r="W214" s="60">
        <f>IF(CODE('Levantamento dutos'!$E214)=76,'Levantamento dutos'!$D214/0.5*1.5,0)</f>
        <v>0</v>
      </c>
      <c r="X214" s="60">
        <f>IF(CODE('Levantamento dutos'!$E214)=73,'Levantamento dutos'!$D214/0.5*1.5,0)</f>
        <v>0</v>
      </c>
      <c r="Y214" s="60">
        <f>IF(CODE('Levantamento dutos'!$E214)=80,'Levantamento dutos'!$D214/0.5*1.5,0)</f>
        <v>0</v>
      </c>
      <c r="Z214" s="60">
        <f>IF(CODE('Levantamento dutos'!$E214)=76,ROUND(('Levantamento dutos'!$D214)+('Levantamento dutos'!$D214*Calculos!$G214*2)*1.1,0),0)</f>
        <v>0</v>
      </c>
      <c r="AA214" s="60">
        <f>IF(CODE('Levantamento dutos'!$G214)=80,('Levantamento dutos'!$D214/'Levantamento dutos'!$G$12)*8,0)</f>
        <v>0</v>
      </c>
      <c r="AB214" s="60">
        <f>IF(CODE('Levantamento dutos'!$G214)=80,IF('Levantamento dutos'!$B214&gt;30,('Levantamento dutos'!$D214/'Levantamento dutos'!$G$12)*4,0),0)</f>
        <v>0</v>
      </c>
      <c r="AC214" s="60">
        <f>IF('Levantamento dutos'!$B214&gt;220,('Levantamento dutos'!$D214/'Levantamento dutos'!$G$12*Calculos!$G214*2),0)</f>
        <v>0</v>
      </c>
      <c r="AD214" s="60">
        <f>IF(CODE('Levantamento dutos'!$E214)=73,((('Levantamento dutos'!$E$12/1000)+0.02)*'Levantamento dutos'!$D214)*4*1.3,0)</f>
        <v>0</v>
      </c>
      <c r="AE214" s="60">
        <f>IF(CODE('Levantamento dutos'!$E214)=80,((('Levantamento dutos'!$E$12/1000)+0.02)*'Levantamento dutos'!$D214)*4*1.3,0)</f>
        <v>0</v>
      </c>
    </row>
    <row r="215" spans="2:31" x14ac:dyDescent="0.2">
      <c r="B215" s="58">
        <f>IF('Levantamento dutos'!$B215&lt;=Calculos!$Z$3,((('Levantamento dutos'!$B215)/100+('Levantamento dutos'!$C215)/100)*2)*'Levantamento dutos'!$D215,0)</f>
        <v>0</v>
      </c>
      <c r="C215">
        <f>IF('Levantamento dutos'!$B215&gt;Calculos!$Z$3,IF('Levantamento dutos'!$B215&lt;=Calculos!$Z$4,((('Levantamento dutos'!$B215)/100+('Levantamento dutos'!$C215)/100)*2)*'Levantamento dutos'!$D215,0),0)</f>
        <v>0</v>
      </c>
      <c r="D215">
        <f>IF('Levantamento dutos'!$B215&gt;Calculos!$Z$4,IF('Levantamento dutos'!$B215&lt;=Calculos!$Z$5,((('Levantamento dutos'!$B215)/100+('Levantamento dutos'!$C215)/100)*2)*'Levantamento dutos'!$D215,0),0)</f>
        <v>0</v>
      </c>
      <c r="E215">
        <f>IF('Levantamento dutos'!$B215&gt;Calculos!$Z$5,IF('Levantamento dutos'!$B215&lt;=Calculos!$Z$6,((('Levantamento dutos'!$B215)/100+('Levantamento dutos'!$C215)/100)*2)*'Levantamento dutos'!$D215,0),0)</f>
        <v>0</v>
      </c>
      <c r="F215" s="59">
        <f>IF('Levantamento dutos'!$B215&gt;Calculos!$Z$7,((('Levantamento dutos'!$B215)/100+('Levantamento dutos'!$C215)/100)*2)*'Levantamento dutos'!$D215,0)</f>
        <v>0</v>
      </c>
      <c r="G215">
        <f>(('Levantamento dutos'!B215+'Levantamento dutos'!C215)/100)*2</f>
        <v>0</v>
      </c>
      <c r="H215" s="58">
        <f>IF(CODE('Levantamento dutos'!$E215)=76,SUM($B215:$F215),0)</f>
        <v>0</v>
      </c>
      <c r="I215">
        <f>IF(CODE('Levantamento dutos'!$E215)=73,SUM($B215:$F215),0)</f>
        <v>0</v>
      </c>
      <c r="J215">
        <f>IF(CODE('Levantamento dutos'!$E215)=80,SUM($B215:$F215),0)</f>
        <v>0</v>
      </c>
      <c r="K215">
        <f>IF(CODE('Levantamento dutos'!$F215)=66,SUM($B215:$F215),0)</f>
        <v>0</v>
      </c>
      <c r="L215">
        <f>IF(CODE('Levantamento dutos'!$F215)=70,SUM($B215:$F215),0)</f>
        <v>0</v>
      </c>
      <c r="M215" s="59">
        <f>IF(CODE('Levantamento dutos'!$E215)=84,SUM($B215:$F215),0)</f>
        <v>0</v>
      </c>
      <c r="N215" s="60">
        <f>IF(CODE('Levantamento dutos'!$G215)=80,IF('Levantamento dutos'!$B215&lt;=200,('Levantamento dutos'!$D215/'Levantamento dutos'!$G$12*Calculos!$G215*2),0),0)</f>
        <v>0</v>
      </c>
      <c r="O215" s="60">
        <f>IF(CODE('Levantamento dutos'!$G215)=80,IF('Levantamento dutos'!$B215&gt;200,('Levantamento dutos'!$D215/'Levantamento dutos'!$G$12*Calculos!$G215*2),0),0)</f>
        <v>0</v>
      </c>
      <c r="P215" s="60">
        <f>IF(CODE('Levantamento dutos'!$G215)=67,('Levantamento dutos'!$D215/'Levantamento dutos'!$G$12*Calculos!$G215*2),0)</f>
        <v>0</v>
      </c>
      <c r="Q215" s="60">
        <f>IF(CODE('Levantamento dutos'!H215)=83,((('Levantamento dutos'!B215/100)+('Levantamento dutos'!$H$12/1000))+(('Levantamento dutos'!C215/100)+('Levantamento dutos'!$H$12)/1000))*2*'Levantamento dutos'!D215,0)</f>
        <v>0</v>
      </c>
      <c r="S215" s="60">
        <f>IF(CODE('Levantamento dutos'!$I215)=83,$Q215,0)</f>
        <v>0</v>
      </c>
      <c r="T215" s="60">
        <f>IF(CODE('Levantamento dutos'!$E215)=76,ROUND((('Levantamento dutos'!$D215/5)*(Calculos!$G215+0.2)*1.2),0),0)</f>
        <v>0</v>
      </c>
      <c r="U215" s="60">
        <f>IF(CODE('Levantamento dutos'!$E215)=73,ROUND((('Levantamento dutos'!$D215/0.5)*(Calculos!$G215+0.2)*1.2),0),0)</f>
        <v>0</v>
      </c>
      <c r="V215" s="60">
        <f>IF(CODE('Levantamento dutos'!$E215)=80,ROUND((('Levantamento dutos'!$D215/0.5)*(Calculos!$G215+0.2)*1.2),0),0)</f>
        <v>0</v>
      </c>
      <c r="W215" s="60">
        <f>IF(CODE('Levantamento dutos'!$E215)=76,'Levantamento dutos'!$D215/0.5*1.5,0)</f>
        <v>0</v>
      </c>
      <c r="X215" s="60">
        <f>IF(CODE('Levantamento dutos'!$E215)=73,'Levantamento dutos'!$D215/0.5*1.5,0)</f>
        <v>0</v>
      </c>
      <c r="Y215" s="60">
        <f>IF(CODE('Levantamento dutos'!$E215)=80,'Levantamento dutos'!$D215/0.5*1.5,0)</f>
        <v>0</v>
      </c>
      <c r="Z215" s="60">
        <f>IF(CODE('Levantamento dutos'!$E215)=76,ROUND(('Levantamento dutos'!$D215)+('Levantamento dutos'!$D215*Calculos!$G215*2)*1.1,0),0)</f>
        <v>0</v>
      </c>
      <c r="AA215" s="60">
        <f>IF(CODE('Levantamento dutos'!$G215)=80,('Levantamento dutos'!$D215/'Levantamento dutos'!$G$12)*8,0)</f>
        <v>0</v>
      </c>
      <c r="AB215" s="60">
        <f>IF(CODE('Levantamento dutos'!$G215)=80,IF('Levantamento dutos'!$B215&gt;30,('Levantamento dutos'!$D215/'Levantamento dutos'!$G$12)*4,0),0)</f>
        <v>0</v>
      </c>
      <c r="AC215" s="60">
        <f>IF('Levantamento dutos'!$B215&gt;220,('Levantamento dutos'!$D215/'Levantamento dutos'!$G$12*Calculos!$G215*2),0)</f>
        <v>0</v>
      </c>
      <c r="AD215" s="60">
        <f>IF(CODE('Levantamento dutos'!$E215)=73,((('Levantamento dutos'!$E$12/1000)+0.02)*'Levantamento dutos'!$D215)*4*1.3,0)</f>
        <v>0</v>
      </c>
      <c r="AE215" s="60">
        <f>IF(CODE('Levantamento dutos'!$E215)=80,((('Levantamento dutos'!$E$12/1000)+0.02)*'Levantamento dutos'!$D215)*4*1.3,0)</f>
        <v>0</v>
      </c>
    </row>
    <row r="216" spans="2:31" x14ac:dyDescent="0.2">
      <c r="B216" s="58">
        <f>IF('Levantamento dutos'!$B216&lt;=Calculos!$Z$3,((('Levantamento dutos'!$B216)/100+('Levantamento dutos'!$C216)/100)*2)*'Levantamento dutos'!$D216,0)</f>
        <v>0</v>
      </c>
      <c r="C216">
        <f>IF('Levantamento dutos'!$B216&gt;Calculos!$Z$3,IF('Levantamento dutos'!$B216&lt;=Calculos!$Z$4,((('Levantamento dutos'!$B216)/100+('Levantamento dutos'!$C216)/100)*2)*'Levantamento dutos'!$D216,0),0)</f>
        <v>0</v>
      </c>
      <c r="D216">
        <f>IF('Levantamento dutos'!$B216&gt;Calculos!$Z$4,IF('Levantamento dutos'!$B216&lt;=Calculos!$Z$5,((('Levantamento dutos'!$B216)/100+('Levantamento dutos'!$C216)/100)*2)*'Levantamento dutos'!$D216,0),0)</f>
        <v>0</v>
      </c>
      <c r="E216">
        <f>IF('Levantamento dutos'!$B216&gt;Calculos!$Z$5,IF('Levantamento dutos'!$B216&lt;=Calculos!$Z$6,((('Levantamento dutos'!$B216)/100+('Levantamento dutos'!$C216)/100)*2)*'Levantamento dutos'!$D216,0),0)</f>
        <v>0</v>
      </c>
      <c r="F216" s="59">
        <f>IF('Levantamento dutos'!$B216&gt;Calculos!$Z$7,((('Levantamento dutos'!$B216)/100+('Levantamento dutos'!$C216)/100)*2)*'Levantamento dutos'!$D216,0)</f>
        <v>0</v>
      </c>
      <c r="G216">
        <f>(('Levantamento dutos'!B216+'Levantamento dutos'!C216)/100)*2</f>
        <v>0</v>
      </c>
      <c r="H216" s="58">
        <f>IF(CODE('Levantamento dutos'!$E216)=76,SUM($B216:$F216),0)</f>
        <v>0</v>
      </c>
      <c r="I216">
        <f>IF(CODE('Levantamento dutos'!$E216)=73,SUM($B216:$F216),0)</f>
        <v>0</v>
      </c>
      <c r="J216">
        <f>IF(CODE('Levantamento dutos'!$E216)=80,SUM($B216:$F216),0)</f>
        <v>0</v>
      </c>
      <c r="K216">
        <f>IF(CODE('Levantamento dutos'!$F216)=66,SUM($B216:$F216),0)</f>
        <v>0</v>
      </c>
      <c r="L216">
        <f>IF(CODE('Levantamento dutos'!$F216)=70,SUM($B216:$F216),0)</f>
        <v>0</v>
      </c>
      <c r="M216" s="59">
        <f>IF(CODE('Levantamento dutos'!$E216)=84,SUM($B216:$F216),0)</f>
        <v>0</v>
      </c>
      <c r="N216" s="60">
        <f>IF(CODE('Levantamento dutos'!$G216)=80,IF('Levantamento dutos'!$B216&lt;=200,('Levantamento dutos'!$D216/'Levantamento dutos'!$G$12*Calculos!$G216*2),0),0)</f>
        <v>0</v>
      </c>
      <c r="O216" s="60">
        <f>IF(CODE('Levantamento dutos'!$G216)=80,IF('Levantamento dutos'!$B216&gt;200,('Levantamento dutos'!$D216/'Levantamento dutos'!$G$12*Calculos!$G216*2),0),0)</f>
        <v>0</v>
      </c>
      <c r="P216" s="60">
        <f>IF(CODE('Levantamento dutos'!$G216)=67,('Levantamento dutos'!$D216/'Levantamento dutos'!$G$12*Calculos!$G216*2),0)</f>
        <v>0</v>
      </c>
      <c r="Q216" s="60">
        <f>IF(CODE('Levantamento dutos'!H216)=83,((('Levantamento dutos'!B216/100)+('Levantamento dutos'!$H$12/1000))+(('Levantamento dutos'!C216/100)+('Levantamento dutos'!$H$12)/1000))*2*'Levantamento dutos'!D216,0)</f>
        <v>0</v>
      </c>
      <c r="S216" s="60">
        <f>IF(CODE('Levantamento dutos'!$I216)=83,$Q216,0)</f>
        <v>0</v>
      </c>
      <c r="T216" s="60">
        <f>IF(CODE('Levantamento dutos'!$E216)=76,ROUND((('Levantamento dutos'!$D216/5)*(Calculos!$G216+0.2)*1.2),0),0)</f>
        <v>0</v>
      </c>
      <c r="U216" s="60">
        <f>IF(CODE('Levantamento dutos'!$E216)=73,ROUND((('Levantamento dutos'!$D216/0.5)*(Calculos!$G216+0.2)*1.2),0),0)</f>
        <v>0</v>
      </c>
      <c r="V216" s="60">
        <f>IF(CODE('Levantamento dutos'!$E216)=80,ROUND((('Levantamento dutos'!$D216/0.5)*(Calculos!$G216+0.2)*1.2),0),0)</f>
        <v>0</v>
      </c>
      <c r="W216" s="60">
        <f>IF(CODE('Levantamento dutos'!$E216)=76,'Levantamento dutos'!$D216/0.5*1.5,0)</f>
        <v>0</v>
      </c>
      <c r="X216" s="60">
        <f>IF(CODE('Levantamento dutos'!$E216)=73,'Levantamento dutos'!$D216/0.5*1.5,0)</f>
        <v>0</v>
      </c>
      <c r="Y216" s="60">
        <f>IF(CODE('Levantamento dutos'!$E216)=80,'Levantamento dutos'!$D216/0.5*1.5,0)</f>
        <v>0</v>
      </c>
      <c r="Z216" s="60">
        <f>IF(CODE('Levantamento dutos'!$E216)=76,ROUND(('Levantamento dutos'!$D216)+('Levantamento dutos'!$D216*Calculos!$G216*2)*1.1,0),0)</f>
        <v>0</v>
      </c>
      <c r="AA216" s="60">
        <f>IF(CODE('Levantamento dutos'!$G216)=80,('Levantamento dutos'!$D216/'Levantamento dutos'!$G$12)*8,0)</f>
        <v>0</v>
      </c>
      <c r="AB216" s="60">
        <f>IF(CODE('Levantamento dutos'!$G216)=80,IF('Levantamento dutos'!$B216&gt;30,('Levantamento dutos'!$D216/'Levantamento dutos'!$G$12)*4,0),0)</f>
        <v>0</v>
      </c>
      <c r="AC216" s="60">
        <f>IF('Levantamento dutos'!$B216&gt;220,('Levantamento dutos'!$D216/'Levantamento dutos'!$G$12*Calculos!$G216*2),0)</f>
        <v>0</v>
      </c>
      <c r="AD216" s="60">
        <f>IF(CODE('Levantamento dutos'!$E216)=73,((('Levantamento dutos'!$E$12/1000)+0.02)*'Levantamento dutos'!$D216)*4*1.3,0)</f>
        <v>0</v>
      </c>
      <c r="AE216" s="60">
        <f>IF(CODE('Levantamento dutos'!$E216)=80,((('Levantamento dutos'!$E$12/1000)+0.02)*'Levantamento dutos'!$D216)*4*1.3,0)</f>
        <v>0</v>
      </c>
    </row>
    <row r="217" spans="2:31" x14ac:dyDescent="0.2">
      <c r="B217" s="58">
        <f>IF('Levantamento dutos'!$B217&lt;=Calculos!$Z$3,((('Levantamento dutos'!$B217)/100+('Levantamento dutos'!$C217)/100)*2)*'Levantamento dutos'!$D217,0)</f>
        <v>0</v>
      </c>
      <c r="C217">
        <f>IF('Levantamento dutos'!$B217&gt;Calculos!$Z$3,IF('Levantamento dutos'!$B217&lt;=Calculos!$Z$4,((('Levantamento dutos'!$B217)/100+('Levantamento dutos'!$C217)/100)*2)*'Levantamento dutos'!$D217,0),0)</f>
        <v>0</v>
      </c>
      <c r="D217">
        <f>IF('Levantamento dutos'!$B217&gt;Calculos!$Z$4,IF('Levantamento dutos'!$B217&lt;=Calculos!$Z$5,((('Levantamento dutos'!$B217)/100+('Levantamento dutos'!$C217)/100)*2)*'Levantamento dutos'!$D217,0),0)</f>
        <v>0</v>
      </c>
      <c r="E217">
        <f>IF('Levantamento dutos'!$B217&gt;Calculos!$Z$5,IF('Levantamento dutos'!$B217&lt;=Calculos!$Z$6,((('Levantamento dutos'!$B217)/100+('Levantamento dutos'!$C217)/100)*2)*'Levantamento dutos'!$D217,0),0)</f>
        <v>0</v>
      </c>
      <c r="F217" s="59">
        <f>IF('Levantamento dutos'!$B217&gt;Calculos!$Z$7,((('Levantamento dutos'!$B217)/100+('Levantamento dutos'!$C217)/100)*2)*'Levantamento dutos'!$D217,0)</f>
        <v>0</v>
      </c>
      <c r="G217">
        <f>(('Levantamento dutos'!B217+'Levantamento dutos'!C217)/100)*2</f>
        <v>0</v>
      </c>
      <c r="H217" s="58">
        <f>IF(CODE('Levantamento dutos'!$E217)=76,SUM($B217:$F217),0)</f>
        <v>0</v>
      </c>
      <c r="I217">
        <f>IF(CODE('Levantamento dutos'!$E217)=73,SUM($B217:$F217),0)</f>
        <v>0</v>
      </c>
      <c r="J217">
        <f>IF(CODE('Levantamento dutos'!$E217)=80,SUM($B217:$F217),0)</f>
        <v>0</v>
      </c>
      <c r="K217">
        <f>IF(CODE('Levantamento dutos'!$F217)=66,SUM($B217:$F217),0)</f>
        <v>0</v>
      </c>
      <c r="L217">
        <f>IF(CODE('Levantamento dutos'!$F217)=70,SUM($B217:$F217),0)</f>
        <v>0</v>
      </c>
      <c r="M217" s="59">
        <f>IF(CODE('Levantamento dutos'!$E217)=84,SUM($B217:$F217),0)</f>
        <v>0</v>
      </c>
      <c r="N217" s="60">
        <f>IF(CODE('Levantamento dutos'!$G217)=80,IF('Levantamento dutos'!$B217&lt;=200,('Levantamento dutos'!$D217/'Levantamento dutos'!$G$12*Calculos!$G217*2),0),0)</f>
        <v>0</v>
      </c>
      <c r="O217" s="60">
        <f>IF(CODE('Levantamento dutos'!$G217)=80,IF('Levantamento dutos'!$B217&gt;200,('Levantamento dutos'!$D217/'Levantamento dutos'!$G$12*Calculos!$G217*2),0),0)</f>
        <v>0</v>
      </c>
      <c r="P217" s="60">
        <f>IF(CODE('Levantamento dutos'!$G217)=67,('Levantamento dutos'!$D217/'Levantamento dutos'!$G$12*Calculos!$G217*2),0)</f>
        <v>0</v>
      </c>
      <c r="Q217" s="60">
        <f>IF(CODE('Levantamento dutos'!H217)=83,((('Levantamento dutos'!B217/100)+('Levantamento dutos'!$H$12/1000))+(('Levantamento dutos'!C217/100)+('Levantamento dutos'!$H$12)/1000))*2*'Levantamento dutos'!D217,0)</f>
        <v>0</v>
      </c>
      <c r="S217" s="60">
        <f>IF(CODE('Levantamento dutos'!$I217)=83,$Q217,0)</f>
        <v>0</v>
      </c>
      <c r="T217" s="60">
        <f>IF(CODE('Levantamento dutos'!$E217)=76,ROUND((('Levantamento dutos'!$D217/5)*(Calculos!$G217+0.2)*1.2),0),0)</f>
        <v>0</v>
      </c>
      <c r="U217" s="60">
        <f>IF(CODE('Levantamento dutos'!$E217)=73,ROUND((('Levantamento dutos'!$D217/0.5)*(Calculos!$G217+0.2)*1.2),0),0)</f>
        <v>0</v>
      </c>
      <c r="V217" s="60">
        <f>IF(CODE('Levantamento dutos'!$E217)=80,ROUND((('Levantamento dutos'!$D217/0.5)*(Calculos!$G217+0.2)*1.2),0),0)</f>
        <v>0</v>
      </c>
      <c r="W217" s="60">
        <f>IF(CODE('Levantamento dutos'!$E217)=76,'Levantamento dutos'!$D217/0.5*1.5,0)</f>
        <v>0</v>
      </c>
      <c r="X217" s="60">
        <f>IF(CODE('Levantamento dutos'!$E217)=73,'Levantamento dutos'!$D217/0.5*1.5,0)</f>
        <v>0</v>
      </c>
      <c r="Y217" s="60">
        <f>IF(CODE('Levantamento dutos'!$E217)=80,'Levantamento dutos'!$D217/0.5*1.5,0)</f>
        <v>0</v>
      </c>
      <c r="Z217" s="60">
        <f>IF(CODE('Levantamento dutos'!$E217)=76,ROUND(('Levantamento dutos'!$D217)+('Levantamento dutos'!$D217*Calculos!$G217*2)*1.1,0),0)</f>
        <v>0</v>
      </c>
      <c r="AA217" s="60">
        <f>IF(CODE('Levantamento dutos'!$G217)=80,('Levantamento dutos'!$D217/'Levantamento dutos'!$G$12)*8,0)</f>
        <v>0</v>
      </c>
      <c r="AB217" s="60">
        <f>IF(CODE('Levantamento dutos'!$G217)=80,IF('Levantamento dutos'!$B217&gt;30,('Levantamento dutos'!$D217/'Levantamento dutos'!$G$12)*4,0),0)</f>
        <v>0</v>
      </c>
      <c r="AC217" s="60">
        <f>IF('Levantamento dutos'!$B217&gt;220,('Levantamento dutos'!$D217/'Levantamento dutos'!$G$12*Calculos!$G217*2),0)</f>
        <v>0</v>
      </c>
      <c r="AD217" s="60">
        <f>IF(CODE('Levantamento dutos'!$E217)=73,((('Levantamento dutos'!$E$12/1000)+0.02)*'Levantamento dutos'!$D217)*4*1.3,0)</f>
        <v>0</v>
      </c>
      <c r="AE217" s="60">
        <f>IF(CODE('Levantamento dutos'!$E217)=80,((('Levantamento dutos'!$E$12/1000)+0.02)*'Levantamento dutos'!$D217)*4*1.3,0)</f>
        <v>0</v>
      </c>
    </row>
    <row r="218" spans="2:31" x14ac:dyDescent="0.2">
      <c r="B218" s="58">
        <f>IF('Levantamento dutos'!$B218&lt;=Calculos!$Z$3,((('Levantamento dutos'!$B218)/100+('Levantamento dutos'!$C218)/100)*2)*'Levantamento dutos'!$D218,0)</f>
        <v>0</v>
      </c>
      <c r="C218">
        <f>IF('Levantamento dutos'!$B218&gt;Calculos!$Z$3,IF('Levantamento dutos'!$B218&lt;=Calculos!$Z$4,((('Levantamento dutos'!$B218)/100+('Levantamento dutos'!$C218)/100)*2)*'Levantamento dutos'!$D218,0),0)</f>
        <v>0</v>
      </c>
      <c r="D218">
        <f>IF('Levantamento dutos'!$B218&gt;Calculos!$Z$4,IF('Levantamento dutos'!$B218&lt;=Calculos!$Z$5,((('Levantamento dutos'!$B218)/100+('Levantamento dutos'!$C218)/100)*2)*'Levantamento dutos'!$D218,0),0)</f>
        <v>0</v>
      </c>
      <c r="E218">
        <f>IF('Levantamento dutos'!$B218&gt;Calculos!$Z$5,IF('Levantamento dutos'!$B218&lt;=Calculos!$Z$6,((('Levantamento dutos'!$B218)/100+('Levantamento dutos'!$C218)/100)*2)*'Levantamento dutos'!$D218,0),0)</f>
        <v>0</v>
      </c>
      <c r="F218" s="59">
        <f>IF('Levantamento dutos'!$B218&gt;Calculos!$Z$7,((('Levantamento dutos'!$B218)/100+('Levantamento dutos'!$C218)/100)*2)*'Levantamento dutos'!$D218,0)</f>
        <v>0</v>
      </c>
      <c r="G218">
        <f>(('Levantamento dutos'!B218+'Levantamento dutos'!C218)/100)*2</f>
        <v>0</v>
      </c>
      <c r="H218" s="58">
        <f>IF(CODE('Levantamento dutos'!$E218)=76,SUM($B218:$F218),0)</f>
        <v>0</v>
      </c>
      <c r="I218">
        <f>IF(CODE('Levantamento dutos'!$E218)=73,SUM($B218:$F218),0)</f>
        <v>0</v>
      </c>
      <c r="J218">
        <f>IF(CODE('Levantamento dutos'!$E218)=80,SUM($B218:$F218),0)</f>
        <v>0</v>
      </c>
      <c r="K218">
        <f>IF(CODE('Levantamento dutos'!$F218)=66,SUM($B218:$F218),0)</f>
        <v>0</v>
      </c>
      <c r="L218">
        <f>IF(CODE('Levantamento dutos'!$F218)=70,SUM($B218:$F218),0)</f>
        <v>0</v>
      </c>
      <c r="M218" s="59">
        <f>IF(CODE('Levantamento dutos'!$E218)=84,SUM($B218:$F218),0)</f>
        <v>0</v>
      </c>
      <c r="N218" s="60">
        <f>IF(CODE('Levantamento dutos'!$G218)=80,IF('Levantamento dutos'!$B218&lt;=200,('Levantamento dutos'!$D218/'Levantamento dutos'!$G$12*Calculos!$G218*2),0),0)</f>
        <v>0</v>
      </c>
      <c r="O218" s="60">
        <f>IF(CODE('Levantamento dutos'!$G218)=80,IF('Levantamento dutos'!$B218&gt;200,('Levantamento dutos'!$D218/'Levantamento dutos'!$G$12*Calculos!$G218*2),0),0)</f>
        <v>0</v>
      </c>
      <c r="P218" s="60">
        <f>IF(CODE('Levantamento dutos'!$G218)=67,('Levantamento dutos'!$D218/'Levantamento dutos'!$G$12*Calculos!$G218*2),0)</f>
        <v>0</v>
      </c>
      <c r="Q218" s="60">
        <f>IF(CODE('Levantamento dutos'!H218)=83,((('Levantamento dutos'!B218/100)+('Levantamento dutos'!$H$12/1000))+(('Levantamento dutos'!C218/100)+('Levantamento dutos'!$H$12)/1000))*2*'Levantamento dutos'!D218,0)</f>
        <v>0</v>
      </c>
      <c r="S218" s="60">
        <f>IF(CODE('Levantamento dutos'!$I218)=83,$Q218,0)</f>
        <v>0</v>
      </c>
      <c r="T218" s="60">
        <f>IF(CODE('Levantamento dutos'!$E218)=76,ROUND((('Levantamento dutos'!$D218/5)*(Calculos!$G218+0.2)*1.2),0),0)</f>
        <v>0</v>
      </c>
      <c r="U218" s="60">
        <f>IF(CODE('Levantamento dutos'!$E218)=73,ROUND((('Levantamento dutos'!$D218/0.5)*(Calculos!$G218+0.2)*1.2),0),0)</f>
        <v>0</v>
      </c>
      <c r="V218" s="60">
        <f>IF(CODE('Levantamento dutos'!$E218)=80,ROUND((('Levantamento dutos'!$D218/0.5)*(Calculos!$G218+0.2)*1.2),0),0)</f>
        <v>0</v>
      </c>
      <c r="W218" s="60">
        <f>IF(CODE('Levantamento dutos'!$E218)=76,'Levantamento dutos'!$D218/0.5*1.5,0)</f>
        <v>0</v>
      </c>
      <c r="X218" s="60">
        <f>IF(CODE('Levantamento dutos'!$E218)=73,'Levantamento dutos'!$D218/0.5*1.5,0)</f>
        <v>0</v>
      </c>
      <c r="Y218" s="60">
        <f>IF(CODE('Levantamento dutos'!$E218)=80,'Levantamento dutos'!$D218/0.5*1.5,0)</f>
        <v>0</v>
      </c>
      <c r="Z218" s="60">
        <f>IF(CODE('Levantamento dutos'!$E218)=76,ROUND(('Levantamento dutos'!$D218)+('Levantamento dutos'!$D218*Calculos!$G218*2)*1.1,0),0)</f>
        <v>0</v>
      </c>
      <c r="AA218" s="60">
        <f>IF(CODE('Levantamento dutos'!$G218)=80,('Levantamento dutos'!$D218/'Levantamento dutos'!$G$12)*8,0)</f>
        <v>0</v>
      </c>
      <c r="AB218" s="60">
        <f>IF(CODE('Levantamento dutos'!$G218)=80,IF('Levantamento dutos'!$B218&gt;30,('Levantamento dutos'!$D218/'Levantamento dutos'!$G$12)*4,0),0)</f>
        <v>0</v>
      </c>
      <c r="AC218" s="60">
        <f>IF('Levantamento dutos'!$B218&gt;220,('Levantamento dutos'!$D218/'Levantamento dutos'!$G$12*Calculos!$G218*2),0)</f>
        <v>0</v>
      </c>
      <c r="AD218" s="60">
        <f>IF(CODE('Levantamento dutos'!$E218)=73,((('Levantamento dutos'!$E$12/1000)+0.02)*'Levantamento dutos'!$D218)*4*1.3,0)</f>
        <v>0</v>
      </c>
      <c r="AE218" s="60">
        <f>IF(CODE('Levantamento dutos'!$E218)=80,((('Levantamento dutos'!$E$12/1000)+0.02)*'Levantamento dutos'!$D218)*4*1.3,0)</f>
        <v>0</v>
      </c>
    </row>
    <row r="219" spans="2:31" x14ac:dyDescent="0.2">
      <c r="B219" s="58">
        <f>IF('Levantamento dutos'!$B219&lt;=Calculos!$Z$3,((('Levantamento dutos'!$B219)/100+('Levantamento dutos'!$C219)/100)*2)*'Levantamento dutos'!$D219,0)</f>
        <v>0</v>
      </c>
      <c r="C219">
        <f>IF('Levantamento dutos'!$B219&gt;Calculos!$Z$3,IF('Levantamento dutos'!$B219&lt;=Calculos!$Z$4,((('Levantamento dutos'!$B219)/100+('Levantamento dutos'!$C219)/100)*2)*'Levantamento dutos'!$D219,0),0)</f>
        <v>0</v>
      </c>
      <c r="D219">
        <f>IF('Levantamento dutos'!$B219&gt;Calculos!$Z$4,IF('Levantamento dutos'!$B219&lt;=Calculos!$Z$5,((('Levantamento dutos'!$B219)/100+('Levantamento dutos'!$C219)/100)*2)*'Levantamento dutos'!$D219,0),0)</f>
        <v>0</v>
      </c>
      <c r="E219">
        <f>IF('Levantamento dutos'!$B219&gt;Calculos!$Z$5,IF('Levantamento dutos'!$B219&lt;=Calculos!$Z$6,((('Levantamento dutos'!$B219)/100+('Levantamento dutos'!$C219)/100)*2)*'Levantamento dutos'!$D219,0),0)</f>
        <v>0</v>
      </c>
      <c r="F219" s="59">
        <f>IF('Levantamento dutos'!$B219&gt;Calculos!$Z$7,((('Levantamento dutos'!$B219)/100+('Levantamento dutos'!$C219)/100)*2)*'Levantamento dutos'!$D219,0)</f>
        <v>0</v>
      </c>
      <c r="G219">
        <f>(('Levantamento dutos'!B219+'Levantamento dutos'!C219)/100)*2</f>
        <v>0</v>
      </c>
      <c r="H219" s="58">
        <f>IF(CODE('Levantamento dutos'!$E219)=76,SUM($B219:$F219),0)</f>
        <v>0</v>
      </c>
      <c r="I219">
        <f>IF(CODE('Levantamento dutos'!$E219)=73,SUM($B219:$F219),0)</f>
        <v>0</v>
      </c>
      <c r="J219">
        <f>IF(CODE('Levantamento dutos'!$E219)=80,SUM($B219:$F219),0)</f>
        <v>0</v>
      </c>
      <c r="K219">
        <f>IF(CODE('Levantamento dutos'!$F219)=66,SUM($B219:$F219),0)</f>
        <v>0</v>
      </c>
      <c r="L219">
        <f>IF(CODE('Levantamento dutos'!$F219)=70,SUM($B219:$F219),0)</f>
        <v>0</v>
      </c>
      <c r="M219" s="59">
        <f>IF(CODE('Levantamento dutos'!$E219)=84,SUM($B219:$F219),0)</f>
        <v>0</v>
      </c>
      <c r="N219" s="60">
        <f>IF(CODE('Levantamento dutos'!$G219)=80,IF('Levantamento dutos'!$B219&lt;=200,('Levantamento dutos'!$D219/'Levantamento dutos'!$G$12*Calculos!$G219*2),0),0)</f>
        <v>0</v>
      </c>
      <c r="O219" s="60">
        <f>IF(CODE('Levantamento dutos'!$G219)=80,IF('Levantamento dutos'!$B219&gt;200,('Levantamento dutos'!$D219/'Levantamento dutos'!$G$12*Calculos!$G219*2),0),0)</f>
        <v>0</v>
      </c>
      <c r="P219" s="60">
        <f>IF(CODE('Levantamento dutos'!$G219)=67,('Levantamento dutos'!$D219/'Levantamento dutos'!$G$12*Calculos!$G219*2),0)</f>
        <v>0</v>
      </c>
      <c r="Q219" s="60">
        <f>IF(CODE('Levantamento dutos'!H219)=83,((('Levantamento dutos'!B219/100)+('Levantamento dutos'!$H$12/1000))+(('Levantamento dutos'!C219/100)+('Levantamento dutos'!$H$12)/1000))*2*'Levantamento dutos'!D219,0)</f>
        <v>0</v>
      </c>
      <c r="S219" s="60">
        <f>IF(CODE('Levantamento dutos'!$I219)=83,$Q219,0)</f>
        <v>0</v>
      </c>
      <c r="T219" s="60">
        <f>IF(CODE('Levantamento dutos'!$E219)=76,ROUND((('Levantamento dutos'!$D219/5)*(Calculos!$G219+0.2)*1.2),0),0)</f>
        <v>0</v>
      </c>
      <c r="U219" s="60">
        <f>IF(CODE('Levantamento dutos'!$E219)=73,ROUND((('Levantamento dutos'!$D219/0.5)*(Calculos!$G219+0.2)*1.2),0),0)</f>
        <v>0</v>
      </c>
      <c r="V219" s="60">
        <f>IF(CODE('Levantamento dutos'!$E219)=80,ROUND((('Levantamento dutos'!$D219/0.5)*(Calculos!$G219+0.2)*1.2),0),0)</f>
        <v>0</v>
      </c>
      <c r="W219" s="60">
        <f>IF(CODE('Levantamento dutos'!$E219)=76,'Levantamento dutos'!$D219/0.5*1.5,0)</f>
        <v>0</v>
      </c>
      <c r="X219" s="60">
        <f>IF(CODE('Levantamento dutos'!$E219)=73,'Levantamento dutos'!$D219/0.5*1.5,0)</f>
        <v>0</v>
      </c>
      <c r="Y219" s="60">
        <f>IF(CODE('Levantamento dutos'!$E219)=80,'Levantamento dutos'!$D219/0.5*1.5,0)</f>
        <v>0</v>
      </c>
      <c r="Z219" s="60">
        <f>IF(CODE('Levantamento dutos'!$E219)=76,ROUND(('Levantamento dutos'!$D219)+('Levantamento dutos'!$D219*Calculos!$G219*2)*1.1,0),0)</f>
        <v>0</v>
      </c>
      <c r="AA219" s="60">
        <f>IF(CODE('Levantamento dutos'!$G219)=80,('Levantamento dutos'!$D219/'Levantamento dutos'!$G$12)*8,0)</f>
        <v>0</v>
      </c>
      <c r="AB219" s="60">
        <f>IF(CODE('Levantamento dutos'!$G219)=80,IF('Levantamento dutos'!$B219&gt;30,('Levantamento dutos'!$D219/'Levantamento dutos'!$G$12)*4,0),0)</f>
        <v>0</v>
      </c>
      <c r="AC219" s="60">
        <f>IF('Levantamento dutos'!$B219&gt;220,('Levantamento dutos'!$D219/'Levantamento dutos'!$G$12*Calculos!$G219*2),0)</f>
        <v>0</v>
      </c>
      <c r="AD219" s="60">
        <f>IF(CODE('Levantamento dutos'!$E219)=73,((('Levantamento dutos'!$E$12/1000)+0.02)*'Levantamento dutos'!$D219)*4*1.3,0)</f>
        <v>0</v>
      </c>
      <c r="AE219" s="60">
        <f>IF(CODE('Levantamento dutos'!$E219)=80,((('Levantamento dutos'!$E$12/1000)+0.02)*'Levantamento dutos'!$D219)*4*1.3,0)</f>
        <v>0</v>
      </c>
    </row>
    <row r="220" spans="2:31" x14ac:dyDescent="0.2">
      <c r="B220" s="58">
        <f>IF('Levantamento dutos'!$B220&lt;=Calculos!$Z$3,((('Levantamento dutos'!$B220)/100+('Levantamento dutos'!$C220)/100)*2)*'Levantamento dutos'!$D220,0)</f>
        <v>0</v>
      </c>
      <c r="C220">
        <f>IF('Levantamento dutos'!$B220&gt;Calculos!$Z$3,IF('Levantamento dutos'!$B220&lt;=Calculos!$Z$4,((('Levantamento dutos'!$B220)/100+('Levantamento dutos'!$C220)/100)*2)*'Levantamento dutos'!$D220,0),0)</f>
        <v>0</v>
      </c>
      <c r="D220">
        <f>IF('Levantamento dutos'!$B220&gt;Calculos!$Z$4,IF('Levantamento dutos'!$B220&lt;=Calculos!$Z$5,((('Levantamento dutos'!$B220)/100+('Levantamento dutos'!$C220)/100)*2)*'Levantamento dutos'!$D220,0),0)</f>
        <v>0</v>
      </c>
      <c r="E220">
        <f>IF('Levantamento dutos'!$B220&gt;Calculos!$Z$5,IF('Levantamento dutos'!$B220&lt;=Calculos!$Z$6,((('Levantamento dutos'!$B220)/100+('Levantamento dutos'!$C220)/100)*2)*'Levantamento dutos'!$D220,0),0)</f>
        <v>0</v>
      </c>
      <c r="F220" s="59">
        <f>IF('Levantamento dutos'!$B220&gt;Calculos!$Z$7,((('Levantamento dutos'!$B220)/100+('Levantamento dutos'!$C220)/100)*2)*'Levantamento dutos'!$D220,0)</f>
        <v>0</v>
      </c>
      <c r="G220">
        <f>(('Levantamento dutos'!B220+'Levantamento dutos'!C220)/100)*2</f>
        <v>0</v>
      </c>
      <c r="H220" s="58">
        <f>IF(CODE('Levantamento dutos'!$E220)=76,SUM($B220:$F220),0)</f>
        <v>0</v>
      </c>
      <c r="I220">
        <f>IF(CODE('Levantamento dutos'!$E220)=73,SUM($B220:$F220),0)</f>
        <v>0</v>
      </c>
      <c r="J220">
        <f>IF(CODE('Levantamento dutos'!$E220)=80,SUM($B220:$F220),0)</f>
        <v>0</v>
      </c>
      <c r="K220">
        <f>IF(CODE('Levantamento dutos'!$F220)=66,SUM($B220:$F220),0)</f>
        <v>0</v>
      </c>
      <c r="L220">
        <f>IF(CODE('Levantamento dutos'!$F220)=70,SUM($B220:$F220),0)</f>
        <v>0</v>
      </c>
      <c r="M220" s="59">
        <f>IF(CODE('Levantamento dutos'!$E220)=84,SUM($B220:$F220),0)</f>
        <v>0</v>
      </c>
      <c r="N220" s="60">
        <f>IF(CODE('Levantamento dutos'!$G220)=80,IF('Levantamento dutos'!$B220&lt;=200,('Levantamento dutos'!$D220/'Levantamento dutos'!$G$12*Calculos!$G220*2),0),0)</f>
        <v>0</v>
      </c>
      <c r="O220" s="60">
        <f>IF(CODE('Levantamento dutos'!$G220)=80,IF('Levantamento dutos'!$B220&gt;200,('Levantamento dutos'!$D220/'Levantamento dutos'!$G$12*Calculos!$G220*2),0),0)</f>
        <v>0</v>
      </c>
      <c r="P220" s="60">
        <f>IF(CODE('Levantamento dutos'!$G220)=67,('Levantamento dutos'!$D220/'Levantamento dutos'!$G$12*Calculos!$G220*2),0)</f>
        <v>0</v>
      </c>
      <c r="Q220" s="60">
        <f>IF(CODE('Levantamento dutos'!H220)=83,((('Levantamento dutos'!B220/100)+('Levantamento dutos'!$H$12/1000))+(('Levantamento dutos'!C220/100)+('Levantamento dutos'!$H$12)/1000))*2*'Levantamento dutos'!D220,0)</f>
        <v>0</v>
      </c>
      <c r="S220" s="60">
        <f>IF(CODE('Levantamento dutos'!$I220)=83,$Q220,0)</f>
        <v>0</v>
      </c>
      <c r="T220" s="60">
        <f>IF(CODE('Levantamento dutos'!$E220)=76,ROUND((('Levantamento dutos'!$D220/5)*(Calculos!$G220+0.2)*1.2),0),0)</f>
        <v>0</v>
      </c>
      <c r="U220" s="60">
        <f>IF(CODE('Levantamento dutos'!$E220)=73,ROUND((('Levantamento dutos'!$D220/0.5)*(Calculos!$G220+0.2)*1.2),0),0)</f>
        <v>0</v>
      </c>
      <c r="V220" s="60">
        <f>IF(CODE('Levantamento dutos'!$E220)=80,ROUND((('Levantamento dutos'!$D220/0.5)*(Calculos!$G220+0.2)*1.2),0),0)</f>
        <v>0</v>
      </c>
      <c r="W220" s="60">
        <f>IF(CODE('Levantamento dutos'!$E220)=76,'Levantamento dutos'!$D220/0.5*1.5,0)</f>
        <v>0</v>
      </c>
      <c r="X220" s="60">
        <f>IF(CODE('Levantamento dutos'!$E220)=73,'Levantamento dutos'!$D220/0.5*1.5,0)</f>
        <v>0</v>
      </c>
      <c r="Y220" s="60">
        <f>IF(CODE('Levantamento dutos'!$E220)=80,'Levantamento dutos'!$D220/0.5*1.5,0)</f>
        <v>0</v>
      </c>
      <c r="Z220" s="60">
        <f>IF(CODE('Levantamento dutos'!$E220)=76,ROUND(('Levantamento dutos'!$D220)+('Levantamento dutos'!$D220*Calculos!$G220*2)*1.1,0),0)</f>
        <v>0</v>
      </c>
      <c r="AA220" s="60">
        <f>IF(CODE('Levantamento dutos'!$G220)=80,('Levantamento dutos'!$D220/'Levantamento dutos'!$G$12)*8,0)</f>
        <v>0</v>
      </c>
      <c r="AB220" s="60">
        <f>IF(CODE('Levantamento dutos'!$G220)=80,IF('Levantamento dutos'!$B220&gt;30,('Levantamento dutos'!$D220/'Levantamento dutos'!$G$12)*4,0),0)</f>
        <v>0</v>
      </c>
      <c r="AC220" s="60">
        <f>IF('Levantamento dutos'!$B220&gt;220,('Levantamento dutos'!$D220/'Levantamento dutos'!$G$12*Calculos!$G220*2),0)</f>
        <v>0</v>
      </c>
      <c r="AD220" s="60">
        <f>IF(CODE('Levantamento dutos'!$E220)=73,((('Levantamento dutos'!$E$12/1000)+0.02)*'Levantamento dutos'!$D220)*4*1.3,0)</f>
        <v>0</v>
      </c>
      <c r="AE220" s="60">
        <f>IF(CODE('Levantamento dutos'!$E220)=80,((('Levantamento dutos'!$E$12/1000)+0.02)*'Levantamento dutos'!$D220)*4*1.3,0)</f>
        <v>0</v>
      </c>
    </row>
    <row r="221" spans="2:31" x14ac:dyDescent="0.2">
      <c r="B221" s="58">
        <f>IF('Levantamento dutos'!$B221&lt;=Calculos!$Z$3,((('Levantamento dutos'!$B221)/100+('Levantamento dutos'!$C221)/100)*2)*'Levantamento dutos'!$D221,0)</f>
        <v>0</v>
      </c>
      <c r="C221">
        <f>IF('Levantamento dutos'!$B221&gt;Calculos!$Z$3,IF('Levantamento dutos'!$B221&lt;=Calculos!$Z$4,((('Levantamento dutos'!$B221)/100+('Levantamento dutos'!$C221)/100)*2)*'Levantamento dutos'!$D221,0),0)</f>
        <v>0</v>
      </c>
      <c r="D221">
        <f>IF('Levantamento dutos'!$B221&gt;Calculos!$Z$4,IF('Levantamento dutos'!$B221&lt;=Calculos!$Z$5,((('Levantamento dutos'!$B221)/100+('Levantamento dutos'!$C221)/100)*2)*'Levantamento dutos'!$D221,0),0)</f>
        <v>0</v>
      </c>
      <c r="E221">
        <f>IF('Levantamento dutos'!$B221&gt;Calculos!$Z$5,IF('Levantamento dutos'!$B221&lt;=Calculos!$Z$6,((('Levantamento dutos'!$B221)/100+('Levantamento dutos'!$C221)/100)*2)*'Levantamento dutos'!$D221,0),0)</f>
        <v>0</v>
      </c>
      <c r="F221" s="59">
        <f>IF('Levantamento dutos'!$B221&gt;Calculos!$Z$7,((('Levantamento dutos'!$B221)/100+('Levantamento dutos'!$C221)/100)*2)*'Levantamento dutos'!$D221,0)</f>
        <v>0</v>
      </c>
      <c r="G221">
        <f>(('Levantamento dutos'!B221+'Levantamento dutos'!C221)/100)*2</f>
        <v>0</v>
      </c>
      <c r="H221" s="58">
        <f>IF(CODE('Levantamento dutos'!$E221)=76,SUM($B221:$F221),0)</f>
        <v>0</v>
      </c>
      <c r="I221">
        <f>IF(CODE('Levantamento dutos'!$E221)=73,SUM($B221:$F221),0)</f>
        <v>0</v>
      </c>
      <c r="J221">
        <f>IF(CODE('Levantamento dutos'!$E221)=80,SUM($B221:$F221),0)</f>
        <v>0</v>
      </c>
      <c r="K221">
        <f>IF(CODE('Levantamento dutos'!$F221)=66,SUM($B221:$F221),0)</f>
        <v>0</v>
      </c>
      <c r="L221">
        <f>IF(CODE('Levantamento dutos'!$F221)=70,SUM($B221:$F221),0)</f>
        <v>0</v>
      </c>
      <c r="M221" s="59">
        <f>IF(CODE('Levantamento dutos'!$E221)=84,SUM($B221:$F221),0)</f>
        <v>0</v>
      </c>
      <c r="N221" s="60">
        <f>IF(CODE('Levantamento dutos'!$G221)=80,IF('Levantamento dutos'!$B221&lt;=200,('Levantamento dutos'!$D221/'Levantamento dutos'!$G$12*Calculos!$G221*2),0),0)</f>
        <v>0</v>
      </c>
      <c r="O221" s="60">
        <f>IF(CODE('Levantamento dutos'!$G221)=80,IF('Levantamento dutos'!$B221&gt;200,('Levantamento dutos'!$D221/'Levantamento dutos'!$G$12*Calculos!$G221*2),0),0)</f>
        <v>0</v>
      </c>
      <c r="P221" s="60">
        <f>IF(CODE('Levantamento dutos'!$G221)=67,('Levantamento dutos'!$D221/'Levantamento dutos'!$G$12*Calculos!$G221*2),0)</f>
        <v>0</v>
      </c>
      <c r="Q221" s="60">
        <f>IF(CODE('Levantamento dutos'!H221)=83,((('Levantamento dutos'!B221/100)+('Levantamento dutos'!$H$12/1000))+(('Levantamento dutos'!C221/100)+('Levantamento dutos'!$H$12)/1000))*2*'Levantamento dutos'!D221,0)</f>
        <v>0</v>
      </c>
      <c r="S221" s="60">
        <f>IF(CODE('Levantamento dutos'!$I221)=83,$Q221,0)</f>
        <v>0</v>
      </c>
      <c r="T221" s="60">
        <f>IF(CODE('Levantamento dutos'!$E221)=76,ROUND((('Levantamento dutos'!$D221/5)*(Calculos!$G221+0.2)*1.2),0),0)</f>
        <v>0</v>
      </c>
      <c r="U221" s="60">
        <f>IF(CODE('Levantamento dutos'!$E221)=73,ROUND((('Levantamento dutos'!$D221/0.5)*(Calculos!$G221+0.2)*1.2),0),0)</f>
        <v>0</v>
      </c>
      <c r="V221" s="60">
        <f>IF(CODE('Levantamento dutos'!$E221)=80,ROUND((('Levantamento dutos'!$D221/0.5)*(Calculos!$G221+0.2)*1.2),0),0)</f>
        <v>0</v>
      </c>
      <c r="W221" s="60">
        <f>IF(CODE('Levantamento dutos'!$E221)=76,'Levantamento dutos'!$D221/0.5*1.5,0)</f>
        <v>0</v>
      </c>
      <c r="X221" s="60">
        <f>IF(CODE('Levantamento dutos'!$E221)=73,'Levantamento dutos'!$D221/0.5*1.5,0)</f>
        <v>0</v>
      </c>
      <c r="Y221" s="60">
        <f>IF(CODE('Levantamento dutos'!$E221)=80,'Levantamento dutos'!$D221/0.5*1.5,0)</f>
        <v>0</v>
      </c>
      <c r="Z221" s="60">
        <f>IF(CODE('Levantamento dutos'!$E221)=76,ROUND(('Levantamento dutos'!$D221)+('Levantamento dutos'!$D221*Calculos!$G221*2)*1.1,0),0)</f>
        <v>0</v>
      </c>
      <c r="AA221" s="60">
        <f>IF(CODE('Levantamento dutos'!$G221)=80,('Levantamento dutos'!$D221/'Levantamento dutos'!$G$12)*8,0)</f>
        <v>0</v>
      </c>
      <c r="AB221" s="60">
        <f>IF(CODE('Levantamento dutos'!$G221)=80,IF('Levantamento dutos'!$B221&gt;30,('Levantamento dutos'!$D221/'Levantamento dutos'!$G$12)*4,0),0)</f>
        <v>0</v>
      </c>
      <c r="AC221" s="60">
        <f>IF('Levantamento dutos'!$B221&gt;220,('Levantamento dutos'!$D221/'Levantamento dutos'!$G$12*Calculos!$G221*2),0)</f>
        <v>0</v>
      </c>
      <c r="AD221" s="60">
        <f>IF(CODE('Levantamento dutos'!$E221)=73,((('Levantamento dutos'!$E$12/1000)+0.02)*'Levantamento dutos'!$D221)*4*1.3,0)</f>
        <v>0</v>
      </c>
      <c r="AE221" s="60">
        <f>IF(CODE('Levantamento dutos'!$E221)=80,((('Levantamento dutos'!$E$12/1000)+0.02)*'Levantamento dutos'!$D221)*4*1.3,0)</f>
        <v>0</v>
      </c>
    </row>
    <row r="222" spans="2:31" x14ac:dyDescent="0.2">
      <c r="B222" s="58">
        <f>IF('Levantamento dutos'!$B222&lt;=Calculos!$Z$3,((('Levantamento dutos'!$B222)/100+('Levantamento dutos'!$C222)/100)*2)*'Levantamento dutos'!$D222,0)</f>
        <v>0</v>
      </c>
      <c r="C222">
        <f>IF('Levantamento dutos'!$B222&gt;Calculos!$Z$3,IF('Levantamento dutos'!$B222&lt;=Calculos!$Z$4,((('Levantamento dutos'!$B222)/100+('Levantamento dutos'!$C222)/100)*2)*'Levantamento dutos'!$D222,0),0)</f>
        <v>0</v>
      </c>
      <c r="D222">
        <f>IF('Levantamento dutos'!$B222&gt;Calculos!$Z$4,IF('Levantamento dutos'!$B222&lt;=Calculos!$Z$5,((('Levantamento dutos'!$B222)/100+('Levantamento dutos'!$C222)/100)*2)*'Levantamento dutos'!$D222,0),0)</f>
        <v>0</v>
      </c>
      <c r="E222">
        <f>IF('Levantamento dutos'!$B222&gt;Calculos!$Z$5,IF('Levantamento dutos'!$B222&lt;=Calculos!$Z$6,((('Levantamento dutos'!$B222)/100+('Levantamento dutos'!$C222)/100)*2)*'Levantamento dutos'!$D222,0),0)</f>
        <v>0</v>
      </c>
      <c r="F222" s="59">
        <f>IF('Levantamento dutos'!$B222&gt;Calculos!$Z$7,((('Levantamento dutos'!$B222)/100+('Levantamento dutos'!$C222)/100)*2)*'Levantamento dutos'!$D222,0)</f>
        <v>0</v>
      </c>
      <c r="G222">
        <f>(('Levantamento dutos'!B222+'Levantamento dutos'!C222)/100)*2</f>
        <v>0</v>
      </c>
      <c r="H222" s="58">
        <f>IF(CODE('Levantamento dutos'!$E222)=76,SUM($B222:$F222),0)</f>
        <v>0</v>
      </c>
      <c r="I222">
        <f>IF(CODE('Levantamento dutos'!$E222)=73,SUM($B222:$F222),0)</f>
        <v>0</v>
      </c>
      <c r="J222">
        <f>IF(CODE('Levantamento dutos'!$E222)=80,SUM($B222:$F222),0)</f>
        <v>0</v>
      </c>
      <c r="K222">
        <f>IF(CODE('Levantamento dutos'!$F222)=66,SUM($B222:$F222),0)</f>
        <v>0</v>
      </c>
      <c r="L222">
        <f>IF(CODE('Levantamento dutos'!$F222)=70,SUM($B222:$F222),0)</f>
        <v>0</v>
      </c>
      <c r="M222" s="59">
        <f>IF(CODE('Levantamento dutos'!$E222)=84,SUM($B222:$F222),0)</f>
        <v>0</v>
      </c>
      <c r="N222" s="60">
        <f>IF(CODE('Levantamento dutos'!$G222)=80,IF('Levantamento dutos'!$B222&lt;=200,('Levantamento dutos'!$D222/'Levantamento dutos'!$G$12*Calculos!$G222*2),0),0)</f>
        <v>0</v>
      </c>
      <c r="O222" s="60">
        <f>IF(CODE('Levantamento dutos'!$G222)=80,IF('Levantamento dutos'!$B222&gt;200,('Levantamento dutos'!$D222/'Levantamento dutos'!$G$12*Calculos!$G222*2),0),0)</f>
        <v>0</v>
      </c>
      <c r="P222" s="60">
        <f>IF(CODE('Levantamento dutos'!$G222)=67,('Levantamento dutos'!$D222/'Levantamento dutos'!$G$12*Calculos!$G222*2),0)</f>
        <v>0</v>
      </c>
      <c r="Q222" s="60">
        <f>IF(CODE('Levantamento dutos'!H222)=83,((('Levantamento dutos'!B222/100)+('Levantamento dutos'!$H$12/1000))+(('Levantamento dutos'!C222/100)+('Levantamento dutos'!$H$12)/1000))*2*'Levantamento dutos'!D222,0)</f>
        <v>0</v>
      </c>
      <c r="S222" s="60">
        <f>IF(CODE('Levantamento dutos'!$I222)=83,$Q222,0)</f>
        <v>0</v>
      </c>
      <c r="T222" s="60">
        <f>IF(CODE('Levantamento dutos'!$E222)=76,ROUND((('Levantamento dutos'!$D222/5)*(Calculos!$G222+0.2)*1.2),0),0)</f>
        <v>0</v>
      </c>
      <c r="U222" s="60">
        <f>IF(CODE('Levantamento dutos'!$E222)=73,ROUND((('Levantamento dutos'!$D222/0.5)*(Calculos!$G222+0.2)*1.2),0),0)</f>
        <v>0</v>
      </c>
      <c r="V222" s="60">
        <f>IF(CODE('Levantamento dutos'!$E222)=80,ROUND((('Levantamento dutos'!$D222/0.5)*(Calculos!$G222+0.2)*1.2),0),0)</f>
        <v>0</v>
      </c>
      <c r="W222" s="60">
        <f>IF(CODE('Levantamento dutos'!$E222)=76,'Levantamento dutos'!$D222/0.5*1.5,0)</f>
        <v>0</v>
      </c>
      <c r="X222" s="60">
        <f>IF(CODE('Levantamento dutos'!$E222)=73,'Levantamento dutos'!$D222/0.5*1.5,0)</f>
        <v>0</v>
      </c>
      <c r="Y222" s="60">
        <f>IF(CODE('Levantamento dutos'!$E222)=80,'Levantamento dutos'!$D222/0.5*1.5,0)</f>
        <v>0</v>
      </c>
      <c r="Z222" s="60">
        <f>IF(CODE('Levantamento dutos'!$E222)=76,ROUND(('Levantamento dutos'!$D222)+('Levantamento dutos'!$D222*Calculos!$G222*2)*1.1,0),0)</f>
        <v>0</v>
      </c>
      <c r="AA222" s="60">
        <f>IF(CODE('Levantamento dutos'!$G222)=80,('Levantamento dutos'!$D222/'Levantamento dutos'!$G$12)*8,0)</f>
        <v>0</v>
      </c>
      <c r="AB222" s="60">
        <f>IF(CODE('Levantamento dutos'!$G222)=80,IF('Levantamento dutos'!$B222&gt;30,('Levantamento dutos'!$D222/'Levantamento dutos'!$G$12)*4,0),0)</f>
        <v>0</v>
      </c>
      <c r="AC222" s="60">
        <f>IF('Levantamento dutos'!$B222&gt;220,('Levantamento dutos'!$D222/'Levantamento dutos'!$G$12*Calculos!$G222*2),0)</f>
        <v>0</v>
      </c>
      <c r="AD222" s="60">
        <f>IF(CODE('Levantamento dutos'!$E222)=73,((('Levantamento dutos'!$E$12/1000)+0.02)*'Levantamento dutos'!$D222)*4*1.3,0)</f>
        <v>0</v>
      </c>
      <c r="AE222" s="60">
        <f>IF(CODE('Levantamento dutos'!$E222)=80,((('Levantamento dutos'!$E$12/1000)+0.02)*'Levantamento dutos'!$D222)*4*1.3,0)</f>
        <v>0</v>
      </c>
    </row>
    <row r="223" spans="2:31" x14ac:dyDescent="0.2">
      <c r="B223" s="58">
        <f>IF('Levantamento dutos'!$B223&lt;=Calculos!$Z$3,((('Levantamento dutos'!$B223)/100+('Levantamento dutos'!$C223)/100)*2)*'Levantamento dutos'!$D223,0)</f>
        <v>0</v>
      </c>
      <c r="C223">
        <f>IF('Levantamento dutos'!$B223&gt;Calculos!$Z$3,IF('Levantamento dutos'!$B223&lt;=Calculos!$Z$4,((('Levantamento dutos'!$B223)/100+('Levantamento dutos'!$C223)/100)*2)*'Levantamento dutos'!$D223,0),0)</f>
        <v>0</v>
      </c>
      <c r="D223">
        <f>IF('Levantamento dutos'!$B223&gt;Calculos!$Z$4,IF('Levantamento dutos'!$B223&lt;=Calculos!$Z$5,((('Levantamento dutos'!$B223)/100+('Levantamento dutos'!$C223)/100)*2)*'Levantamento dutos'!$D223,0),0)</f>
        <v>0</v>
      </c>
      <c r="E223">
        <f>IF('Levantamento dutos'!$B223&gt;Calculos!$Z$5,IF('Levantamento dutos'!$B223&lt;=Calculos!$Z$6,((('Levantamento dutos'!$B223)/100+('Levantamento dutos'!$C223)/100)*2)*'Levantamento dutos'!$D223,0),0)</f>
        <v>0</v>
      </c>
      <c r="F223" s="59">
        <f>IF('Levantamento dutos'!$B223&gt;Calculos!$Z$7,((('Levantamento dutos'!$B223)/100+('Levantamento dutos'!$C223)/100)*2)*'Levantamento dutos'!$D223,0)</f>
        <v>0</v>
      </c>
      <c r="G223">
        <f>(('Levantamento dutos'!B223+'Levantamento dutos'!C223)/100)*2</f>
        <v>0</v>
      </c>
      <c r="H223" s="58">
        <f>IF(CODE('Levantamento dutos'!$E223)=76,SUM($B223:$F223),0)</f>
        <v>0</v>
      </c>
      <c r="I223">
        <f>IF(CODE('Levantamento dutos'!$E223)=73,SUM($B223:$F223),0)</f>
        <v>0</v>
      </c>
      <c r="J223">
        <f>IF(CODE('Levantamento dutos'!$E223)=80,SUM($B223:$F223),0)</f>
        <v>0</v>
      </c>
      <c r="K223">
        <f>IF(CODE('Levantamento dutos'!$F223)=66,SUM($B223:$F223),0)</f>
        <v>0</v>
      </c>
      <c r="L223">
        <f>IF(CODE('Levantamento dutos'!$F223)=70,SUM($B223:$F223),0)</f>
        <v>0</v>
      </c>
      <c r="M223" s="59">
        <f>IF(CODE('Levantamento dutos'!$E223)=84,SUM($B223:$F223),0)</f>
        <v>0</v>
      </c>
      <c r="N223" s="60">
        <f>IF(CODE('Levantamento dutos'!$G223)=80,IF('Levantamento dutos'!$B223&lt;=200,('Levantamento dutos'!$D223/'Levantamento dutos'!$G$12*Calculos!$G223*2),0),0)</f>
        <v>0</v>
      </c>
      <c r="O223" s="60">
        <f>IF(CODE('Levantamento dutos'!$G223)=80,IF('Levantamento dutos'!$B223&gt;200,('Levantamento dutos'!$D223/'Levantamento dutos'!$G$12*Calculos!$G223*2),0),0)</f>
        <v>0</v>
      </c>
      <c r="P223" s="60">
        <f>IF(CODE('Levantamento dutos'!$G223)=67,('Levantamento dutos'!$D223/'Levantamento dutos'!$G$12*Calculos!$G223*2),0)</f>
        <v>0</v>
      </c>
      <c r="Q223" s="60">
        <f>IF(CODE('Levantamento dutos'!H223)=83,((('Levantamento dutos'!B223/100)+('Levantamento dutos'!$H$12/1000))+(('Levantamento dutos'!C223/100)+('Levantamento dutos'!$H$12)/1000))*2*'Levantamento dutos'!D223,0)</f>
        <v>0</v>
      </c>
      <c r="S223" s="60">
        <f>IF(CODE('Levantamento dutos'!$I223)=83,$Q223,0)</f>
        <v>0</v>
      </c>
      <c r="T223" s="60">
        <f>IF(CODE('Levantamento dutos'!$E223)=76,ROUND((('Levantamento dutos'!$D223/5)*(Calculos!$G223+0.2)*1.2),0),0)</f>
        <v>0</v>
      </c>
      <c r="U223" s="60">
        <f>IF(CODE('Levantamento dutos'!$E223)=73,ROUND((('Levantamento dutos'!$D223/0.5)*(Calculos!$G223+0.2)*1.2),0),0)</f>
        <v>0</v>
      </c>
      <c r="V223" s="60">
        <f>IF(CODE('Levantamento dutos'!$E223)=80,ROUND((('Levantamento dutos'!$D223/0.5)*(Calculos!$G223+0.2)*1.2),0),0)</f>
        <v>0</v>
      </c>
      <c r="W223" s="60">
        <f>IF(CODE('Levantamento dutos'!$E223)=76,'Levantamento dutos'!$D223/0.5*1.5,0)</f>
        <v>0</v>
      </c>
      <c r="X223" s="60">
        <f>IF(CODE('Levantamento dutos'!$E223)=73,'Levantamento dutos'!$D223/0.5*1.5,0)</f>
        <v>0</v>
      </c>
      <c r="Y223" s="60">
        <f>IF(CODE('Levantamento dutos'!$E223)=80,'Levantamento dutos'!$D223/0.5*1.5,0)</f>
        <v>0</v>
      </c>
      <c r="Z223" s="60">
        <f>IF(CODE('Levantamento dutos'!$E223)=76,ROUND(('Levantamento dutos'!$D223)+('Levantamento dutos'!$D223*Calculos!$G223*2)*1.1,0),0)</f>
        <v>0</v>
      </c>
      <c r="AA223" s="60">
        <f>IF(CODE('Levantamento dutos'!$G223)=80,('Levantamento dutos'!$D223/'Levantamento dutos'!$G$12)*8,0)</f>
        <v>0</v>
      </c>
      <c r="AB223" s="60">
        <f>IF(CODE('Levantamento dutos'!$G223)=80,IF('Levantamento dutos'!$B223&gt;30,('Levantamento dutos'!$D223/'Levantamento dutos'!$G$12)*4,0),0)</f>
        <v>0</v>
      </c>
      <c r="AC223" s="60">
        <f>IF('Levantamento dutos'!$B223&gt;220,('Levantamento dutos'!$D223/'Levantamento dutos'!$G$12*Calculos!$G223*2),0)</f>
        <v>0</v>
      </c>
      <c r="AD223" s="60">
        <f>IF(CODE('Levantamento dutos'!$E223)=73,((('Levantamento dutos'!$E$12/1000)+0.02)*'Levantamento dutos'!$D223)*4*1.3,0)</f>
        <v>0</v>
      </c>
      <c r="AE223" s="60">
        <f>IF(CODE('Levantamento dutos'!$E223)=80,((('Levantamento dutos'!$E$12/1000)+0.02)*'Levantamento dutos'!$D223)*4*1.3,0)</f>
        <v>0</v>
      </c>
    </row>
    <row r="224" spans="2:31" x14ac:dyDescent="0.2">
      <c r="B224" s="58">
        <f>IF('Levantamento dutos'!$B224&lt;=Calculos!$Z$3,((('Levantamento dutos'!$B224)/100+('Levantamento dutos'!$C224)/100)*2)*'Levantamento dutos'!$D224,0)</f>
        <v>0</v>
      </c>
      <c r="C224">
        <f>IF('Levantamento dutos'!$B224&gt;Calculos!$Z$3,IF('Levantamento dutos'!$B224&lt;=Calculos!$Z$4,((('Levantamento dutos'!$B224)/100+('Levantamento dutos'!$C224)/100)*2)*'Levantamento dutos'!$D224,0),0)</f>
        <v>0</v>
      </c>
      <c r="D224">
        <f>IF('Levantamento dutos'!$B224&gt;Calculos!$Z$4,IF('Levantamento dutos'!$B224&lt;=Calculos!$Z$5,((('Levantamento dutos'!$B224)/100+('Levantamento dutos'!$C224)/100)*2)*'Levantamento dutos'!$D224,0),0)</f>
        <v>0</v>
      </c>
      <c r="E224">
        <f>IF('Levantamento dutos'!$B224&gt;Calculos!$Z$5,IF('Levantamento dutos'!$B224&lt;=Calculos!$Z$6,((('Levantamento dutos'!$B224)/100+('Levantamento dutos'!$C224)/100)*2)*'Levantamento dutos'!$D224,0),0)</f>
        <v>0</v>
      </c>
      <c r="F224" s="59">
        <f>IF('Levantamento dutos'!$B224&gt;Calculos!$Z$7,((('Levantamento dutos'!$B224)/100+('Levantamento dutos'!$C224)/100)*2)*'Levantamento dutos'!$D224,0)</f>
        <v>0</v>
      </c>
      <c r="G224">
        <f>(('Levantamento dutos'!B224+'Levantamento dutos'!C224)/100)*2</f>
        <v>0</v>
      </c>
      <c r="H224" s="58">
        <f>IF(CODE('Levantamento dutos'!$E224)=76,SUM($B224:$F224),0)</f>
        <v>0</v>
      </c>
      <c r="I224">
        <f>IF(CODE('Levantamento dutos'!$E224)=73,SUM($B224:$F224),0)</f>
        <v>0</v>
      </c>
      <c r="J224">
        <f>IF(CODE('Levantamento dutos'!$E224)=80,SUM($B224:$F224),0)</f>
        <v>0</v>
      </c>
      <c r="K224">
        <f>IF(CODE('Levantamento dutos'!$F224)=66,SUM($B224:$F224),0)</f>
        <v>0</v>
      </c>
      <c r="L224">
        <f>IF(CODE('Levantamento dutos'!$F224)=70,SUM($B224:$F224),0)</f>
        <v>0</v>
      </c>
      <c r="M224" s="59">
        <f>IF(CODE('Levantamento dutos'!$E224)=84,SUM($B224:$F224),0)</f>
        <v>0</v>
      </c>
      <c r="N224" s="60">
        <f>IF(CODE('Levantamento dutos'!$G224)=80,IF('Levantamento dutos'!$B224&lt;=200,('Levantamento dutos'!$D224/'Levantamento dutos'!$G$12*Calculos!$G224*2),0),0)</f>
        <v>0</v>
      </c>
      <c r="O224" s="60">
        <f>IF(CODE('Levantamento dutos'!$G224)=80,IF('Levantamento dutos'!$B224&gt;200,('Levantamento dutos'!$D224/'Levantamento dutos'!$G$12*Calculos!$G224*2),0),0)</f>
        <v>0</v>
      </c>
      <c r="P224" s="60">
        <f>IF(CODE('Levantamento dutos'!$G224)=67,('Levantamento dutos'!$D224/'Levantamento dutos'!$G$12*Calculos!$G224*2),0)</f>
        <v>0</v>
      </c>
      <c r="Q224" s="60">
        <f>IF(CODE('Levantamento dutos'!H224)=83,((('Levantamento dutos'!B224/100)+('Levantamento dutos'!$H$12/1000))+(('Levantamento dutos'!C224/100)+('Levantamento dutos'!$H$12)/1000))*2*'Levantamento dutos'!D224,0)</f>
        <v>0</v>
      </c>
      <c r="S224" s="60">
        <f>IF(CODE('Levantamento dutos'!$I224)=83,$Q224,0)</f>
        <v>0</v>
      </c>
      <c r="T224" s="60">
        <f>IF(CODE('Levantamento dutos'!$E224)=76,ROUND((('Levantamento dutos'!$D224/5)*(Calculos!$G224+0.2)*1.2),0),0)</f>
        <v>0</v>
      </c>
      <c r="U224" s="60">
        <f>IF(CODE('Levantamento dutos'!$E224)=73,ROUND((('Levantamento dutos'!$D224/0.5)*(Calculos!$G224+0.2)*1.2),0),0)</f>
        <v>0</v>
      </c>
      <c r="V224" s="60">
        <f>IF(CODE('Levantamento dutos'!$E224)=80,ROUND((('Levantamento dutos'!$D224/0.5)*(Calculos!$G224+0.2)*1.2),0),0)</f>
        <v>0</v>
      </c>
      <c r="W224" s="60">
        <f>IF(CODE('Levantamento dutos'!$E224)=76,'Levantamento dutos'!$D224/0.5*1.5,0)</f>
        <v>0</v>
      </c>
      <c r="X224" s="60">
        <f>IF(CODE('Levantamento dutos'!$E224)=73,'Levantamento dutos'!$D224/0.5*1.5,0)</f>
        <v>0</v>
      </c>
      <c r="Y224" s="60">
        <f>IF(CODE('Levantamento dutos'!$E224)=80,'Levantamento dutos'!$D224/0.5*1.5,0)</f>
        <v>0</v>
      </c>
      <c r="Z224" s="60">
        <f>IF(CODE('Levantamento dutos'!$E224)=76,ROUND(('Levantamento dutos'!$D224)+('Levantamento dutos'!$D224*Calculos!$G224*2)*1.1,0),0)</f>
        <v>0</v>
      </c>
      <c r="AA224" s="60">
        <f>IF(CODE('Levantamento dutos'!$G224)=80,('Levantamento dutos'!$D224/'Levantamento dutos'!$G$12)*8,0)</f>
        <v>0</v>
      </c>
      <c r="AB224" s="60">
        <f>IF(CODE('Levantamento dutos'!$G224)=80,IF('Levantamento dutos'!$B224&gt;30,('Levantamento dutos'!$D224/'Levantamento dutos'!$G$12)*4,0),0)</f>
        <v>0</v>
      </c>
      <c r="AC224" s="60">
        <f>IF('Levantamento dutos'!$B224&gt;220,('Levantamento dutos'!$D224/'Levantamento dutos'!$G$12*Calculos!$G224*2),0)</f>
        <v>0</v>
      </c>
      <c r="AD224" s="60">
        <f>IF(CODE('Levantamento dutos'!$E224)=73,((('Levantamento dutos'!$E$12/1000)+0.02)*'Levantamento dutos'!$D224)*4*1.3,0)</f>
        <v>0</v>
      </c>
      <c r="AE224" s="60">
        <f>IF(CODE('Levantamento dutos'!$E224)=80,((('Levantamento dutos'!$E$12/1000)+0.02)*'Levantamento dutos'!$D224)*4*1.3,0)</f>
        <v>0</v>
      </c>
    </row>
    <row r="225" spans="2:31" x14ac:dyDescent="0.2">
      <c r="B225" s="58">
        <f>IF('Levantamento dutos'!$B225&lt;=Calculos!$Z$3,((('Levantamento dutos'!$B225)/100+('Levantamento dutos'!$C225)/100)*2)*'Levantamento dutos'!$D225,0)</f>
        <v>0</v>
      </c>
      <c r="C225">
        <f>IF('Levantamento dutos'!$B225&gt;Calculos!$Z$3,IF('Levantamento dutos'!$B225&lt;=Calculos!$Z$4,((('Levantamento dutos'!$B225)/100+('Levantamento dutos'!$C225)/100)*2)*'Levantamento dutos'!$D225,0),0)</f>
        <v>0</v>
      </c>
      <c r="D225">
        <f>IF('Levantamento dutos'!$B225&gt;Calculos!$Z$4,IF('Levantamento dutos'!$B225&lt;=Calculos!$Z$5,((('Levantamento dutos'!$B225)/100+('Levantamento dutos'!$C225)/100)*2)*'Levantamento dutos'!$D225,0),0)</f>
        <v>0</v>
      </c>
      <c r="E225">
        <f>IF('Levantamento dutos'!$B225&gt;Calculos!$Z$5,IF('Levantamento dutos'!$B225&lt;=Calculos!$Z$6,((('Levantamento dutos'!$B225)/100+('Levantamento dutos'!$C225)/100)*2)*'Levantamento dutos'!$D225,0),0)</f>
        <v>0</v>
      </c>
      <c r="F225" s="59">
        <f>IF('Levantamento dutos'!$B225&gt;Calculos!$Z$7,((('Levantamento dutos'!$B225)/100+('Levantamento dutos'!$C225)/100)*2)*'Levantamento dutos'!$D225,0)</f>
        <v>0</v>
      </c>
      <c r="G225">
        <f>(('Levantamento dutos'!B225+'Levantamento dutos'!C225)/100)*2</f>
        <v>0</v>
      </c>
      <c r="H225" s="58">
        <f>IF(CODE('Levantamento dutos'!$E225)=76,SUM($B225:$F225),0)</f>
        <v>0</v>
      </c>
      <c r="I225">
        <f>IF(CODE('Levantamento dutos'!$E225)=73,SUM($B225:$F225),0)</f>
        <v>0</v>
      </c>
      <c r="J225">
        <f>IF(CODE('Levantamento dutos'!$E225)=80,SUM($B225:$F225),0)</f>
        <v>0</v>
      </c>
      <c r="K225">
        <f>IF(CODE('Levantamento dutos'!$F225)=66,SUM($B225:$F225),0)</f>
        <v>0</v>
      </c>
      <c r="L225">
        <f>IF(CODE('Levantamento dutos'!$F225)=70,SUM($B225:$F225),0)</f>
        <v>0</v>
      </c>
      <c r="M225" s="59">
        <f>IF(CODE('Levantamento dutos'!$E225)=84,SUM($B225:$F225),0)</f>
        <v>0</v>
      </c>
      <c r="N225" s="60">
        <f>IF(CODE('Levantamento dutos'!$G225)=80,IF('Levantamento dutos'!$B225&lt;=200,('Levantamento dutos'!$D225/'Levantamento dutos'!$G$12*Calculos!$G225*2),0),0)</f>
        <v>0</v>
      </c>
      <c r="O225" s="60">
        <f>IF(CODE('Levantamento dutos'!$G225)=80,IF('Levantamento dutos'!$B225&gt;200,('Levantamento dutos'!$D225/'Levantamento dutos'!$G$12*Calculos!$G225*2),0),0)</f>
        <v>0</v>
      </c>
      <c r="P225" s="60">
        <f>IF(CODE('Levantamento dutos'!$G225)=67,('Levantamento dutos'!$D225/'Levantamento dutos'!$G$12*Calculos!$G225*2),0)</f>
        <v>0</v>
      </c>
      <c r="Q225" s="60">
        <f>IF(CODE('Levantamento dutos'!H225)=83,((('Levantamento dutos'!B225/100)+('Levantamento dutos'!$H$12/1000))+(('Levantamento dutos'!C225/100)+('Levantamento dutos'!$H$12)/1000))*2*'Levantamento dutos'!D225,0)</f>
        <v>0</v>
      </c>
      <c r="S225" s="60">
        <f>IF(CODE('Levantamento dutos'!$I225)=83,$Q225,0)</f>
        <v>0</v>
      </c>
      <c r="T225" s="60">
        <f>IF(CODE('Levantamento dutos'!$E225)=76,ROUND((('Levantamento dutos'!$D225/5)*(Calculos!$G225+0.2)*1.2),0),0)</f>
        <v>0</v>
      </c>
      <c r="U225" s="60">
        <f>IF(CODE('Levantamento dutos'!$E225)=73,ROUND((('Levantamento dutos'!$D225/0.5)*(Calculos!$G225+0.2)*1.2),0),0)</f>
        <v>0</v>
      </c>
      <c r="V225" s="60">
        <f>IF(CODE('Levantamento dutos'!$E225)=80,ROUND((('Levantamento dutos'!$D225/0.5)*(Calculos!$G225+0.2)*1.2),0),0)</f>
        <v>0</v>
      </c>
      <c r="W225" s="60">
        <f>IF(CODE('Levantamento dutos'!$E225)=76,'Levantamento dutos'!$D225/0.5*1.5,0)</f>
        <v>0</v>
      </c>
      <c r="X225" s="60">
        <f>IF(CODE('Levantamento dutos'!$E225)=73,'Levantamento dutos'!$D225/0.5*1.5,0)</f>
        <v>0</v>
      </c>
      <c r="Y225" s="60">
        <f>IF(CODE('Levantamento dutos'!$E225)=80,'Levantamento dutos'!$D225/0.5*1.5,0)</f>
        <v>0</v>
      </c>
      <c r="Z225" s="60">
        <f>IF(CODE('Levantamento dutos'!$E225)=76,ROUND(('Levantamento dutos'!$D225)+('Levantamento dutos'!$D225*Calculos!$G225*2)*1.1,0),0)</f>
        <v>0</v>
      </c>
      <c r="AA225" s="60">
        <f>IF(CODE('Levantamento dutos'!$G225)=80,('Levantamento dutos'!$D225/'Levantamento dutos'!$G$12)*8,0)</f>
        <v>0</v>
      </c>
      <c r="AB225" s="60">
        <f>IF(CODE('Levantamento dutos'!$G225)=80,IF('Levantamento dutos'!$B225&gt;30,('Levantamento dutos'!$D225/'Levantamento dutos'!$G$12)*4,0),0)</f>
        <v>0</v>
      </c>
      <c r="AC225" s="60">
        <f>IF('Levantamento dutos'!$B225&gt;220,('Levantamento dutos'!$D225/'Levantamento dutos'!$G$12*Calculos!$G225*2),0)</f>
        <v>0</v>
      </c>
      <c r="AD225" s="60">
        <f>IF(CODE('Levantamento dutos'!$E225)=73,((('Levantamento dutos'!$E$12/1000)+0.02)*'Levantamento dutos'!$D225)*4*1.3,0)</f>
        <v>0</v>
      </c>
      <c r="AE225" s="60">
        <f>IF(CODE('Levantamento dutos'!$E225)=80,((('Levantamento dutos'!$E$12/1000)+0.02)*'Levantamento dutos'!$D225)*4*1.3,0)</f>
        <v>0</v>
      </c>
    </row>
    <row r="226" spans="2:31" x14ac:dyDescent="0.2">
      <c r="B226" s="58">
        <f>IF('Levantamento dutos'!$B226&lt;=Calculos!$Z$3,((('Levantamento dutos'!$B226)/100+('Levantamento dutos'!$C226)/100)*2)*'Levantamento dutos'!$D226,0)</f>
        <v>0</v>
      </c>
      <c r="C226">
        <f>IF('Levantamento dutos'!$B226&gt;Calculos!$Z$3,IF('Levantamento dutos'!$B226&lt;=Calculos!$Z$4,((('Levantamento dutos'!$B226)/100+('Levantamento dutos'!$C226)/100)*2)*'Levantamento dutos'!$D226,0),0)</f>
        <v>0</v>
      </c>
      <c r="D226">
        <f>IF('Levantamento dutos'!$B226&gt;Calculos!$Z$4,IF('Levantamento dutos'!$B226&lt;=Calculos!$Z$5,((('Levantamento dutos'!$B226)/100+('Levantamento dutos'!$C226)/100)*2)*'Levantamento dutos'!$D226,0),0)</f>
        <v>0</v>
      </c>
      <c r="E226">
        <f>IF('Levantamento dutos'!$B226&gt;Calculos!$Z$5,IF('Levantamento dutos'!$B226&lt;=Calculos!$Z$6,((('Levantamento dutos'!$B226)/100+('Levantamento dutos'!$C226)/100)*2)*'Levantamento dutos'!$D226,0),0)</f>
        <v>0</v>
      </c>
      <c r="F226" s="59">
        <f>IF('Levantamento dutos'!$B226&gt;Calculos!$Z$7,((('Levantamento dutos'!$B226)/100+('Levantamento dutos'!$C226)/100)*2)*'Levantamento dutos'!$D226,0)</f>
        <v>0</v>
      </c>
      <c r="G226">
        <f>(('Levantamento dutos'!B226+'Levantamento dutos'!C226)/100)*2</f>
        <v>0</v>
      </c>
      <c r="H226" s="58">
        <f>IF(CODE('Levantamento dutos'!$E226)=76,SUM($B226:$F226),0)</f>
        <v>0</v>
      </c>
      <c r="I226">
        <f>IF(CODE('Levantamento dutos'!$E226)=73,SUM($B226:$F226),0)</f>
        <v>0</v>
      </c>
      <c r="J226">
        <f>IF(CODE('Levantamento dutos'!$E226)=80,SUM($B226:$F226),0)</f>
        <v>0</v>
      </c>
      <c r="K226">
        <f>IF(CODE('Levantamento dutos'!$F226)=66,SUM($B226:$F226),0)</f>
        <v>0</v>
      </c>
      <c r="L226">
        <f>IF(CODE('Levantamento dutos'!$F226)=70,SUM($B226:$F226),0)</f>
        <v>0</v>
      </c>
      <c r="M226" s="59">
        <f>IF(CODE('Levantamento dutos'!$E226)=84,SUM($B226:$F226),0)</f>
        <v>0</v>
      </c>
      <c r="N226" s="60">
        <f>IF(CODE('Levantamento dutos'!$G226)=80,IF('Levantamento dutos'!$B226&lt;=200,('Levantamento dutos'!$D226/'Levantamento dutos'!$G$12*Calculos!$G226*2),0),0)</f>
        <v>0</v>
      </c>
      <c r="O226" s="60">
        <f>IF(CODE('Levantamento dutos'!$G226)=80,IF('Levantamento dutos'!$B226&gt;200,('Levantamento dutos'!$D226/'Levantamento dutos'!$G$12*Calculos!$G226*2),0),0)</f>
        <v>0</v>
      </c>
      <c r="P226" s="60">
        <f>IF(CODE('Levantamento dutos'!$G226)=67,('Levantamento dutos'!$D226/'Levantamento dutos'!$G$12*Calculos!$G226*2),0)</f>
        <v>0</v>
      </c>
      <c r="Q226" s="60">
        <f>IF(CODE('Levantamento dutos'!H226)=83,((('Levantamento dutos'!B226/100)+('Levantamento dutos'!$H$12/1000))+(('Levantamento dutos'!C226/100)+('Levantamento dutos'!$H$12)/1000))*2*'Levantamento dutos'!D226,0)</f>
        <v>0</v>
      </c>
      <c r="S226" s="60">
        <f>IF(CODE('Levantamento dutos'!$I226)=83,$Q226,0)</f>
        <v>0</v>
      </c>
      <c r="T226" s="60">
        <f>IF(CODE('Levantamento dutos'!$E226)=76,ROUND((('Levantamento dutos'!$D226/5)*(Calculos!$G226+0.2)*1.2),0),0)</f>
        <v>0</v>
      </c>
      <c r="U226" s="60">
        <f>IF(CODE('Levantamento dutos'!$E226)=73,ROUND((('Levantamento dutos'!$D226/0.5)*(Calculos!$G226+0.2)*1.2),0),0)</f>
        <v>0</v>
      </c>
      <c r="V226" s="60">
        <f>IF(CODE('Levantamento dutos'!$E226)=80,ROUND((('Levantamento dutos'!$D226/0.5)*(Calculos!$G226+0.2)*1.2),0),0)</f>
        <v>0</v>
      </c>
      <c r="W226" s="60">
        <f>IF(CODE('Levantamento dutos'!$E226)=76,'Levantamento dutos'!$D226/0.5*1.5,0)</f>
        <v>0</v>
      </c>
      <c r="X226" s="60">
        <f>IF(CODE('Levantamento dutos'!$E226)=73,'Levantamento dutos'!$D226/0.5*1.5,0)</f>
        <v>0</v>
      </c>
      <c r="Y226" s="60">
        <f>IF(CODE('Levantamento dutos'!$E226)=80,'Levantamento dutos'!$D226/0.5*1.5,0)</f>
        <v>0</v>
      </c>
      <c r="Z226" s="60">
        <f>IF(CODE('Levantamento dutos'!$E226)=76,ROUND(('Levantamento dutos'!$D226)+('Levantamento dutos'!$D226*Calculos!$G226*2)*1.1,0),0)</f>
        <v>0</v>
      </c>
      <c r="AA226" s="60">
        <f>IF(CODE('Levantamento dutos'!$G226)=80,('Levantamento dutos'!$D226/'Levantamento dutos'!$G$12)*8,0)</f>
        <v>0</v>
      </c>
      <c r="AB226" s="60">
        <f>IF(CODE('Levantamento dutos'!$G226)=80,IF('Levantamento dutos'!$B226&gt;30,('Levantamento dutos'!$D226/'Levantamento dutos'!$G$12)*4,0),0)</f>
        <v>0</v>
      </c>
      <c r="AC226" s="60">
        <f>IF('Levantamento dutos'!$B226&gt;220,('Levantamento dutos'!$D226/'Levantamento dutos'!$G$12*Calculos!$G226*2),0)</f>
        <v>0</v>
      </c>
      <c r="AD226" s="60">
        <f>IF(CODE('Levantamento dutos'!$E226)=73,((('Levantamento dutos'!$E$12/1000)+0.02)*'Levantamento dutos'!$D226)*4*1.3,0)</f>
        <v>0</v>
      </c>
      <c r="AE226" s="60">
        <f>IF(CODE('Levantamento dutos'!$E226)=80,((('Levantamento dutos'!$E$12/1000)+0.02)*'Levantamento dutos'!$D226)*4*1.3,0)</f>
        <v>0</v>
      </c>
    </row>
    <row r="227" spans="2:31" x14ac:dyDescent="0.2">
      <c r="B227" s="58">
        <f>IF('Levantamento dutos'!$B227&lt;=Calculos!$Z$3,((('Levantamento dutos'!$B227)/100+('Levantamento dutos'!$C227)/100)*2)*'Levantamento dutos'!$D227,0)</f>
        <v>0</v>
      </c>
      <c r="C227">
        <f>IF('Levantamento dutos'!$B227&gt;Calculos!$Z$3,IF('Levantamento dutos'!$B227&lt;=Calculos!$Z$4,((('Levantamento dutos'!$B227)/100+('Levantamento dutos'!$C227)/100)*2)*'Levantamento dutos'!$D227,0),0)</f>
        <v>0</v>
      </c>
      <c r="D227">
        <f>IF('Levantamento dutos'!$B227&gt;Calculos!$Z$4,IF('Levantamento dutos'!$B227&lt;=Calculos!$Z$5,((('Levantamento dutos'!$B227)/100+('Levantamento dutos'!$C227)/100)*2)*'Levantamento dutos'!$D227,0),0)</f>
        <v>0</v>
      </c>
      <c r="E227">
        <f>IF('Levantamento dutos'!$B227&gt;Calculos!$Z$5,IF('Levantamento dutos'!$B227&lt;=Calculos!$Z$6,((('Levantamento dutos'!$B227)/100+('Levantamento dutos'!$C227)/100)*2)*'Levantamento dutos'!$D227,0),0)</f>
        <v>0</v>
      </c>
      <c r="F227" s="59">
        <f>IF('Levantamento dutos'!$B227&gt;Calculos!$Z$7,((('Levantamento dutos'!$B227)/100+('Levantamento dutos'!$C227)/100)*2)*'Levantamento dutos'!$D227,0)</f>
        <v>0</v>
      </c>
      <c r="G227">
        <f>(('Levantamento dutos'!B227+'Levantamento dutos'!C227)/100)*2</f>
        <v>0</v>
      </c>
      <c r="H227" s="58">
        <f>IF(CODE('Levantamento dutos'!$E227)=76,SUM($B227:$F227),0)</f>
        <v>0</v>
      </c>
      <c r="I227">
        <f>IF(CODE('Levantamento dutos'!$E227)=73,SUM($B227:$F227),0)</f>
        <v>0</v>
      </c>
      <c r="J227">
        <f>IF(CODE('Levantamento dutos'!$E227)=80,SUM($B227:$F227),0)</f>
        <v>0</v>
      </c>
      <c r="K227">
        <f>IF(CODE('Levantamento dutos'!$F227)=66,SUM($B227:$F227),0)</f>
        <v>0</v>
      </c>
      <c r="L227">
        <f>IF(CODE('Levantamento dutos'!$F227)=70,SUM($B227:$F227),0)</f>
        <v>0</v>
      </c>
      <c r="M227" s="59">
        <f>IF(CODE('Levantamento dutos'!$E227)=84,SUM($B227:$F227),0)</f>
        <v>0</v>
      </c>
      <c r="N227" s="60">
        <f>IF(CODE('Levantamento dutos'!$G227)=80,IF('Levantamento dutos'!$B227&lt;=200,('Levantamento dutos'!$D227/'Levantamento dutos'!$G$12*Calculos!$G227*2),0),0)</f>
        <v>0</v>
      </c>
      <c r="O227" s="60">
        <f>IF(CODE('Levantamento dutos'!$G227)=80,IF('Levantamento dutos'!$B227&gt;200,('Levantamento dutos'!$D227/'Levantamento dutos'!$G$12*Calculos!$G227*2),0),0)</f>
        <v>0</v>
      </c>
      <c r="P227" s="60">
        <f>IF(CODE('Levantamento dutos'!$G227)=67,('Levantamento dutos'!$D227/'Levantamento dutos'!$G$12*Calculos!$G227*2),0)</f>
        <v>0</v>
      </c>
      <c r="Q227" s="60">
        <f>IF(CODE('Levantamento dutos'!H227)=83,((('Levantamento dutos'!B227/100)+('Levantamento dutos'!$H$12/1000))+(('Levantamento dutos'!C227/100)+('Levantamento dutos'!$H$12)/1000))*2*'Levantamento dutos'!D227,0)</f>
        <v>0</v>
      </c>
      <c r="S227" s="60">
        <f>IF(CODE('Levantamento dutos'!$I227)=83,$Q227,0)</f>
        <v>0</v>
      </c>
      <c r="T227" s="60">
        <f>IF(CODE('Levantamento dutos'!$E227)=76,ROUND((('Levantamento dutos'!$D227/5)*(Calculos!$G227+0.2)*1.2),0),0)</f>
        <v>0</v>
      </c>
      <c r="U227" s="60">
        <f>IF(CODE('Levantamento dutos'!$E227)=73,ROUND((('Levantamento dutos'!$D227/0.5)*(Calculos!$G227+0.2)*1.2),0),0)</f>
        <v>0</v>
      </c>
      <c r="V227" s="60">
        <f>IF(CODE('Levantamento dutos'!$E227)=80,ROUND((('Levantamento dutos'!$D227/0.5)*(Calculos!$G227+0.2)*1.2),0),0)</f>
        <v>0</v>
      </c>
      <c r="W227" s="60">
        <f>IF(CODE('Levantamento dutos'!$E227)=76,'Levantamento dutos'!$D227/0.5*1.5,0)</f>
        <v>0</v>
      </c>
      <c r="X227" s="60">
        <f>IF(CODE('Levantamento dutos'!$E227)=73,'Levantamento dutos'!$D227/0.5*1.5,0)</f>
        <v>0</v>
      </c>
      <c r="Y227" s="60">
        <f>IF(CODE('Levantamento dutos'!$E227)=80,'Levantamento dutos'!$D227/0.5*1.5,0)</f>
        <v>0</v>
      </c>
      <c r="Z227" s="60">
        <f>IF(CODE('Levantamento dutos'!$E227)=76,ROUND(('Levantamento dutos'!$D227)+('Levantamento dutos'!$D227*Calculos!$G227*2)*1.1,0),0)</f>
        <v>0</v>
      </c>
      <c r="AA227" s="60">
        <f>IF(CODE('Levantamento dutos'!$G227)=80,('Levantamento dutos'!$D227/'Levantamento dutos'!$G$12)*8,0)</f>
        <v>0</v>
      </c>
      <c r="AB227" s="60">
        <f>IF(CODE('Levantamento dutos'!$G227)=80,IF('Levantamento dutos'!$B227&gt;30,('Levantamento dutos'!$D227/'Levantamento dutos'!$G$12)*4,0),0)</f>
        <v>0</v>
      </c>
      <c r="AC227" s="60">
        <f>IF('Levantamento dutos'!$B227&gt;220,('Levantamento dutos'!$D227/'Levantamento dutos'!$G$12*Calculos!$G227*2),0)</f>
        <v>0</v>
      </c>
      <c r="AD227" s="60">
        <f>IF(CODE('Levantamento dutos'!$E227)=73,((('Levantamento dutos'!$E$12/1000)+0.02)*'Levantamento dutos'!$D227)*4*1.3,0)</f>
        <v>0</v>
      </c>
      <c r="AE227" s="60">
        <f>IF(CODE('Levantamento dutos'!$E227)=80,((('Levantamento dutos'!$E$12/1000)+0.02)*'Levantamento dutos'!$D227)*4*1.3,0)</f>
        <v>0</v>
      </c>
    </row>
    <row r="228" spans="2:31" x14ac:dyDescent="0.2">
      <c r="B228" s="58">
        <f>IF('Levantamento dutos'!$B228&lt;=Calculos!$Z$3,((('Levantamento dutos'!$B228)/100+('Levantamento dutos'!$C228)/100)*2)*'Levantamento dutos'!$D228,0)</f>
        <v>0</v>
      </c>
      <c r="C228">
        <f>IF('Levantamento dutos'!$B228&gt;Calculos!$Z$3,IF('Levantamento dutos'!$B228&lt;=Calculos!$Z$4,((('Levantamento dutos'!$B228)/100+('Levantamento dutos'!$C228)/100)*2)*'Levantamento dutos'!$D228,0),0)</f>
        <v>0</v>
      </c>
      <c r="D228">
        <f>IF('Levantamento dutos'!$B228&gt;Calculos!$Z$4,IF('Levantamento dutos'!$B228&lt;=Calculos!$Z$5,((('Levantamento dutos'!$B228)/100+('Levantamento dutos'!$C228)/100)*2)*'Levantamento dutos'!$D228,0),0)</f>
        <v>0</v>
      </c>
      <c r="E228">
        <f>IF('Levantamento dutos'!$B228&gt;Calculos!$Z$5,IF('Levantamento dutos'!$B228&lt;=Calculos!$Z$6,((('Levantamento dutos'!$B228)/100+('Levantamento dutos'!$C228)/100)*2)*'Levantamento dutos'!$D228,0),0)</f>
        <v>0</v>
      </c>
      <c r="F228" s="59">
        <f>IF('Levantamento dutos'!$B228&gt;Calculos!$Z$7,((('Levantamento dutos'!$B228)/100+('Levantamento dutos'!$C228)/100)*2)*'Levantamento dutos'!$D228,0)</f>
        <v>0</v>
      </c>
      <c r="G228">
        <f>(('Levantamento dutos'!B228+'Levantamento dutos'!C228)/100)*2</f>
        <v>0</v>
      </c>
      <c r="H228" s="58">
        <f>IF(CODE('Levantamento dutos'!$E228)=76,SUM($B228:$F228),0)</f>
        <v>0</v>
      </c>
      <c r="I228">
        <f>IF(CODE('Levantamento dutos'!$E228)=73,SUM($B228:$F228),0)</f>
        <v>0</v>
      </c>
      <c r="J228">
        <f>IF(CODE('Levantamento dutos'!$E228)=80,SUM($B228:$F228),0)</f>
        <v>0</v>
      </c>
      <c r="K228">
        <f>IF(CODE('Levantamento dutos'!$F228)=66,SUM($B228:$F228),0)</f>
        <v>0</v>
      </c>
      <c r="L228">
        <f>IF(CODE('Levantamento dutos'!$F228)=70,SUM($B228:$F228),0)</f>
        <v>0</v>
      </c>
      <c r="M228" s="59">
        <f>IF(CODE('Levantamento dutos'!$E228)=84,SUM($B228:$F228),0)</f>
        <v>0</v>
      </c>
      <c r="N228" s="60">
        <f>IF(CODE('Levantamento dutos'!$G228)=80,IF('Levantamento dutos'!$B228&lt;=200,('Levantamento dutos'!$D228/'Levantamento dutos'!$G$12*Calculos!$G228*2),0),0)</f>
        <v>0</v>
      </c>
      <c r="O228" s="60">
        <f>IF(CODE('Levantamento dutos'!$G228)=80,IF('Levantamento dutos'!$B228&gt;200,('Levantamento dutos'!$D228/'Levantamento dutos'!$G$12*Calculos!$G228*2),0),0)</f>
        <v>0</v>
      </c>
      <c r="P228" s="60">
        <f>IF(CODE('Levantamento dutos'!$G228)=67,('Levantamento dutos'!$D228/'Levantamento dutos'!$G$12*Calculos!$G228*2),0)</f>
        <v>0</v>
      </c>
      <c r="Q228" s="60">
        <f>IF(CODE('Levantamento dutos'!H228)=83,((('Levantamento dutos'!B228/100)+('Levantamento dutos'!$H$12/1000))+(('Levantamento dutos'!C228/100)+('Levantamento dutos'!$H$12)/1000))*2*'Levantamento dutos'!D228,0)</f>
        <v>0</v>
      </c>
      <c r="S228" s="60">
        <f>IF(CODE('Levantamento dutos'!$I228)=83,$Q228,0)</f>
        <v>0</v>
      </c>
      <c r="T228" s="60">
        <f>IF(CODE('Levantamento dutos'!$E228)=76,ROUND((('Levantamento dutos'!$D228/5)*(Calculos!$G228+0.2)*1.2),0),0)</f>
        <v>0</v>
      </c>
      <c r="U228" s="60">
        <f>IF(CODE('Levantamento dutos'!$E228)=73,ROUND((('Levantamento dutos'!$D228/0.5)*(Calculos!$G228+0.2)*1.2),0),0)</f>
        <v>0</v>
      </c>
      <c r="V228" s="60">
        <f>IF(CODE('Levantamento dutos'!$E228)=80,ROUND((('Levantamento dutos'!$D228/0.5)*(Calculos!$G228+0.2)*1.2),0),0)</f>
        <v>0</v>
      </c>
      <c r="W228" s="60">
        <f>IF(CODE('Levantamento dutos'!$E228)=76,'Levantamento dutos'!$D228/0.5*1.5,0)</f>
        <v>0</v>
      </c>
      <c r="X228" s="60">
        <f>IF(CODE('Levantamento dutos'!$E228)=73,'Levantamento dutos'!$D228/0.5*1.5,0)</f>
        <v>0</v>
      </c>
      <c r="Y228" s="60">
        <f>IF(CODE('Levantamento dutos'!$E228)=80,'Levantamento dutos'!$D228/0.5*1.5,0)</f>
        <v>0</v>
      </c>
      <c r="Z228" s="60">
        <f>IF(CODE('Levantamento dutos'!$E228)=76,ROUND(('Levantamento dutos'!$D228)+('Levantamento dutos'!$D228*Calculos!$G228*2)*1.1,0),0)</f>
        <v>0</v>
      </c>
      <c r="AA228" s="60">
        <f>IF(CODE('Levantamento dutos'!$G228)=80,('Levantamento dutos'!$D228/'Levantamento dutos'!$G$12)*8,0)</f>
        <v>0</v>
      </c>
      <c r="AB228" s="60">
        <f>IF(CODE('Levantamento dutos'!$G228)=80,IF('Levantamento dutos'!$B228&gt;30,('Levantamento dutos'!$D228/'Levantamento dutos'!$G$12)*4,0),0)</f>
        <v>0</v>
      </c>
      <c r="AC228" s="60">
        <f>IF('Levantamento dutos'!$B228&gt;220,('Levantamento dutos'!$D228/'Levantamento dutos'!$G$12*Calculos!$G228*2),0)</f>
        <v>0</v>
      </c>
      <c r="AD228" s="60">
        <f>IF(CODE('Levantamento dutos'!$E228)=73,((('Levantamento dutos'!$E$12/1000)+0.02)*'Levantamento dutos'!$D228)*4*1.3,0)</f>
        <v>0</v>
      </c>
      <c r="AE228" s="60">
        <f>IF(CODE('Levantamento dutos'!$E228)=80,((('Levantamento dutos'!$E$12/1000)+0.02)*'Levantamento dutos'!$D228)*4*1.3,0)</f>
        <v>0</v>
      </c>
    </row>
    <row r="229" spans="2:31" x14ac:dyDescent="0.2">
      <c r="B229" s="58">
        <f>IF('Levantamento dutos'!$B229&lt;=Calculos!$Z$3,((('Levantamento dutos'!$B229)/100+('Levantamento dutos'!$C229)/100)*2)*'Levantamento dutos'!$D229,0)</f>
        <v>0</v>
      </c>
      <c r="C229">
        <f>IF('Levantamento dutos'!$B229&gt;Calculos!$Z$3,IF('Levantamento dutos'!$B229&lt;=Calculos!$Z$4,((('Levantamento dutos'!$B229)/100+('Levantamento dutos'!$C229)/100)*2)*'Levantamento dutos'!$D229,0),0)</f>
        <v>0</v>
      </c>
      <c r="D229">
        <f>IF('Levantamento dutos'!$B229&gt;Calculos!$Z$4,IF('Levantamento dutos'!$B229&lt;=Calculos!$Z$5,((('Levantamento dutos'!$B229)/100+('Levantamento dutos'!$C229)/100)*2)*'Levantamento dutos'!$D229,0),0)</f>
        <v>0</v>
      </c>
      <c r="E229">
        <f>IF('Levantamento dutos'!$B229&gt;Calculos!$Z$5,IF('Levantamento dutos'!$B229&lt;=Calculos!$Z$6,((('Levantamento dutos'!$B229)/100+('Levantamento dutos'!$C229)/100)*2)*'Levantamento dutos'!$D229,0),0)</f>
        <v>0</v>
      </c>
      <c r="F229" s="59">
        <f>IF('Levantamento dutos'!$B229&gt;Calculos!$Z$7,((('Levantamento dutos'!$B229)/100+('Levantamento dutos'!$C229)/100)*2)*'Levantamento dutos'!$D229,0)</f>
        <v>0</v>
      </c>
      <c r="G229">
        <f>(('Levantamento dutos'!B229+'Levantamento dutos'!C229)/100)*2</f>
        <v>0</v>
      </c>
      <c r="H229" s="58">
        <f>IF(CODE('Levantamento dutos'!$E229)=76,SUM($B229:$F229),0)</f>
        <v>0</v>
      </c>
      <c r="I229">
        <f>IF(CODE('Levantamento dutos'!$E229)=73,SUM($B229:$F229),0)</f>
        <v>0</v>
      </c>
      <c r="J229">
        <f>IF(CODE('Levantamento dutos'!$E229)=80,SUM($B229:$F229),0)</f>
        <v>0</v>
      </c>
      <c r="K229">
        <f>IF(CODE('Levantamento dutos'!$F229)=66,SUM($B229:$F229),0)</f>
        <v>0</v>
      </c>
      <c r="L229">
        <f>IF(CODE('Levantamento dutos'!$F229)=70,SUM($B229:$F229),0)</f>
        <v>0</v>
      </c>
      <c r="M229" s="59">
        <f>IF(CODE('Levantamento dutos'!$E229)=84,SUM($B229:$F229),0)</f>
        <v>0</v>
      </c>
      <c r="N229" s="60">
        <f>IF(CODE('Levantamento dutos'!$G229)=80,IF('Levantamento dutos'!$B229&lt;=200,('Levantamento dutos'!$D229/'Levantamento dutos'!$G$12*Calculos!$G229*2),0),0)</f>
        <v>0</v>
      </c>
      <c r="O229" s="60">
        <f>IF(CODE('Levantamento dutos'!$G229)=80,IF('Levantamento dutos'!$B229&gt;200,('Levantamento dutos'!$D229/'Levantamento dutos'!$G$12*Calculos!$G229*2),0),0)</f>
        <v>0</v>
      </c>
      <c r="P229" s="60">
        <f>IF(CODE('Levantamento dutos'!$G229)=67,('Levantamento dutos'!$D229/'Levantamento dutos'!$G$12*Calculos!$G229*2),0)</f>
        <v>0</v>
      </c>
      <c r="Q229" s="60">
        <f>IF(CODE('Levantamento dutos'!H229)=83,((('Levantamento dutos'!B229/100)+('Levantamento dutos'!$H$12/1000))+(('Levantamento dutos'!C229/100)+('Levantamento dutos'!$H$12)/1000))*2*'Levantamento dutos'!D229,0)</f>
        <v>0</v>
      </c>
      <c r="S229" s="60">
        <f>IF(CODE('Levantamento dutos'!$I229)=83,$Q229,0)</f>
        <v>0</v>
      </c>
      <c r="T229" s="60">
        <f>IF(CODE('Levantamento dutos'!$E229)=76,ROUND((('Levantamento dutos'!$D229/5)*(Calculos!$G229+0.2)*1.2),0),0)</f>
        <v>0</v>
      </c>
      <c r="U229" s="60">
        <f>IF(CODE('Levantamento dutos'!$E229)=73,ROUND((('Levantamento dutos'!$D229/0.5)*(Calculos!$G229+0.2)*1.2),0),0)</f>
        <v>0</v>
      </c>
      <c r="V229" s="60">
        <f>IF(CODE('Levantamento dutos'!$E229)=80,ROUND((('Levantamento dutos'!$D229/0.5)*(Calculos!$G229+0.2)*1.2),0),0)</f>
        <v>0</v>
      </c>
      <c r="W229" s="60">
        <f>IF(CODE('Levantamento dutos'!$E229)=76,'Levantamento dutos'!$D229/0.5*1.5,0)</f>
        <v>0</v>
      </c>
      <c r="X229" s="60">
        <f>IF(CODE('Levantamento dutos'!$E229)=73,'Levantamento dutos'!$D229/0.5*1.5,0)</f>
        <v>0</v>
      </c>
      <c r="Y229" s="60">
        <f>IF(CODE('Levantamento dutos'!$E229)=80,'Levantamento dutos'!$D229/0.5*1.5,0)</f>
        <v>0</v>
      </c>
      <c r="Z229" s="60">
        <f>IF(CODE('Levantamento dutos'!$E229)=76,ROUND(('Levantamento dutos'!$D229)+('Levantamento dutos'!$D229*Calculos!$G229*2)*1.1,0),0)</f>
        <v>0</v>
      </c>
      <c r="AA229" s="60">
        <f>IF(CODE('Levantamento dutos'!$G229)=80,('Levantamento dutos'!$D229/'Levantamento dutos'!$G$12)*8,0)</f>
        <v>0</v>
      </c>
      <c r="AB229" s="60">
        <f>IF(CODE('Levantamento dutos'!$G229)=80,IF('Levantamento dutos'!$B229&gt;30,('Levantamento dutos'!$D229/'Levantamento dutos'!$G$12)*4,0),0)</f>
        <v>0</v>
      </c>
      <c r="AC229" s="60">
        <f>IF('Levantamento dutos'!$B229&gt;220,('Levantamento dutos'!$D229/'Levantamento dutos'!$G$12*Calculos!$G229*2),0)</f>
        <v>0</v>
      </c>
      <c r="AD229" s="60">
        <f>IF(CODE('Levantamento dutos'!$E229)=73,((('Levantamento dutos'!$E$12/1000)+0.02)*'Levantamento dutos'!$D229)*4*1.3,0)</f>
        <v>0</v>
      </c>
      <c r="AE229" s="60">
        <f>IF(CODE('Levantamento dutos'!$E229)=80,((('Levantamento dutos'!$E$12/1000)+0.02)*'Levantamento dutos'!$D229)*4*1.3,0)</f>
        <v>0</v>
      </c>
    </row>
    <row r="230" spans="2:31" x14ac:dyDescent="0.2">
      <c r="B230" s="58">
        <f>IF('Levantamento dutos'!$B230&lt;=Calculos!$Z$3,((('Levantamento dutos'!$B230)/100+('Levantamento dutos'!$C230)/100)*2)*'Levantamento dutos'!$D230,0)</f>
        <v>0</v>
      </c>
      <c r="C230">
        <f>IF('Levantamento dutos'!$B230&gt;Calculos!$Z$3,IF('Levantamento dutos'!$B230&lt;=Calculos!$Z$4,((('Levantamento dutos'!$B230)/100+('Levantamento dutos'!$C230)/100)*2)*'Levantamento dutos'!$D230,0),0)</f>
        <v>0</v>
      </c>
      <c r="D230">
        <f>IF('Levantamento dutos'!$B230&gt;Calculos!$Z$4,IF('Levantamento dutos'!$B230&lt;=Calculos!$Z$5,((('Levantamento dutos'!$B230)/100+('Levantamento dutos'!$C230)/100)*2)*'Levantamento dutos'!$D230,0),0)</f>
        <v>0</v>
      </c>
      <c r="E230">
        <f>IF('Levantamento dutos'!$B230&gt;Calculos!$Z$5,IF('Levantamento dutos'!$B230&lt;=Calculos!$Z$6,((('Levantamento dutos'!$B230)/100+('Levantamento dutos'!$C230)/100)*2)*'Levantamento dutos'!$D230,0),0)</f>
        <v>0</v>
      </c>
      <c r="F230" s="59">
        <f>IF('Levantamento dutos'!$B230&gt;Calculos!$Z$7,((('Levantamento dutos'!$B230)/100+('Levantamento dutos'!$C230)/100)*2)*'Levantamento dutos'!$D230,0)</f>
        <v>0</v>
      </c>
      <c r="G230">
        <f>(('Levantamento dutos'!B230+'Levantamento dutos'!C230)/100)*2</f>
        <v>0</v>
      </c>
      <c r="H230" s="58">
        <f>IF(CODE('Levantamento dutos'!$E230)=76,SUM($B230:$F230),0)</f>
        <v>0</v>
      </c>
      <c r="I230">
        <f>IF(CODE('Levantamento dutos'!$E230)=73,SUM($B230:$F230),0)</f>
        <v>0</v>
      </c>
      <c r="J230">
        <f>IF(CODE('Levantamento dutos'!$E230)=80,SUM($B230:$F230),0)</f>
        <v>0</v>
      </c>
      <c r="K230">
        <f>IF(CODE('Levantamento dutos'!$F230)=66,SUM($B230:$F230),0)</f>
        <v>0</v>
      </c>
      <c r="L230">
        <f>IF(CODE('Levantamento dutos'!$F230)=70,SUM($B230:$F230),0)</f>
        <v>0</v>
      </c>
      <c r="M230" s="59">
        <f>IF(CODE('Levantamento dutos'!$E230)=84,SUM($B230:$F230),0)</f>
        <v>0</v>
      </c>
      <c r="N230" s="60">
        <f>IF(CODE('Levantamento dutos'!$G230)=80,IF('Levantamento dutos'!$B230&lt;=200,('Levantamento dutos'!$D230/'Levantamento dutos'!$G$12*Calculos!$G230*2),0),0)</f>
        <v>0</v>
      </c>
      <c r="O230" s="60">
        <f>IF(CODE('Levantamento dutos'!$G230)=80,IF('Levantamento dutos'!$B230&gt;200,('Levantamento dutos'!$D230/'Levantamento dutos'!$G$12*Calculos!$G230*2),0),0)</f>
        <v>0</v>
      </c>
      <c r="P230" s="60">
        <f>IF(CODE('Levantamento dutos'!$G230)=67,('Levantamento dutos'!$D230/'Levantamento dutos'!$G$12*Calculos!$G230*2),0)</f>
        <v>0</v>
      </c>
      <c r="Q230" s="60">
        <f>IF(CODE('Levantamento dutos'!H230)=83,((('Levantamento dutos'!B230/100)+('Levantamento dutos'!$H$12/1000))+(('Levantamento dutos'!C230/100)+('Levantamento dutos'!$H$12)/1000))*2*'Levantamento dutos'!D230,0)</f>
        <v>0</v>
      </c>
      <c r="S230" s="60">
        <f>IF(CODE('Levantamento dutos'!$I230)=83,$Q230,0)</f>
        <v>0</v>
      </c>
      <c r="T230" s="60">
        <f>IF(CODE('Levantamento dutos'!$E230)=76,ROUND((('Levantamento dutos'!$D230/5)*(Calculos!$G230+0.2)*1.2),0),0)</f>
        <v>0</v>
      </c>
      <c r="U230" s="60">
        <f>IF(CODE('Levantamento dutos'!$E230)=73,ROUND((('Levantamento dutos'!$D230/0.5)*(Calculos!$G230+0.2)*1.2),0),0)</f>
        <v>0</v>
      </c>
      <c r="V230" s="60">
        <f>IF(CODE('Levantamento dutos'!$E230)=80,ROUND((('Levantamento dutos'!$D230/0.5)*(Calculos!$G230+0.2)*1.2),0),0)</f>
        <v>0</v>
      </c>
      <c r="W230" s="60">
        <f>IF(CODE('Levantamento dutos'!$E230)=76,'Levantamento dutos'!$D230/0.5*1.5,0)</f>
        <v>0</v>
      </c>
      <c r="X230" s="60">
        <f>IF(CODE('Levantamento dutos'!$E230)=73,'Levantamento dutos'!$D230/0.5*1.5,0)</f>
        <v>0</v>
      </c>
      <c r="Y230" s="60">
        <f>IF(CODE('Levantamento dutos'!$E230)=80,'Levantamento dutos'!$D230/0.5*1.5,0)</f>
        <v>0</v>
      </c>
      <c r="Z230" s="60">
        <f>IF(CODE('Levantamento dutos'!$E230)=76,ROUND(('Levantamento dutos'!$D230)+('Levantamento dutos'!$D230*Calculos!$G230*2)*1.1,0),0)</f>
        <v>0</v>
      </c>
      <c r="AA230" s="60">
        <f>IF(CODE('Levantamento dutos'!$G230)=80,('Levantamento dutos'!$D230/'Levantamento dutos'!$G$12)*8,0)</f>
        <v>0</v>
      </c>
      <c r="AB230" s="60">
        <f>IF(CODE('Levantamento dutos'!$G230)=80,IF('Levantamento dutos'!$B230&gt;30,('Levantamento dutos'!$D230/'Levantamento dutos'!$G$12)*4,0),0)</f>
        <v>0</v>
      </c>
      <c r="AC230" s="60">
        <f>IF('Levantamento dutos'!$B230&gt;220,('Levantamento dutos'!$D230/'Levantamento dutos'!$G$12*Calculos!$G230*2),0)</f>
        <v>0</v>
      </c>
      <c r="AD230" s="60">
        <f>IF(CODE('Levantamento dutos'!$E230)=73,((('Levantamento dutos'!$E$12/1000)+0.02)*'Levantamento dutos'!$D230)*4*1.3,0)</f>
        <v>0</v>
      </c>
      <c r="AE230" s="60">
        <f>IF(CODE('Levantamento dutos'!$E230)=80,((('Levantamento dutos'!$E$12/1000)+0.02)*'Levantamento dutos'!$D230)*4*1.3,0)</f>
        <v>0</v>
      </c>
    </row>
    <row r="231" spans="2:31" x14ac:dyDescent="0.2">
      <c r="B231" s="58">
        <f>IF('Levantamento dutos'!$B231&lt;=Calculos!$Z$3,((('Levantamento dutos'!$B231)/100+('Levantamento dutos'!$C231)/100)*2)*'Levantamento dutos'!$D231,0)</f>
        <v>0</v>
      </c>
      <c r="C231">
        <f>IF('Levantamento dutos'!$B231&gt;Calculos!$Z$3,IF('Levantamento dutos'!$B231&lt;=Calculos!$Z$4,((('Levantamento dutos'!$B231)/100+('Levantamento dutos'!$C231)/100)*2)*'Levantamento dutos'!$D231,0),0)</f>
        <v>0</v>
      </c>
      <c r="D231">
        <f>IF('Levantamento dutos'!$B231&gt;Calculos!$Z$4,IF('Levantamento dutos'!$B231&lt;=Calculos!$Z$5,((('Levantamento dutos'!$B231)/100+('Levantamento dutos'!$C231)/100)*2)*'Levantamento dutos'!$D231,0),0)</f>
        <v>0</v>
      </c>
      <c r="E231">
        <f>IF('Levantamento dutos'!$B231&gt;Calculos!$Z$5,IF('Levantamento dutos'!$B231&lt;=Calculos!$Z$6,((('Levantamento dutos'!$B231)/100+('Levantamento dutos'!$C231)/100)*2)*'Levantamento dutos'!$D231,0),0)</f>
        <v>0</v>
      </c>
      <c r="F231" s="59">
        <f>IF('Levantamento dutos'!$B231&gt;Calculos!$Z$7,((('Levantamento dutos'!$B231)/100+('Levantamento dutos'!$C231)/100)*2)*'Levantamento dutos'!$D231,0)</f>
        <v>0</v>
      </c>
      <c r="G231">
        <f>(('Levantamento dutos'!B231+'Levantamento dutos'!C231)/100)*2</f>
        <v>0</v>
      </c>
      <c r="H231" s="58">
        <f>IF(CODE('Levantamento dutos'!$E231)=76,SUM($B231:$F231),0)</f>
        <v>0</v>
      </c>
      <c r="I231">
        <f>IF(CODE('Levantamento dutos'!$E231)=73,SUM($B231:$F231),0)</f>
        <v>0</v>
      </c>
      <c r="J231">
        <f>IF(CODE('Levantamento dutos'!$E231)=80,SUM($B231:$F231),0)</f>
        <v>0</v>
      </c>
      <c r="K231">
        <f>IF(CODE('Levantamento dutos'!$F231)=66,SUM($B231:$F231),0)</f>
        <v>0</v>
      </c>
      <c r="L231">
        <f>IF(CODE('Levantamento dutos'!$F231)=70,SUM($B231:$F231),0)</f>
        <v>0</v>
      </c>
      <c r="M231" s="59">
        <f>IF(CODE('Levantamento dutos'!$E231)=84,SUM($B231:$F231),0)</f>
        <v>0</v>
      </c>
      <c r="N231" s="60">
        <f>IF(CODE('Levantamento dutos'!$G231)=80,IF('Levantamento dutos'!$B231&lt;=200,('Levantamento dutos'!$D231/'Levantamento dutos'!$G$12*Calculos!$G231*2),0),0)</f>
        <v>0</v>
      </c>
      <c r="O231" s="60">
        <f>IF(CODE('Levantamento dutos'!$G231)=80,IF('Levantamento dutos'!$B231&gt;200,('Levantamento dutos'!$D231/'Levantamento dutos'!$G$12*Calculos!$G231*2),0),0)</f>
        <v>0</v>
      </c>
      <c r="P231" s="60">
        <f>IF(CODE('Levantamento dutos'!$G231)=67,('Levantamento dutos'!$D231/'Levantamento dutos'!$G$12*Calculos!$G231*2),0)</f>
        <v>0</v>
      </c>
      <c r="Q231" s="60">
        <f>IF(CODE('Levantamento dutos'!H231)=83,((('Levantamento dutos'!B231/100)+('Levantamento dutos'!$H$12/1000))+(('Levantamento dutos'!C231/100)+('Levantamento dutos'!$H$12)/1000))*2*'Levantamento dutos'!D231,0)</f>
        <v>0</v>
      </c>
      <c r="S231" s="60">
        <f>IF(CODE('Levantamento dutos'!$I231)=83,$Q231,0)</f>
        <v>0</v>
      </c>
      <c r="T231" s="60">
        <f>IF(CODE('Levantamento dutos'!$E231)=76,ROUND((('Levantamento dutos'!$D231/5)*(Calculos!$G231+0.2)*1.2),0),0)</f>
        <v>0</v>
      </c>
      <c r="U231" s="60">
        <f>IF(CODE('Levantamento dutos'!$E231)=73,ROUND((('Levantamento dutos'!$D231/0.5)*(Calculos!$G231+0.2)*1.2),0),0)</f>
        <v>0</v>
      </c>
      <c r="V231" s="60">
        <f>IF(CODE('Levantamento dutos'!$E231)=80,ROUND((('Levantamento dutos'!$D231/0.5)*(Calculos!$G231+0.2)*1.2),0),0)</f>
        <v>0</v>
      </c>
      <c r="W231" s="60">
        <f>IF(CODE('Levantamento dutos'!$E231)=76,'Levantamento dutos'!$D231/0.5*1.5,0)</f>
        <v>0</v>
      </c>
      <c r="X231" s="60">
        <f>IF(CODE('Levantamento dutos'!$E231)=73,'Levantamento dutos'!$D231/0.5*1.5,0)</f>
        <v>0</v>
      </c>
      <c r="Y231" s="60">
        <f>IF(CODE('Levantamento dutos'!$E231)=80,'Levantamento dutos'!$D231/0.5*1.5,0)</f>
        <v>0</v>
      </c>
      <c r="Z231" s="60">
        <f>IF(CODE('Levantamento dutos'!$E231)=76,ROUND(('Levantamento dutos'!$D231)+('Levantamento dutos'!$D231*Calculos!$G231*2)*1.1,0),0)</f>
        <v>0</v>
      </c>
      <c r="AA231" s="60">
        <f>IF(CODE('Levantamento dutos'!$G231)=80,('Levantamento dutos'!$D231/'Levantamento dutos'!$G$12)*8,0)</f>
        <v>0</v>
      </c>
      <c r="AB231" s="60">
        <f>IF(CODE('Levantamento dutos'!$G231)=80,IF('Levantamento dutos'!$B231&gt;30,('Levantamento dutos'!$D231/'Levantamento dutos'!$G$12)*4,0),0)</f>
        <v>0</v>
      </c>
      <c r="AC231" s="60">
        <f>IF('Levantamento dutos'!$B231&gt;220,('Levantamento dutos'!$D231/'Levantamento dutos'!$G$12*Calculos!$G231*2),0)</f>
        <v>0</v>
      </c>
      <c r="AD231" s="60">
        <f>IF(CODE('Levantamento dutos'!$E231)=73,((('Levantamento dutos'!$E$12/1000)+0.02)*'Levantamento dutos'!$D231)*4*1.3,0)</f>
        <v>0</v>
      </c>
      <c r="AE231" s="60">
        <f>IF(CODE('Levantamento dutos'!$E231)=80,((('Levantamento dutos'!$E$12/1000)+0.02)*'Levantamento dutos'!$D231)*4*1.3,0)</f>
        <v>0</v>
      </c>
    </row>
    <row r="232" spans="2:31" x14ac:dyDescent="0.2">
      <c r="B232" s="58">
        <f>IF('Levantamento dutos'!$B232&lt;=Calculos!$Z$3,((('Levantamento dutos'!$B232)/100+('Levantamento dutos'!$C232)/100)*2)*'Levantamento dutos'!$D232,0)</f>
        <v>0</v>
      </c>
      <c r="C232">
        <f>IF('Levantamento dutos'!$B232&gt;Calculos!$Z$3,IF('Levantamento dutos'!$B232&lt;=Calculos!$Z$4,((('Levantamento dutos'!$B232)/100+('Levantamento dutos'!$C232)/100)*2)*'Levantamento dutos'!$D232,0),0)</f>
        <v>0</v>
      </c>
      <c r="D232">
        <f>IF('Levantamento dutos'!$B232&gt;Calculos!$Z$4,IF('Levantamento dutos'!$B232&lt;=Calculos!$Z$5,((('Levantamento dutos'!$B232)/100+('Levantamento dutos'!$C232)/100)*2)*'Levantamento dutos'!$D232,0),0)</f>
        <v>0</v>
      </c>
      <c r="E232">
        <f>IF('Levantamento dutos'!$B232&gt;Calculos!$Z$5,IF('Levantamento dutos'!$B232&lt;=Calculos!$Z$6,((('Levantamento dutos'!$B232)/100+('Levantamento dutos'!$C232)/100)*2)*'Levantamento dutos'!$D232,0),0)</f>
        <v>0</v>
      </c>
      <c r="F232" s="59">
        <f>IF('Levantamento dutos'!$B232&gt;Calculos!$Z$7,((('Levantamento dutos'!$B232)/100+('Levantamento dutos'!$C232)/100)*2)*'Levantamento dutos'!$D232,0)</f>
        <v>0</v>
      </c>
      <c r="G232">
        <f>(('Levantamento dutos'!B232+'Levantamento dutos'!C232)/100)*2</f>
        <v>0</v>
      </c>
      <c r="H232" s="58">
        <f>IF(CODE('Levantamento dutos'!$E232)=76,SUM($B232:$F232),0)</f>
        <v>0</v>
      </c>
      <c r="I232">
        <f>IF(CODE('Levantamento dutos'!$E232)=73,SUM($B232:$F232),0)</f>
        <v>0</v>
      </c>
      <c r="J232">
        <f>IF(CODE('Levantamento dutos'!$E232)=80,SUM($B232:$F232),0)</f>
        <v>0</v>
      </c>
      <c r="K232">
        <f>IF(CODE('Levantamento dutos'!$F232)=66,SUM($B232:$F232),0)</f>
        <v>0</v>
      </c>
      <c r="L232">
        <f>IF(CODE('Levantamento dutos'!$F232)=70,SUM($B232:$F232),0)</f>
        <v>0</v>
      </c>
      <c r="M232" s="59">
        <f>IF(CODE('Levantamento dutos'!$E232)=84,SUM($B232:$F232),0)</f>
        <v>0</v>
      </c>
      <c r="N232" s="60">
        <f>IF(CODE('Levantamento dutos'!$G232)=80,IF('Levantamento dutos'!$B232&lt;=200,('Levantamento dutos'!$D232/'Levantamento dutos'!$G$12*Calculos!$G232*2),0),0)</f>
        <v>0</v>
      </c>
      <c r="O232" s="60">
        <f>IF(CODE('Levantamento dutos'!$G232)=80,IF('Levantamento dutos'!$B232&gt;200,('Levantamento dutos'!$D232/'Levantamento dutos'!$G$12*Calculos!$G232*2),0),0)</f>
        <v>0</v>
      </c>
      <c r="P232" s="60">
        <f>IF(CODE('Levantamento dutos'!$G232)=67,('Levantamento dutos'!$D232/'Levantamento dutos'!$G$12*Calculos!$G232*2),0)</f>
        <v>0</v>
      </c>
      <c r="Q232" s="60">
        <f>IF(CODE('Levantamento dutos'!H232)=83,((('Levantamento dutos'!B232/100)+('Levantamento dutos'!$H$12/1000))+(('Levantamento dutos'!C232/100)+('Levantamento dutos'!$H$12)/1000))*2*'Levantamento dutos'!D232,0)</f>
        <v>0</v>
      </c>
      <c r="S232" s="60">
        <f>IF(CODE('Levantamento dutos'!$I232)=83,$Q232,0)</f>
        <v>0</v>
      </c>
      <c r="T232" s="60">
        <f>IF(CODE('Levantamento dutos'!$E232)=76,ROUND((('Levantamento dutos'!$D232/5)*(Calculos!$G232+0.2)*1.2),0),0)</f>
        <v>0</v>
      </c>
      <c r="U232" s="60">
        <f>IF(CODE('Levantamento dutos'!$E232)=73,ROUND((('Levantamento dutos'!$D232/0.5)*(Calculos!$G232+0.2)*1.2),0),0)</f>
        <v>0</v>
      </c>
      <c r="V232" s="60">
        <f>IF(CODE('Levantamento dutos'!$E232)=80,ROUND((('Levantamento dutos'!$D232/0.5)*(Calculos!$G232+0.2)*1.2),0),0)</f>
        <v>0</v>
      </c>
      <c r="W232" s="60">
        <f>IF(CODE('Levantamento dutos'!$E232)=76,'Levantamento dutos'!$D232/0.5*1.5,0)</f>
        <v>0</v>
      </c>
      <c r="X232" s="60">
        <f>IF(CODE('Levantamento dutos'!$E232)=73,'Levantamento dutos'!$D232/0.5*1.5,0)</f>
        <v>0</v>
      </c>
      <c r="Y232" s="60">
        <f>IF(CODE('Levantamento dutos'!$E232)=80,'Levantamento dutos'!$D232/0.5*1.5,0)</f>
        <v>0</v>
      </c>
      <c r="Z232" s="60">
        <f>IF(CODE('Levantamento dutos'!$E232)=76,ROUND(('Levantamento dutos'!$D232)+('Levantamento dutos'!$D232*Calculos!$G232*2)*1.1,0),0)</f>
        <v>0</v>
      </c>
      <c r="AA232" s="60">
        <f>IF(CODE('Levantamento dutos'!$G232)=80,('Levantamento dutos'!$D232/'Levantamento dutos'!$G$12)*8,0)</f>
        <v>0</v>
      </c>
      <c r="AB232" s="60">
        <f>IF(CODE('Levantamento dutos'!$G232)=80,IF('Levantamento dutos'!$B232&gt;30,('Levantamento dutos'!$D232/'Levantamento dutos'!$G$12)*4,0),0)</f>
        <v>0</v>
      </c>
      <c r="AC232" s="60">
        <f>IF('Levantamento dutos'!$B232&gt;220,('Levantamento dutos'!$D232/'Levantamento dutos'!$G$12*Calculos!$G232*2),0)</f>
        <v>0</v>
      </c>
      <c r="AD232" s="60">
        <f>IF(CODE('Levantamento dutos'!$E232)=73,((('Levantamento dutos'!$E$12/1000)+0.02)*'Levantamento dutos'!$D232)*4*1.3,0)</f>
        <v>0</v>
      </c>
      <c r="AE232" s="60">
        <f>IF(CODE('Levantamento dutos'!$E232)=80,((('Levantamento dutos'!$E$12/1000)+0.02)*'Levantamento dutos'!$D232)*4*1.3,0)</f>
        <v>0</v>
      </c>
    </row>
    <row r="233" spans="2:31" x14ac:dyDescent="0.2">
      <c r="B233" s="58">
        <f>IF('Levantamento dutos'!$B233&lt;=Calculos!$Z$3,((('Levantamento dutos'!$B233)/100+('Levantamento dutos'!$C233)/100)*2)*'Levantamento dutos'!$D233,0)</f>
        <v>0</v>
      </c>
      <c r="C233">
        <f>IF('Levantamento dutos'!$B233&gt;Calculos!$Z$3,IF('Levantamento dutos'!$B233&lt;=Calculos!$Z$4,((('Levantamento dutos'!$B233)/100+('Levantamento dutos'!$C233)/100)*2)*'Levantamento dutos'!$D233,0),0)</f>
        <v>0</v>
      </c>
      <c r="D233">
        <f>IF('Levantamento dutos'!$B233&gt;Calculos!$Z$4,IF('Levantamento dutos'!$B233&lt;=Calculos!$Z$5,((('Levantamento dutos'!$B233)/100+('Levantamento dutos'!$C233)/100)*2)*'Levantamento dutos'!$D233,0),0)</f>
        <v>0</v>
      </c>
      <c r="E233">
        <f>IF('Levantamento dutos'!$B233&gt;Calculos!$Z$5,IF('Levantamento dutos'!$B233&lt;=Calculos!$Z$6,((('Levantamento dutos'!$B233)/100+('Levantamento dutos'!$C233)/100)*2)*'Levantamento dutos'!$D233,0),0)</f>
        <v>0</v>
      </c>
      <c r="F233" s="59">
        <f>IF('Levantamento dutos'!$B233&gt;Calculos!$Z$7,((('Levantamento dutos'!$B233)/100+('Levantamento dutos'!$C233)/100)*2)*'Levantamento dutos'!$D233,0)</f>
        <v>0</v>
      </c>
      <c r="G233">
        <f>(('Levantamento dutos'!B233+'Levantamento dutos'!C233)/100)*2</f>
        <v>0</v>
      </c>
      <c r="H233" s="58">
        <f>IF(CODE('Levantamento dutos'!$E233)=76,SUM($B233:$F233),0)</f>
        <v>0</v>
      </c>
      <c r="I233">
        <f>IF(CODE('Levantamento dutos'!$E233)=73,SUM($B233:$F233),0)</f>
        <v>0</v>
      </c>
      <c r="J233">
        <f>IF(CODE('Levantamento dutos'!$E233)=80,SUM($B233:$F233),0)</f>
        <v>0</v>
      </c>
      <c r="K233">
        <f>IF(CODE('Levantamento dutos'!$F233)=66,SUM($B233:$F233),0)</f>
        <v>0</v>
      </c>
      <c r="L233">
        <f>IF(CODE('Levantamento dutos'!$F233)=70,SUM($B233:$F233),0)</f>
        <v>0</v>
      </c>
      <c r="M233" s="59">
        <f>IF(CODE('Levantamento dutos'!$E233)=84,SUM($B233:$F233),0)</f>
        <v>0</v>
      </c>
      <c r="N233" s="60">
        <f>IF(CODE('Levantamento dutos'!$G233)=80,IF('Levantamento dutos'!$B233&lt;=200,('Levantamento dutos'!$D233/'Levantamento dutos'!$G$12*Calculos!$G233*2),0),0)</f>
        <v>0</v>
      </c>
      <c r="O233" s="60">
        <f>IF(CODE('Levantamento dutos'!$G233)=80,IF('Levantamento dutos'!$B233&gt;200,('Levantamento dutos'!$D233/'Levantamento dutos'!$G$12*Calculos!$G233*2),0),0)</f>
        <v>0</v>
      </c>
      <c r="P233" s="60">
        <f>IF(CODE('Levantamento dutos'!$G233)=67,('Levantamento dutos'!$D233/'Levantamento dutos'!$G$12*Calculos!$G233*2),0)</f>
        <v>0</v>
      </c>
      <c r="Q233" s="60">
        <f>IF(CODE('Levantamento dutos'!H233)=83,((('Levantamento dutos'!B233/100)+('Levantamento dutos'!$H$12/1000))+(('Levantamento dutos'!C233/100)+('Levantamento dutos'!$H$12)/1000))*2*'Levantamento dutos'!D233,0)</f>
        <v>0</v>
      </c>
      <c r="S233" s="60">
        <f>IF(CODE('Levantamento dutos'!$I233)=83,$Q233,0)</f>
        <v>0</v>
      </c>
      <c r="T233" s="60">
        <f>IF(CODE('Levantamento dutos'!$E233)=76,ROUND((('Levantamento dutos'!$D233/5)*(Calculos!$G233+0.2)*1.2),0),0)</f>
        <v>0</v>
      </c>
      <c r="U233" s="60">
        <f>IF(CODE('Levantamento dutos'!$E233)=73,ROUND((('Levantamento dutos'!$D233/0.5)*(Calculos!$G233+0.2)*1.2),0),0)</f>
        <v>0</v>
      </c>
      <c r="V233" s="60">
        <f>IF(CODE('Levantamento dutos'!$E233)=80,ROUND((('Levantamento dutos'!$D233/0.5)*(Calculos!$G233+0.2)*1.2),0),0)</f>
        <v>0</v>
      </c>
      <c r="W233" s="60">
        <f>IF(CODE('Levantamento dutos'!$E233)=76,'Levantamento dutos'!$D233/0.5*1.5,0)</f>
        <v>0</v>
      </c>
      <c r="X233" s="60">
        <f>IF(CODE('Levantamento dutos'!$E233)=73,'Levantamento dutos'!$D233/0.5*1.5,0)</f>
        <v>0</v>
      </c>
      <c r="Y233" s="60">
        <f>IF(CODE('Levantamento dutos'!$E233)=80,'Levantamento dutos'!$D233/0.5*1.5,0)</f>
        <v>0</v>
      </c>
      <c r="Z233" s="60">
        <f>IF(CODE('Levantamento dutos'!$E233)=76,ROUND(('Levantamento dutos'!$D233)+('Levantamento dutos'!$D233*Calculos!$G233*2)*1.1,0),0)</f>
        <v>0</v>
      </c>
      <c r="AA233" s="60">
        <f>IF(CODE('Levantamento dutos'!$G233)=80,('Levantamento dutos'!$D233/'Levantamento dutos'!$G$12)*8,0)</f>
        <v>0</v>
      </c>
      <c r="AB233" s="60">
        <f>IF(CODE('Levantamento dutos'!$G233)=80,IF('Levantamento dutos'!$B233&gt;30,('Levantamento dutos'!$D233/'Levantamento dutos'!$G$12)*4,0),0)</f>
        <v>0</v>
      </c>
      <c r="AC233" s="60">
        <f>IF('Levantamento dutos'!$B233&gt;220,('Levantamento dutos'!$D233/'Levantamento dutos'!$G$12*Calculos!$G233*2),0)</f>
        <v>0</v>
      </c>
      <c r="AD233" s="60">
        <f>IF(CODE('Levantamento dutos'!$E233)=73,((('Levantamento dutos'!$E$12/1000)+0.02)*'Levantamento dutos'!$D233)*4*1.3,0)</f>
        <v>0</v>
      </c>
      <c r="AE233" s="60">
        <f>IF(CODE('Levantamento dutos'!$E233)=80,((('Levantamento dutos'!$E$12/1000)+0.02)*'Levantamento dutos'!$D233)*4*1.3,0)</f>
        <v>0</v>
      </c>
    </row>
    <row r="234" spans="2:31" x14ac:dyDescent="0.2">
      <c r="B234" s="58">
        <f>IF('Levantamento dutos'!$B234&lt;=Calculos!$Z$3,((('Levantamento dutos'!$B234)/100+('Levantamento dutos'!$C234)/100)*2)*'Levantamento dutos'!$D234,0)</f>
        <v>0</v>
      </c>
      <c r="C234">
        <f>IF('Levantamento dutos'!$B234&gt;Calculos!$Z$3,IF('Levantamento dutos'!$B234&lt;=Calculos!$Z$4,((('Levantamento dutos'!$B234)/100+('Levantamento dutos'!$C234)/100)*2)*'Levantamento dutos'!$D234,0),0)</f>
        <v>0</v>
      </c>
      <c r="D234">
        <f>IF('Levantamento dutos'!$B234&gt;Calculos!$Z$4,IF('Levantamento dutos'!$B234&lt;=Calculos!$Z$5,((('Levantamento dutos'!$B234)/100+('Levantamento dutos'!$C234)/100)*2)*'Levantamento dutos'!$D234,0),0)</f>
        <v>0</v>
      </c>
      <c r="E234">
        <f>IF('Levantamento dutos'!$B234&gt;Calculos!$Z$5,IF('Levantamento dutos'!$B234&lt;=Calculos!$Z$6,((('Levantamento dutos'!$B234)/100+('Levantamento dutos'!$C234)/100)*2)*'Levantamento dutos'!$D234,0),0)</f>
        <v>0</v>
      </c>
      <c r="F234" s="59">
        <f>IF('Levantamento dutos'!$B234&gt;Calculos!$Z$7,((('Levantamento dutos'!$B234)/100+('Levantamento dutos'!$C234)/100)*2)*'Levantamento dutos'!$D234,0)</f>
        <v>0</v>
      </c>
      <c r="G234">
        <f>(('Levantamento dutos'!B234+'Levantamento dutos'!C234)/100)*2</f>
        <v>0</v>
      </c>
      <c r="H234" s="58">
        <f>IF(CODE('Levantamento dutos'!$E234)=76,SUM($B234:$F234),0)</f>
        <v>0</v>
      </c>
      <c r="I234">
        <f>IF(CODE('Levantamento dutos'!$E234)=73,SUM($B234:$F234),0)</f>
        <v>0</v>
      </c>
      <c r="J234">
        <f>IF(CODE('Levantamento dutos'!$E234)=80,SUM($B234:$F234),0)</f>
        <v>0</v>
      </c>
      <c r="K234">
        <f>IF(CODE('Levantamento dutos'!$F234)=66,SUM($B234:$F234),0)</f>
        <v>0</v>
      </c>
      <c r="L234">
        <f>IF(CODE('Levantamento dutos'!$F234)=70,SUM($B234:$F234),0)</f>
        <v>0</v>
      </c>
      <c r="M234" s="59">
        <f>IF(CODE('Levantamento dutos'!$E234)=84,SUM($B234:$F234),0)</f>
        <v>0</v>
      </c>
      <c r="N234" s="60">
        <f>IF(CODE('Levantamento dutos'!$G234)=80,IF('Levantamento dutos'!$B234&lt;=200,('Levantamento dutos'!$D234/'Levantamento dutos'!$G$12*Calculos!$G234*2),0),0)</f>
        <v>0</v>
      </c>
      <c r="O234" s="60">
        <f>IF(CODE('Levantamento dutos'!$G234)=80,IF('Levantamento dutos'!$B234&gt;200,('Levantamento dutos'!$D234/'Levantamento dutos'!$G$12*Calculos!$G234*2),0),0)</f>
        <v>0</v>
      </c>
      <c r="P234" s="60">
        <f>IF(CODE('Levantamento dutos'!$G234)=67,('Levantamento dutos'!$D234/'Levantamento dutos'!$G$12*Calculos!$G234*2),0)</f>
        <v>0</v>
      </c>
      <c r="Q234" s="60">
        <f>IF(CODE('Levantamento dutos'!H234)=83,((('Levantamento dutos'!B234/100)+('Levantamento dutos'!$H$12/1000))+(('Levantamento dutos'!C234/100)+('Levantamento dutos'!$H$12)/1000))*2*'Levantamento dutos'!D234,0)</f>
        <v>0</v>
      </c>
      <c r="S234" s="60">
        <f>IF(CODE('Levantamento dutos'!$I234)=83,$Q234,0)</f>
        <v>0</v>
      </c>
      <c r="T234" s="60">
        <f>IF(CODE('Levantamento dutos'!$E234)=76,ROUND((('Levantamento dutos'!$D234/5)*(Calculos!$G234+0.2)*1.2),0),0)</f>
        <v>0</v>
      </c>
      <c r="U234" s="60">
        <f>IF(CODE('Levantamento dutos'!$E234)=73,ROUND((('Levantamento dutos'!$D234/0.5)*(Calculos!$G234+0.2)*1.2),0),0)</f>
        <v>0</v>
      </c>
      <c r="V234" s="60">
        <f>IF(CODE('Levantamento dutos'!$E234)=80,ROUND((('Levantamento dutos'!$D234/0.5)*(Calculos!$G234+0.2)*1.2),0),0)</f>
        <v>0</v>
      </c>
      <c r="W234" s="60">
        <f>IF(CODE('Levantamento dutos'!$E234)=76,'Levantamento dutos'!$D234/0.5*1.5,0)</f>
        <v>0</v>
      </c>
      <c r="X234" s="60">
        <f>IF(CODE('Levantamento dutos'!$E234)=73,'Levantamento dutos'!$D234/0.5*1.5,0)</f>
        <v>0</v>
      </c>
      <c r="Y234" s="60">
        <f>IF(CODE('Levantamento dutos'!$E234)=80,'Levantamento dutos'!$D234/0.5*1.5,0)</f>
        <v>0</v>
      </c>
      <c r="Z234" s="60">
        <f>IF(CODE('Levantamento dutos'!$E234)=76,ROUND(('Levantamento dutos'!$D234)+('Levantamento dutos'!$D234*Calculos!$G234*2)*1.1,0),0)</f>
        <v>0</v>
      </c>
      <c r="AA234" s="60">
        <f>IF(CODE('Levantamento dutos'!$G234)=80,('Levantamento dutos'!$D234/'Levantamento dutos'!$G$12)*8,0)</f>
        <v>0</v>
      </c>
      <c r="AB234" s="60">
        <f>IF(CODE('Levantamento dutos'!$G234)=80,IF('Levantamento dutos'!$B234&gt;30,('Levantamento dutos'!$D234/'Levantamento dutos'!$G$12)*4,0),0)</f>
        <v>0</v>
      </c>
      <c r="AC234" s="60">
        <f>IF('Levantamento dutos'!$B234&gt;220,('Levantamento dutos'!$D234/'Levantamento dutos'!$G$12*Calculos!$G234*2),0)</f>
        <v>0</v>
      </c>
      <c r="AD234" s="60">
        <f>IF(CODE('Levantamento dutos'!$E234)=73,((('Levantamento dutos'!$E$12/1000)+0.02)*'Levantamento dutos'!$D234)*4*1.3,0)</f>
        <v>0</v>
      </c>
      <c r="AE234" s="60">
        <f>IF(CODE('Levantamento dutos'!$E234)=80,((('Levantamento dutos'!$E$12/1000)+0.02)*'Levantamento dutos'!$D234)*4*1.3,0)</f>
        <v>0</v>
      </c>
    </row>
    <row r="235" spans="2:31" x14ac:dyDescent="0.2">
      <c r="B235" s="58">
        <f>IF('Levantamento dutos'!$B235&lt;=Calculos!$Z$3,((('Levantamento dutos'!$B235)/100+('Levantamento dutos'!$C235)/100)*2)*'Levantamento dutos'!$D235,0)</f>
        <v>0</v>
      </c>
      <c r="C235">
        <f>IF('Levantamento dutos'!$B235&gt;Calculos!$Z$3,IF('Levantamento dutos'!$B235&lt;=Calculos!$Z$4,((('Levantamento dutos'!$B235)/100+('Levantamento dutos'!$C235)/100)*2)*'Levantamento dutos'!$D235,0),0)</f>
        <v>0</v>
      </c>
      <c r="D235">
        <f>IF('Levantamento dutos'!$B235&gt;Calculos!$Z$4,IF('Levantamento dutos'!$B235&lt;=Calculos!$Z$5,((('Levantamento dutos'!$B235)/100+('Levantamento dutos'!$C235)/100)*2)*'Levantamento dutos'!$D235,0),0)</f>
        <v>0</v>
      </c>
      <c r="E235">
        <f>IF('Levantamento dutos'!$B235&gt;Calculos!$Z$5,IF('Levantamento dutos'!$B235&lt;=Calculos!$Z$6,((('Levantamento dutos'!$B235)/100+('Levantamento dutos'!$C235)/100)*2)*'Levantamento dutos'!$D235,0),0)</f>
        <v>0</v>
      </c>
      <c r="F235" s="59">
        <f>IF('Levantamento dutos'!$B235&gt;Calculos!$Z$7,((('Levantamento dutos'!$B235)/100+('Levantamento dutos'!$C235)/100)*2)*'Levantamento dutos'!$D235,0)</f>
        <v>0</v>
      </c>
      <c r="G235">
        <f>(('Levantamento dutos'!B235+'Levantamento dutos'!C235)/100)*2</f>
        <v>0</v>
      </c>
      <c r="H235" s="58">
        <f>IF(CODE('Levantamento dutos'!$E235)=76,SUM($B235:$F235),0)</f>
        <v>0</v>
      </c>
      <c r="I235">
        <f>IF(CODE('Levantamento dutos'!$E235)=73,SUM($B235:$F235),0)</f>
        <v>0</v>
      </c>
      <c r="J235">
        <f>IF(CODE('Levantamento dutos'!$E235)=80,SUM($B235:$F235),0)</f>
        <v>0</v>
      </c>
      <c r="K235">
        <f>IF(CODE('Levantamento dutos'!$F235)=66,SUM($B235:$F235),0)</f>
        <v>0</v>
      </c>
      <c r="L235">
        <f>IF(CODE('Levantamento dutos'!$F235)=70,SUM($B235:$F235),0)</f>
        <v>0</v>
      </c>
      <c r="M235" s="59">
        <f>IF(CODE('Levantamento dutos'!$E235)=84,SUM($B235:$F235),0)</f>
        <v>0</v>
      </c>
      <c r="N235" s="60">
        <f>IF(CODE('Levantamento dutos'!$G235)=80,IF('Levantamento dutos'!$B235&lt;=200,('Levantamento dutos'!$D235/'Levantamento dutos'!$G$12*Calculos!$G235*2),0),0)</f>
        <v>0</v>
      </c>
      <c r="O235" s="60">
        <f>IF(CODE('Levantamento dutos'!$G235)=80,IF('Levantamento dutos'!$B235&gt;200,('Levantamento dutos'!$D235/'Levantamento dutos'!$G$12*Calculos!$G235*2),0),0)</f>
        <v>0</v>
      </c>
      <c r="P235" s="60">
        <f>IF(CODE('Levantamento dutos'!$G235)=67,('Levantamento dutos'!$D235/'Levantamento dutos'!$G$12*Calculos!$G235*2),0)</f>
        <v>0</v>
      </c>
      <c r="Q235" s="60">
        <f>IF(CODE('Levantamento dutos'!H235)=83,((('Levantamento dutos'!B235/100)+('Levantamento dutos'!$H$12/1000))+(('Levantamento dutos'!C235/100)+('Levantamento dutos'!$H$12)/1000))*2*'Levantamento dutos'!D235,0)</f>
        <v>0</v>
      </c>
      <c r="S235" s="60">
        <f>IF(CODE('Levantamento dutos'!$I235)=83,$Q235,0)</f>
        <v>0</v>
      </c>
      <c r="T235" s="60">
        <f>IF(CODE('Levantamento dutos'!$E235)=76,ROUND((('Levantamento dutos'!$D235/5)*(Calculos!$G235+0.2)*1.2),0),0)</f>
        <v>0</v>
      </c>
      <c r="U235" s="60">
        <f>IF(CODE('Levantamento dutos'!$E235)=73,ROUND((('Levantamento dutos'!$D235/0.5)*(Calculos!$G235+0.2)*1.2),0),0)</f>
        <v>0</v>
      </c>
      <c r="V235" s="60">
        <f>IF(CODE('Levantamento dutos'!$E235)=80,ROUND((('Levantamento dutos'!$D235/0.5)*(Calculos!$G235+0.2)*1.2),0),0)</f>
        <v>0</v>
      </c>
      <c r="W235" s="60">
        <f>IF(CODE('Levantamento dutos'!$E235)=76,'Levantamento dutos'!$D235/0.5*1.5,0)</f>
        <v>0</v>
      </c>
      <c r="X235" s="60">
        <f>IF(CODE('Levantamento dutos'!$E235)=73,'Levantamento dutos'!$D235/0.5*1.5,0)</f>
        <v>0</v>
      </c>
      <c r="Y235" s="60">
        <f>IF(CODE('Levantamento dutos'!$E235)=80,'Levantamento dutos'!$D235/0.5*1.5,0)</f>
        <v>0</v>
      </c>
      <c r="Z235" s="60">
        <f>IF(CODE('Levantamento dutos'!$E235)=76,ROUND(('Levantamento dutos'!$D235)+('Levantamento dutos'!$D235*Calculos!$G235*2)*1.1,0),0)</f>
        <v>0</v>
      </c>
      <c r="AA235" s="60">
        <f>IF(CODE('Levantamento dutos'!$G235)=80,('Levantamento dutos'!$D235/'Levantamento dutos'!$G$12)*8,0)</f>
        <v>0</v>
      </c>
      <c r="AB235" s="60">
        <f>IF(CODE('Levantamento dutos'!$G235)=80,IF('Levantamento dutos'!$B235&gt;30,('Levantamento dutos'!$D235/'Levantamento dutos'!$G$12)*4,0),0)</f>
        <v>0</v>
      </c>
      <c r="AC235" s="60">
        <f>IF('Levantamento dutos'!$B235&gt;220,('Levantamento dutos'!$D235/'Levantamento dutos'!$G$12*Calculos!$G235*2),0)</f>
        <v>0</v>
      </c>
      <c r="AD235" s="60">
        <f>IF(CODE('Levantamento dutos'!$E235)=73,((('Levantamento dutos'!$E$12/1000)+0.02)*'Levantamento dutos'!$D235)*4*1.3,0)</f>
        <v>0</v>
      </c>
      <c r="AE235" s="60">
        <f>IF(CODE('Levantamento dutos'!$E235)=80,((('Levantamento dutos'!$E$12/1000)+0.02)*'Levantamento dutos'!$D235)*4*1.3,0)</f>
        <v>0</v>
      </c>
    </row>
    <row r="236" spans="2:31" x14ac:dyDescent="0.2">
      <c r="B236" s="58">
        <f>IF('Levantamento dutos'!$B236&lt;=Calculos!$Z$3,((('Levantamento dutos'!$B236)/100+('Levantamento dutos'!$C236)/100)*2)*'Levantamento dutos'!$D236,0)</f>
        <v>0</v>
      </c>
      <c r="C236">
        <f>IF('Levantamento dutos'!$B236&gt;Calculos!$Z$3,IF('Levantamento dutos'!$B236&lt;=Calculos!$Z$4,((('Levantamento dutos'!$B236)/100+('Levantamento dutos'!$C236)/100)*2)*'Levantamento dutos'!$D236,0),0)</f>
        <v>0</v>
      </c>
      <c r="D236">
        <f>IF('Levantamento dutos'!$B236&gt;Calculos!$Z$4,IF('Levantamento dutos'!$B236&lt;=Calculos!$Z$5,((('Levantamento dutos'!$B236)/100+('Levantamento dutos'!$C236)/100)*2)*'Levantamento dutos'!$D236,0),0)</f>
        <v>0</v>
      </c>
      <c r="E236">
        <f>IF('Levantamento dutos'!$B236&gt;Calculos!$Z$5,IF('Levantamento dutos'!$B236&lt;=Calculos!$Z$6,((('Levantamento dutos'!$B236)/100+('Levantamento dutos'!$C236)/100)*2)*'Levantamento dutos'!$D236,0),0)</f>
        <v>0</v>
      </c>
      <c r="F236" s="59">
        <f>IF('Levantamento dutos'!$B236&gt;Calculos!$Z$7,((('Levantamento dutos'!$B236)/100+('Levantamento dutos'!$C236)/100)*2)*'Levantamento dutos'!$D236,0)</f>
        <v>0</v>
      </c>
      <c r="G236">
        <f>(('Levantamento dutos'!B236+'Levantamento dutos'!C236)/100)*2</f>
        <v>0</v>
      </c>
      <c r="H236" s="58">
        <f>IF(CODE('Levantamento dutos'!$E236)=76,SUM($B236:$F236),0)</f>
        <v>0</v>
      </c>
      <c r="I236">
        <f>IF(CODE('Levantamento dutos'!$E236)=73,SUM($B236:$F236),0)</f>
        <v>0</v>
      </c>
      <c r="J236">
        <f>IF(CODE('Levantamento dutos'!$E236)=80,SUM($B236:$F236),0)</f>
        <v>0</v>
      </c>
      <c r="K236">
        <f>IF(CODE('Levantamento dutos'!$F236)=66,SUM($B236:$F236),0)</f>
        <v>0</v>
      </c>
      <c r="L236">
        <f>IF(CODE('Levantamento dutos'!$F236)=70,SUM($B236:$F236),0)</f>
        <v>0</v>
      </c>
      <c r="M236" s="59">
        <f>IF(CODE('Levantamento dutos'!$E236)=84,SUM($B236:$F236),0)</f>
        <v>0</v>
      </c>
      <c r="N236" s="60">
        <f>IF(CODE('Levantamento dutos'!$G236)=80,IF('Levantamento dutos'!$B236&lt;=200,('Levantamento dutos'!$D236/'Levantamento dutos'!$G$12*Calculos!$G236*2),0),0)</f>
        <v>0</v>
      </c>
      <c r="O236" s="60">
        <f>IF(CODE('Levantamento dutos'!$G236)=80,IF('Levantamento dutos'!$B236&gt;200,('Levantamento dutos'!$D236/'Levantamento dutos'!$G$12*Calculos!$G236*2),0),0)</f>
        <v>0</v>
      </c>
      <c r="P236" s="60">
        <f>IF(CODE('Levantamento dutos'!$G236)=67,('Levantamento dutos'!$D236/'Levantamento dutos'!$G$12*Calculos!$G236*2),0)</f>
        <v>0</v>
      </c>
      <c r="Q236" s="60">
        <f>IF(CODE('Levantamento dutos'!H236)=83,((('Levantamento dutos'!B236/100)+('Levantamento dutos'!$H$12/1000))+(('Levantamento dutos'!C236/100)+('Levantamento dutos'!$H$12)/1000))*2*'Levantamento dutos'!D236,0)</f>
        <v>0</v>
      </c>
      <c r="S236" s="60">
        <f>IF(CODE('Levantamento dutos'!$I236)=83,$Q236,0)</f>
        <v>0</v>
      </c>
      <c r="T236" s="60">
        <f>IF(CODE('Levantamento dutos'!$E236)=76,ROUND((('Levantamento dutos'!$D236/5)*(Calculos!$G236+0.2)*1.2),0),0)</f>
        <v>0</v>
      </c>
      <c r="U236" s="60">
        <f>IF(CODE('Levantamento dutos'!$E236)=73,ROUND((('Levantamento dutos'!$D236/0.5)*(Calculos!$G236+0.2)*1.2),0),0)</f>
        <v>0</v>
      </c>
      <c r="V236" s="60">
        <f>IF(CODE('Levantamento dutos'!$E236)=80,ROUND((('Levantamento dutos'!$D236/0.5)*(Calculos!$G236+0.2)*1.2),0),0)</f>
        <v>0</v>
      </c>
      <c r="W236" s="60">
        <f>IF(CODE('Levantamento dutos'!$E236)=76,'Levantamento dutos'!$D236/0.5*1.5,0)</f>
        <v>0</v>
      </c>
      <c r="X236" s="60">
        <f>IF(CODE('Levantamento dutos'!$E236)=73,'Levantamento dutos'!$D236/0.5*1.5,0)</f>
        <v>0</v>
      </c>
      <c r="Y236" s="60">
        <f>IF(CODE('Levantamento dutos'!$E236)=80,'Levantamento dutos'!$D236/0.5*1.5,0)</f>
        <v>0</v>
      </c>
      <c r="Z236" s="60">
        <f>IF(CODE('Levantamento dutos'!$E236)=76,ROUND(('Levantamento dutos'!$D236)+('Levantamento dutos'!$D236*Calculos!$G236*2)*1.1,0),0)</f>
        <v>0</v>
      </c>
      <c r="AA236" s="60">
        <f>IF(CODE('Levantamento dutos'!$G236)=80,('Levantamento dutos'!$D236/'Levantamento dutos'!$G$12)*8,0)</f>
        <v>0</v>
      </c>
      <c r="AB236" s="60">
        <f>IF(CODE('Levantamento dutos'!$G236)=80,IF('Levantamento dutos'!$B236&gt;30,('Levantamento dutos'!$D236/'Levantamento dutos'!$G$12)*4,0),0)</f>
        <v>0</v>
      </c>
      <c r="AC236" s="60">
        <f>IF('Levantamento dutos'!$B236&gt;220,('Levantamento dutos'!$D236/'Levantamento dutos'!$G$12*Calculos!$G236*2),0)</f>
        <v>0</v>
      </c>
      <c r="AD236" s="60">
        <f>IF(CODE('Levantamento dutos'!$E236)=73,((('Levantamento dutos'!$E$12/1000)+0.02)*'Levantamento dutos'!$D236)*4*1.3,0)</f>
        <v>0</v>
      </c>
      <c r="AE236" s="60">
        <f>IF(CODE('Levantamento dutos'!$E236)=80,((('Levantamento dutos'!$E$12/1000)+0.02)*'Levantamento dutos'!$D236)*4*1.3,0)</f>
        <v>0</v>
      </c>
    </row>
    <row r="237" spans="2:31" x14ac:dyDescent="0.2">
      <c r="B237" s="58">
        <f>IF('Levantamento dutos'!$B237&lt;=Calculos!$Z$3,((('Levantamento dutos'!$B237)/100+('Levantamento dutos'!$C237)/100)*2)*'Levantamento dutos'!$D237,0)</f>
        <v>0</v>
      </c>
      <c r="C237">
        <f>IF('Levantamento dutos'!$B237&gt;Calculos!$Z$3,IF('Levantamento dutos'!$B237&lt;=Calculos!$Z$4,((('Levantamento dutos'!$B237)/100+('Levantamento dutos'!$C237)/100)*2)*'Levantamento dutos'!$D237,0),0)</f>
        <v>0</v>
      </c>
      <c r="D237">
        <f>IF('Levantamento dutos'!$B237&gt;Calculos!$Z$4,IF('Levantamento dutos'!$B237&lt;=Calculos!$Z$5,((('Levantamento dutos'!$B237)/100+('Levantamento dutos'!$C237)/100)*2)*'Levantamento dutos'!$D237,0),0)</f>
        <v>0</v>
      </c>
      <c r="E237">
        <f>IF('Levantamento dutos'!$B237&gt;Calculos!$Z$5,IF('Levantamento dutos'!$B237&lt;=Calculos!$Z$6,((('Levantamento dutos'!$B237)/100+('Levantamento dutos'!$C237)/100)*2)*'Levantamento dutos'!$D237,0),0)</f>
        <v>0</v>
      </c>
      <c r="F237" s="59">
        <f>IF('Levantamento dutos'!$B237&gt;Calculos!$Z$7,((('Levantamento dutos'!$B237)/100+('Levantamento dutos'!$C237)/100)*2)*'Levantamento dutos'!$D237,0)</f>
        <v>0</v>
      </c>
      <c r="G237">
        <f>(('Levantamento dutos'!B237+'Levantamento dutos'!C237)/100)*2</f>
        <v>0</v>
      </c>
      <c r="H237" s="58">
        <f>IF(CODE('Levantamento dutos'!$E237)=76,SUM($B237:$F237),0)</f>
        <v>0</v>
      </c>
      <c r="I237">
        <f>IF(CODE('Levantamento dutos'!$E237)=73,SUM($B237:$F237),0)</f>
        <v>0</v>
      </c>
      <c r="J237">
        <f>IF(CODE('Levantamento dutos'!$E237)=80,SUM($B237:$F237),0)</f>
        <v>0</v>
      </c>
      <c r="K237">
        <f>IF(CODE('Levantamento dutos'!$F237)=66,SUM($B237:$F237),0)</f>
        <v>0</v>
      </c>
      <c r="L237">
        <f>IF(CODE('Levantamento dutos'!$F237)=70,SUM($B237:$F237),0)</f>
        <v>0</v>
      </c>
      <c r="M237" s="59">
        <f>IF(CODE('Levantamento dutos'!$E237)=84,SUM($B237:$F237),0)</f>
        <v>0</v>
      </c>
      <c r="N237" s="60">
        <f>IF(CODE('Levantamento dutos'!$G237)=80,IF('Levantamento dutos'!$B237&lt;=200,('Levantamento dutos'!$D237/'Levantamento dutos'!$G$12*Calculos!$G237*2),0),0)</f>
        <v>0</v>
      </c>
      <c r="O237" s="60">
        <f>IF(CODE('Levantamento dutos'!$G237)=80,IF('Levantamento dutos'!$B237&gt;200,('Levantamento dutos'!$D237/'Levantamento dutos'!$G$12*Calculos!$G237*2),0),0)</f>
        <v>0</v>
      </c>
      <c r="P237" s="60">
        <f>IF(CODE('Levantamento dutos'!$G237)=67,('Levantamento dutos'!$D237/'Levantamento dutos'!$G$12*Calculos!$G237*2),0)</f>
        <v>0</v>
      </c>
      <c r="Q237" s="60">
        <f>IF(CODE('Levantamento dutos'!H237)=83,((('Levantamento dutos'!B237/100)+('Levantamento dutos'!$H$12/1000))+(('Levantamento dutos'!C237/100)+('Levantamento dutos'!$H$12)/1000))*2*'Levantamento dutos'!D237,0)</f>
        <v>0</v>
      </c>
      <c r="S237" s="60">
        <f>IF(CODE('Levantamento dutos'!$I237)=83,$Q237,0)</f>
        <v>0</v>
      </c>
      <c r="T237" s="60">
        <f>IF(CODE('Levantamento dutos'!$E237)=76,ROUND((('Levantamento dutos'!$D237/5)*(Calculos!$G237+0.2)*1.2),0),0)</f>
        <v>0</v>
      </c>
      <c r="U237" s="60">
        <f>IF(CODE('Levantamento dutos'!$E237)=73,ROUND((('Levantamento dutos'!$D237/0.5)*(Calculos!$G237+0.2)*1.2),0),0)</f>
        <v>0</v>
      </c>
      <c r="V237" s="60">
        <f>IF(CODE('Levantamento dutos'!$E237)=80,ROUND((('Levantamento dutos'!$D237/0.5)*(Calculos!$G237+0.2)*1.2),0),0)</f>
        <v>0</v>
      </c>
      <c r="W237" s="60">
        <f>IF(CODE('Levantamento dutos'!$E237)=76,'Levantamento dutos'!$D237/0.5*1.5,0)</f>
        <v>0</v>
      </c>
      <c r="X237" s="60">
        <f>IF(CODE('Levantamento dutos'!$E237)=73,'Levantamento dutos'!$D237/0.5*1.5,0)</f>
        <v>0</v>
      </c>
      <c r="Y237" s="60">
        <f>IF(CODE('Levantamento dutos'!$E237)=80,'Levantamento dutos'!$D237/0.5*1.5,0)</f>
        <v>0</v>
      </c>
      <c r="Z237" s="60">
        <f>IF(CODE('Levantamento dutos'!$E237)=76,ROUND(('Levantamento dutos'!$D237)+('Levantamento dutos'!$D237*Calculos!$G237*2)*1.1,0),0)</f>
        <v>0</v>
      </c>
      <c r="AA237" s="60">
        <f>IF(CODE('Levantamento dutos'!$G237)=80,('Levantamento dutos'!$D237/'Levantamento dutos'!$G$12)*8,0)</f>
        <v>0</v>
      </c>
      <c r="AB237" s="60">
        <f>IF(CODE('Levantamento dutos'!$G237)=80,IF('Levantamento dutos'!$B237&gt;30,('Levantamento dutos'!$D237/'Levantamento dutos'!$G$12)*4,0),0)</f>
        <v>0</v>
      </c>
      <c r="AC237" s="60">
        <f>IF('Levantamento dutos'!$B237&gt;220,('Levantamento dutos'!$D237/'Levantamento dutos'!$G$12*Calculos!$G237*2),0)</f>
        <v>0</v>
      </c>
      <c r="AD237" s="60">
        <f>IF(CODE('Levantamento dutos'!$E237)=73,((('Levantamento dutos'!$E$12/1000)+0.02)*'Levantamento dutos'!$D237)*4*1.3,0)</f>
        <v>0</v>
      </c>
      <c r="AE237" s="60">
        <f>IF(CODE('Levantamento dutos'!$E237)=80,((('Levantamento dutos'!$E$12/1000)+0.02)*'Levantamento dutos'!$D237)*4*1.3,0)</f>
        <v>0</v>
      </c>
    </row>
    <row r="238" spans="2:31" x14ac:dyDescent="0.2">
      <c r="B238" s="58">
        <f>IF('Levantamento dutos'!$B238&lt;=Calculos!$Z$3,((('Levantamento dutos'!$B238)/100+('Levantamento dutos'!$C238)/100)*2)*'Levantamento dutos'!$D238,0)</f>
        <v>0</v>
      </c>
      <c r="C238">
        <f>IF('Levantamento dutos'!$B238&gt;Calculos!$Z$3,IF('Levantamento dutos'!$B238&lt;=Calculos!$Z$4,((('Levantamento dutos'!$B238)/100+('Levantamento dutos'!$C238)/100)*2)*'Levantamento dutos'!$D238,0),0)</f>
        <v>0</v>
      </c>
      <c r="D238">
        <f>IF('Levantamento dutos'!$B238&gt;Calculos!$Z$4,IF('Levantamento dutos'!$B238&lt;=Calculos!$Z$5,((('Levantamento dutos'!$B238)/100+('Levantamento dutos'!$C238)/100)*2)*'Levantamento dutos'!$D238,0),0)</f>
        <v>0</v>
      </c>
      <c r="E238">
        <f>IF('Levantamento dutos'!$B238&gt;Calculos!$Z$5,IF('Levantamento dutos'!$B238&lt;=Calculos!$Z$6,((('Levantamento dutos'!$B238)/100+('Levantamento dutos'!$C238)/100)*2)*'Levantamento dutos'!$D238,0),0)</f>
        <v>0</v>
      </c>
      <c r="F238" s="59">
        <f>IF('Levantamento dutos'!$B238&gt;Calculos!$Z$7,((('Levantamento dutos'!$B238)/100+('Levantamento dutos'!$C238)/100)*2)*'Levantamento dutos'!$D238,0)</f>
        <v>0</v>
      </c>
      <c r="G238">
        <f>(('Levantamento dutos'!B238+'Levantamento dutos'!C238)/100)*2</f>
        <v>0</v>
      </c>
      <c r="H238" s="58">
        <f>IF(CODE('Levantamento dutos'!$E238)=76,SUM($B238:$F238),0)</f>
        <v>0</v>
      </c>
      <c r="I238">
        <f>IF(CODE('Levantamento dutos'!$E238)=73,SUM($B238:$F238),0)</f>
        <v>0</v>
      </c>
      <c r="J238">
        <f>IF(CODE('Levantamento dutos'!$E238)=80,SUM($B238:$F238),0)</f>
        <v>0</v>
      </c>
      <c r="K238">
        <f>IF(CODE('Levantamento dutos'!$F238)=66,SUM($B238:$F238),0)</f>
        <v>0</v>
      </c>
      <c r="L238">
        <f>IF(CODE('Levantamento dutos'!$F238)=70,SUM($B238:$F238),0)</f>
        <v>0</v>
      </c>
      <c r="M238" s="59">
        <f>IF(CODE('Levantamento dutos'!$E238)=84,SUM($B238:$F238),0)</f>
        <v>0</v>
      </c>
      <c r="N238" s="60">
        <f>IF(CODE('Levantamento dutos'!$G238)=80,IF('Levantamento dutos'!$B238&lt;=200,('Levantamento dutos'!$D238/'Levantamento dutos'!$G$12*Calculos!$G238*2),0),0)</f>
        <v>0</v>
      </c>
      <c r="O238" s="60">
        <f>IF(CODE('Levantamento dutos'!$G238)=80,IF('Levantamento dutos'!$B238&gt;200,('Levantamento dutos'!$D238/'Levantamento dutos'!$G$12*Calculos!$G238*2),0),0)</f>
        <v>0</v>
      </c>
      <c r="P238" s="60">
        <f>IF(CODE('Levantamento dutos'!$G238)=67,('Levantamento dutos'!$D238/'Levantamento dutos'!$G$12*Calculos!$G238*2),0)</f>
        <v>0</v>
      </c>
      <c r="Q238" s="60">
        <f>IF(CODE('Levantamento dutos'!H238)=83,((('Levantamento dutos'!B238/100)+('Levantamento dutos'!$H$12/1000))+(('Levantamento dutos'!C238/100)+('Levantamento dutos'!$H$12)/1000))*2*'Levantamento dutos'!D238,0)</f>
        <v>0</v>
      </c>
      <c r="S238" s="60">
        <f>IF(CODE('Levantamento dutos'!$I238)=83,$Q238,0)</f>
        <v>0</v>
      </c>
      <c r="T238" s="60">
        <f>IF(CODE('Levantamento dutos'!$E238)=76,ROUND((('Levantamento dutos'!$D238/5)*(Calculos!$G238+0.2)*1.2),0),0)</f>
        <v>0</v>
      </c>
      <c r="U238" s="60">
        <f>IF(CODE('Levantamento dutos'!$E238)=73,ROUND((('Levantamento dutos'!$D238/0.5)*(Calculos!$G238+0.2)*1.2),0),0)</f>
        <v>0</v>
      </c>
      <c r="V238" s="60">
        <f>IF(CODE('Levantamento dutos'!$E238)=80,ROUND((('Levantamento dutos'!$D238/0.5)*(Calculos!$G238+0.2)*1.2),0),0)</f>
        <v>0</v>
      </c>
      <c r="W238" s="60">
        <f>IF(CODE('Levantamento dutos'!$E238)=76,'Levantamento dutos'!$D238/0.5*1.5,0)</f>
        <v>0</v>
      </c>
      <c r="X238" s="60">
        <f>IF(CODE('Levantamento dutos'!$E238)=73,'Levantamento dutos'!$D238/0.5*1.5,0)</f>
        <v>0</v>
      </c>
      <c r="Y238" s="60">
        <f>IF(CODE('Levantamento dutos'!$E238)=80,'Levantamento dutos'!$D238/0.5*1.5,0)</f>
        <v>0</v>
      </c>
      <c r="Z238" s="60">
        <f>IF(CODE('Levantamento dutos'!$E238)=76,ROUND(('Levantamento dutos'!$D238)+('Levantamento dutos'!$D238*Calculos!$G238*2)*1.1,0),0)</f>
        <v>0</v>
      </c>
      <c r="AA238" s="60">
        <f>IF(CODE('Levantamento dutos'!$G238)=80,('Levantamento dutos'!$D238/'Levantamento dutos'!$G$12)*8,0)</f>
        <v>0</v>
      </c>
      <c r="AB238" s="60">
        <f>IF(CODE('Levantamento dutos'!$G238)=80,IF('Levantamento dutos'!$B238&gt;30,('Levantamento dutos'!$D238/'Levantamento dutos'!$G$12)*4,0),0)</f>
        <v>0</v>
      </c>
      <c r="AC238" s="60">
        <f>IF('Levantamento dutos'!$B238&gt;220,('Levantamento dutos'!$D238/'Levantamento dutos'!$G$12*Calculos!$G238*2),0)</f>
        <v>0</v>
      </c>
      <c r="AD238" s="60">
        <f>IF(CODE('Levantamento dutos'!$E238)=73,((('Levantamento dutos'!$E$12/1000)+0.02)*'Levantamento dutos'!$D238)*4*1.3,0)</f>
        <v>0</v>
      </c>
      <c r="AE238" s="60">
        <f>IF(CODE('Levantamento dutos'!$E238)=80,((('Levantamento dutos'!$E$12/1000)+0.02)*'Levantamento dutos'!$D238)*4*1.3,0)</f>
        <v>0</v>
      </c>
    </row>
    <row r="239" spans="2:31" x14ac:dyDescent="0.2">
      <c r="B239" s="58">
        <f>IF('Levantamento dutos'!$B239&lt;=Calculos!$Z$3,((('Levantamento dutos'!$B239)/100+('Levantamento dutos'!$C239)/100)*2)*'Levantamento dutos'!$D239,0)</f>
        <v>0</v>
      </c>
      <c r="C239">
        <f>IF('Levantamento dutos'!$B239&gt;Calculos!$Z$3,IF('Levantamento dutos'!$B239&lt;=Calculos!$Z$4,((('Levantamento dutos'!$B239)/100+('Levantamento dutos'!$C239)/100)*2)*'Levantamento dutos'!$D239,0),0)</f>
        <v>0</v>
      </c>
      <c r="D239">
        <f>IF('Levantamento dutos'!$B239&gt;Calculos!$Z$4,IF('Levantamento dutos'!$B239&lt;=Calculos!$Z$5,((('Levantamento dutos'!$B239)/100+('Levantamento dutos'!$C239)/100)*2)*'Levantamento dutos'!$D239,0),0)</f>
        <v>0</v>
      </c>
      <c r="E239">
        <f>IF('Levantamento dutos'!$B239&gt;Calculos!$Z$5,IF('Levantamento dutos'!$B239&lt;=Calculos!$Z$6,((('Levantamento dutos'!$B239)/100+('Levantamento dutos'!$C239)/100)*2)*'Levantamento dutos'!$D239,0),0)</f>
        <v>0</v>
      </c>
      <c r="F239" s="59">
        <f>IF('Levantamento dutos'!$B239&gt;Calculos!$Z$7,((('Levantamento dutos'!$B239)/100+('Levantamento dutos'!$C239)/100)*2)*'Levantamento dutos'!$D239,0)</f>
        <v>0</v>
      </c>
      <c r="G239">
        <f>(('Levantamento dutos'!B239+'Levantamento dutos'!C239)/100)*2</f>
        <v>0</v>
      </c>
      <c r="H239" s="58">
        <f>IF(CODE('Levantamento dutos'!$E239)=76,SUM($B239:$F239),0)</f>
        <v>0</v>
      </c>
      <c r="I239">
        <f>IF(CODE('Levantamento dutos'!$E239)=73,SUM($B239:$F239),0)</f>
        <v>0</v>
      </c>
      <c r="J239">
        <f>IF(CODE('Levantamento dutos'!$E239)=80,SUM($B239:$F239),0)</f>
        <v>0</v>
      </c>
      <c r="K239">
        <f>IF(CODE('Levantamento dutos'!$F239)=66,SUM($B239:$F239),0)</f>
        <v>0</v>
      </c>
      <c r="L239">
        <f>IF(CODE('Levantamento dutos'!$F239)=70,SUM($B239:$F239),0)</f>
        <v>0</v>
      </c>
      <c r="M239" s="59">
        <f>IF(CODE('Levantamento dutos'!$E239)=84,SUM($B239:$F239),0)</f>
        <v>0</v>
      </c>
      <c r="N239" s="60">
        <f>IF(CODE('Levantamento dutos'!$G239)=80,IF('Levantamento dutos'!$B239&lt;=200,('Levantamento dutos'!$D239/'Levantamento dutos'!$G$12*Calculos!$G239*2),0),0)</f>
        <v>0</v>
      </c>
      <c r="O239" s="60">
        <f>IF(CODE('Levantamento dutos'!$G239)=80,IF('Levantamento dutos'!$B239&gt;200,('Levantamento dutos'!$D239/'Levantamento dutos'!$G$12*Calculos!$G239*2),0),0)</f>
        <v>0</v>
      </c>
      <c r="P239" s="60">
        <f>IF(CODE('Levantamento dutos'!$G239)=67,('Levantamento dutos'!$D239/'Levantamento dutos'!$G$12*Calculos!$G239*2),0)</f>
        <v>0</v>
      </c>
      <c r="Q239" s="60">
        <f>IF(CODE('Levantamento dutos'!H239)=83,((('Levantamento dutos'!B239/100)+('Levantamento dutos'!$H$12/1000))+(('Levantamento dutos'!C239/100)+('Levantamento dutos'!$H$12)/1000))*2*'Levantamento dutos'!D239,0)</f>
        <v>0</v>
      </c>
      <c r="S239" s="60">
        <f>IF(CODE('Levantamento dutos'!$I239)=83,$Q239,0)</f>
        <v>0</v>
      </c>
      <c r="T239" s="60">
        <f>IF(CODE('Levantamento dutos'!$E239)=76,ROUND((('Levantamento dutos'!$D239/5)*(Calculos!$G239+0.2)*1.2),0),0)</f>
        <v>0</v>
      </c>
      <c r="U239" s="60">
        <f>IF(CODE('Levantamento dutos'!$E239)=73,ROUND((('Levantamento dutos'!$D239/0.5)*(Calculos!$G239+0.2)*1.2),0),0)</f>
        <v>0</v>
      </c>
      <c r="V239" s="60">
        <f>IF(CODE('Levantamento dutos'!$E239)=80,ROUND((('Levantamento dutos'!$D239/0.5)*(Calculos!$G239+0.2)*1.2),0),0)</f>
        <v>0</v>
      </c>
      <c r="W239" s="60">
        <f>IF(CODE('Levantamento dutos'!$E239)=76,'Levantamento dutos'!$D239/0.5*1.5,0)</f>
        <v>0</v>
      </c>
      <c r="X239" s="60">
        <f>IF(CODE('Levantamento dutos'!$E239)=73,'Levantamento dutos'!$D239/0.5*1.5,0)</f>
        <v>0</v>
      </c>
      <c r="Y239" s="60">
        <f>IF(CODE('Levantamento dutos'!$E239)=80,'Levantamento dutos'!$D239/0.5*1.5,0)</f>
        <v>0</v>
      </c>
      <c r="Z239" s="60">
        <f>IF(CODE('Levantamento dutos'!$E239)=76,ROUND(('Levantamento dutos'!$D239)+('Levantamento dutos'!$D239*Calculos!$G239*2)*1.1,0),0)</f>
        <v>0</v>
      </c>
      <c r="AA239" s="60">
        <f>IF(CODE('Levantamento dutos'!$G239)=80,('Levantamento dutos'!$D239/'Levantamento dutos'!$G$12)*8,0)</f>
        <v>0</v>
      </c>
      <c r="AB239" s="60">
        <f>IF(CODE('Levantamento dutos'!$G239)=80,IF('Levantamento dutos'!$B239&gt;30,('Levantamento dutos'!$D239/'Levantamento dutos'!$G$12)*4,0),0)</f>
        <v>0</v>
      </c>
      <c r="AC239" s="60">
        <f>IF('Levantamento dutos'!$B239&gt;220,('Levantamento dutos'!$D239/'Levantamento dutos'!$G$12*Calculos!$G239*2),0)</f>
        <v>0</v>
      </c>
      <c r="AD239" s="60">
        <f>IF(CODE('Levantamento dutos'!$E239)=73,((('Levantamento dutos'!$E$12/1000)+0.02)*'Levantamento dutos'!$D239)*4*1.3,0)</f>
        <v>0</v>
      </c>
      <c r="AE239" s="60">
        <f>IF(CODE('Levantamento dutos'!$E239)=80,((('Levantamento dutos'!$E$12/1000)+0.02)*'Levantamento dutos'!$D239)*4*1.3,0)</f>
        <v>0</v>
      </c>
    </row>
    <row r="240" spans="2:31" x14ac:dyDescent="0.2">
      <c r="B240" s="58">
        <f>IF('Levantamento dutos'!$B240&lt;=Calculos!$Z$3,((('Levantamento dutos'!$B240)/100+('Levantamento dutos'!$C240)/100)*2)*'Levantamento dutos'!$D240,0)</f>
        <v>0</v>
      </c>
      <c r="C240">
        <f>IF('Levantamento dutos'!$B240&gt;Calculos!$Z$3,IF('Levantamento dutos'!$B240&lt;=Calculos!$Z$4,((('Levantamento dutos'!$B240)/100+('Levantamento dutos'!$C240)/100)*2)*'Levantamento dutos'!$D240,0),0)</f>
        <v>0</v>
      </c>
      <c r="D240">
        <f>IF('Levantamento dutos'!$B240&gt;Calculos!$Z$4,IF('Levantamento dutos'!$B240&lt;=Calculos!$Z$5,((('Levantamento dutos'!$B240)/100+('Levantamento dutos'!$C240)/100)*2)*'Levantamento dutos'!$D240,0),0)</f>
        <v>0</v>
      </c>
      <c r="E240">
        <f>IF('Levantamento dutos'!$B240&gt;Calculos!$Z$5,IF('Levantamento dutos'!$B240&lt;=Calculos!$Z$6,((('Levantamento dutos'!$B240)/100+('Levantamento dutos'!$C240)/100)*2)*'Levantamento dutos'!$D240,0),0)</f>
        <v>0</v>
      </c>
      <c r="F240" s="59">
        <f>IF('Levantamento dutos'!$B240&gt;Calculos!$Z$7,((('Levantamento dutos'!$B240)/100+('Levantamento dutos'!$C240)/100)*2)*'Levantamento dutos'!$D240,0)</f>
        <v>0</v>
      </c>
      <c r="G240">
        <f>(('Levantamento dutos'!B240+'Levantamento dutos'!C240)/100)*2</f>
        <v>0</v>
      </c>
      <c r="H240" s="58">
        <f>IF(CODE('Levantamento dutos'!$E240)=76,SUM($B240:$F240),0)</f>
        <v>0</v>
      </c>
      <c r="I240">
        <f>IF(CODE('Levantamento dutos'!$E240)=73,SUM($B240:$F240),0)</f>
        <v>0</v>
      </c>
      <c r="J240">
        <f>IF(CODE('Levantamento dutos'!$E240)=80,SUM($B240:$F240),0)</f>
        <v>0</v>
      </c>
      <c r="K240">
        <f>IF(CODE('Levantamento dutos'!$F240)=66,SUM($B240:$F240),0)</f>
        <v>0</v>
      </c>
      <c r="L240">
        <f>IF(CODE('Levantamento dutos'!$F240)=70,SUM($B240:$F240),0)</f>
        <v>0</v>
      </c>
      <c r="M240" s="59">
        <f>IF(CODE('Levantamento dutos'!$E240)=84,SUM($B240:$F240),0)</f>
        <v>0</v>
      </c>
      <c r="N240" s="60">
        <f>IF(CODE('Levantamento dutos'!$G240)=80,IF('Levantamento dutos'!$B240&lt;=200,('Levantamento dutos'!$D240/'Levantamento dutos'!$G$12*Calculos!$G240*2),0),0)</f>
        <v>0</v>
      </c>
      <c r="O240" s="60">
        <f>IF(CODE('Levantamento dutos'!$G240)=80,IF('Levantamento dutos'!$B240&gt;200,('Levantamento dutos'!$D240/'Levantamento dutos'!$G$12*Calculos!$G240*2),0),0)</f>
        <v>0</v>
      </c>
      <c r="P240" s="60">
        <f>IF(CODE('Levantamento dutos'!$G240)=67,('Levantamento dutos'!$D240/'Levantamento dutos'!$G$12*Calculos!$G240*2),0)</f>
        <v>0</v>
      </c>
      <c r="Q240" s="60">
        <f>IF(CODE('Levantamento dutos'!H240)=83,((('Levantamento dutos'!B240/100)+('Levantamento dutos'!$H$12/1000))+(('Levantamento dutos'!C240/100)+('Levantamento dutos'!$H$12)/1000))*2*'Levantamento dutos'!D240,0)</f>
        <v>0</v>
      </c>
      <c r="S240" s="60">
        <f>IF(CODE('Levantamento dutos'!$I240)=83,$Q240,0)</f>
        <v>0</v>
      </c>
      <c r="T240" s="60">
        <f>IF(CODE('Levantamento dutos'!$E240)=76,ROUND((('Levantamento dutos'!$D240/5)*(Calculos!$G240+0.2)*1.2),0),0)</f>
        <v>0</v>
      </c>
      <c r="U240" s="60">
        <f>IF(CODE('Levantamento dutos'!$E240)=73,ROUND((('Levantamento dutos'!$D240/0.5)*(Calculos!$G240+0.2)*1.2),0),0)</f>
        <v>0</v>
      </c>
      <c r="V240" s="60">
        <f>IF(CODE('Levantamento dutos'!$E240)=80,ROUND((('Levantamento dutos'!$D240/0.5)*(Calculos!$G240+0.2)*1.2),0),0)</f>
        <v>0</v>
      </c>
      <c r="W240" s="60">
        <f>IF(CODE('Levantamento dutos'!$E240)=76,'Levantamento dutos'!$D240/0.5*1.5,0)</f>
        <v>0</v>
      </c>
      <c r="X240" s="60">
        <f>IF(CODE('Levantamento dutos'!$E240)=73,'Levantamento dutos'!$D240/0.5*1.5,0)</f>
        <v>0</v>
      </c>
      <c r="Y240" s="60">
        <f>IF(CODE('Levantamento dutos'!$E240)=80,'Levantamento dutos'!$D240/0.5*1.5,0)</f>
        <v>0</v>
      </c>
      <c r="Z240" s="60">
        <f>IF(CODE('Levantamento dutos'!$E240)=76,ROUND(('Levantamento dutos'!$D240)+('Levantamento dutos'!$D240*Calculos!$G240*2)*1.1,0),0)</f>
        <v>0</v>
      </c>
      <c r="AA240" s="60">
        <f>IF(CODE('Levantamento dutos'!$G240)=80,('Levantamento dutos'!$D240/'Levantamento dutos'!$G$12)*8,0)</f>
        <v>0</v>
      </c>
      <c r="AB240" s="60">
        <f>IF(CODE('Levantamento dutos'!$G240)=80,IF('Levantamento dutos'!$B240&gt;30,('Levantamento dutos'!$D240/'Levantamento dutos'!$G$12)*4,0),0)</f>
        <v>0</v>
      </c>
      <c r="AC240" s="60">
        <f>IF('Levantamento dutos'!$B240&gt;220,('Levantamento dutos'!$D240/'Levantamento dutos'!$G$12*Calculos!$G240*2),0)</f>
        <v>0</v>
      </c>
      <c r="AD240" s="60">
        <f>IF(CODE('Levantamento dutos'!$E240)=73,((('Levantamento dutos'!$E$12/1000)+0.02)*'Levantamento dutos'!$D240)*4*1.3,0)</f>
        <v>0</v>
      </c>
      <c r="AE240" s="60">
        <f>IF(CODE('Levantamento dutos'!$E240)=80,((('Levantamento dutos'!$E$12/1000)+0.02)*'Levantamento dutos'!$D240)*4*1.3,0)</f>
        <v>0</v>
      </c>
    </row>
    <row r="241" spans="2:31" x14ac:dyDescent="0.2">
      <c r="B241" s="58">
        <f>IF('Levantamento dutos'!$B241&lt;=Calculos!$Z$3,((('Levantamento dutos'!$B241)/100+('Levantamento dutos'!$C241)/100)*2)*'Levantamento dutos'!$D241,0)</f>
        <v>0</v>
      </c>
      <c r="C241">
        <f>IF('Levantamento dutos'!$B241&gt;Calculos!$Z$3,IF('Levantamento dutos'!$B241&lt;=Calculos!$Z$4,((('Levantamento dutos'!$B241)/100+('Levantamento dutos'!$C241)/100)*2)*'Levantamento dutos'!$D241,0),0)</f>
        <v>0</v>
      </c>
      <c r="D241">
        <f>IF('Levantamento dutos'!$B241&gt;Calculos!$Z$4,IF('Levantamento dutos'!$B241&lt;=Calculos!$Z$5,((('Levantamento dutos'!$B241)/100+('Levantamento dutos'!$C241)/100)*2)*'Levantamento dutos'!$D241,0),0)</f>
        <v>0</v>
      </c>
      <c r="E241">
        <f>IF('Levantamento dutos'!$B241&gt;Calculos!$Z$5,IF('Levantamento dutos'!$B241&lt;=Calculos!$Z$6,((('Levantamento dutos'!$B241)/100+('Levantamento dutos'!$C241)/100)*2)*'Levantamento dutos'!$D241,0),0)</f>
        <v>0</v>
      </c>
      <c r="F241" s="59">
        <f>IF('Levantamento dutos'!$B241&gt;Calculos!$Z$7,((('Levantamento dutos'!$B241)/100+('Levantamento dutos'!$C241)/100)*2)*'Levantamento dutos'!$D241,0)</f>
        <v>0</v>
      </c>
      <c r="G241">
        <f>(('Levantamento dutos'!B241+'Levantamento dutos'!C241)/100)*2</f>
        <v>0</v>
      </c>
      <c r="H241" s="58">
        <f>IF(CODE('Levantamento dutos'!$E241)=76,SUM($B241:$F241),0)</f>
        <v>0</v>
      </c>
      <c r="I241">
        <f>IF(CODE('Levantamento dutos'!$E241)=73,SUM($B241:$F241),0)</f>
        <v>0</v>
      </c>
      <c r="J241">
        <f>IF(CODE('Levantamento dutos'!$E241)=80,SUM($B241:$F241),0)</f>
        <v>0</v>
      </c>
      <c r="K241">
        <f>IF(CODE('Levantamento dutos'!$F241)=66,SUM($B241:$F241),0)</f>
        <v>0</v>
      </c>
      <c r="L241">
        <f>IF(CODE('Levantamento dutos'!$F241)=70,SUM($B241:$F241),0)</f>
        <v>0</v>
      </c>
      <c r="M241" s="59">
        <f>IF(CODE('Levantamento dutos'!$E241)=84,SUM($B241:$F241),0)</f>
        <v>0</v>
      </c>
      <c r="N241" s="60">
        <f>IF(CODE('Levantamento dutos'!$G241)=80,IF('Levantamento dutos'!$B241&lt;=200,('Levantamento dutos'!$D241/'Levantamento dutos'!$G$12*Calculos!$G241*2),0),0)</f>
        <v>0</v>
      </c>
      <c r="O241" s="60">
        <f>IF(CODE('Levantamento dutos'!$G241)=80,IF('Levantamento dutos'!$B241&gt;200,('Levantamento dutos'!$D241/'Levantamento dutos'!$G$12*Calculos!$G241*2),0),0)</f>
        <v>0</v>
      </c>
      <c r="P241" s="60">
        <f>IF(CODE('Levantamento dutos'!$G241)=67,('Levantamento dutos'!$D241/'Levantamento dutos'!$G$12*Calculos!$G241*2),0)</f>
        <v>0</v>
      </c>
      <c r="Q241" s="60">
        <f>IF(CODE('Levantamento dutos'!H241)=83,((('Levantamento dutos'!B241/100)+('Levantamento dutos'!$H$12/1000))+(('Levantamento dutos'!C241/100)+('Levantamento dutos'!$H$12)/1000))*2*'Levantamento dutos'!D241,0)</f>
        <v>0</v>
      </c>
      <c r="S241" s="60">
        <f>IF(CODE('Levantamento dutos'!$I241)=83,$Q241,0)</f>
        <v>0</v>
      </c>
      <c r="T241" s="60">
        <f>IF(CODE('Levantamento dutos'!$E241)=76,ROUND((('Levantamento dutos'!$D241/5)*(Calculos!$G241+0.2)*1.2),0),0)</f>
        <v>0</v>
      </c>
      <c r="U241" s="60">
        <f>IF(CODE('Levantamento dutos'!$E241)=73,ROUND((('Levantamento dutos'!$D241/0.5)*(Calculos!$G241+0.2)*1.2),0),0)</f>
        <v>0</v>
      </c>
      <c r="V241" s="60">
        <f>IF(CODE('Levantamento dutos'!$E241)=80,ROUND((('Levantamento dutos'!$D241/0.5)*(Calculos!$G241+0.2)*1.2),0),0)</f>
        <v>0</v>
      </c>
      <c r="W241" s="60">
        <f>IF(CODE('Levantamento dutos'!$E241)=76,'Levantamento dutos'!$D241/0.5*1.5,0)</f>
        <v>0</v>
      </c>
      <c r="X241" s="60">
        <f>IF(CODE('Levantamento dutos'!$E241)=73,'Levantamento dutos'!$D241/0.5*1.5,0)</f>
        <v>0</v>
      </c>
      <c r="Y241" s="60">
        <f>IF(CODE('Levantamento dutos'!$E241)=80,'Levantamento dutos'!$D241/0.5*1.5,0)</f>
        <v>0</v>
      </c>
      <c r="Z241" s="60">
        <f>IF(CODE('Levantamento dutos'!$E241)=76,ROUND(('Levantamento dutos'!$D241)+('Levantamento dutos'!$D241*Calculos!$G241*2)*1.1,0),0)</f>
        <v>0</v>
      </c>
      <c r="AA241" s="60">
        <f>IF(CODE('Levantamento dutos'!$G241)=80,('Levantamento dutos'!$D241/'Levantamento dutos'!$G$12)*8,0)</f>
        <v>0</v>
      </c>
      <c r="AB241" s="60">
        <f>IF(CODE('Levantamento dutos'!$G241)=80,IF('Levantamento dutos'!$B241&gt;30,('Levantamento dutos'!$D241/'Levantamento dutos'!$G$12)*4,0),0)</f>
        <v>0</v>
      </c>
      <c r="AC241" s="60">
        <f>IF('Levantamento dutos'!$B241&gt;220,('Levantamento dutos'!$D241/'Levantamento dutos'!$G$12*Calculos!$G241*2),0)</f>
        <v>0</v>
      </c>
      <c r="AD241" s="60">
        <f>IF(CODE('Levantamento dutos'!$E241)=73,((('Levantamento dutos'!$E$12/1000)+0.02)*'Levantamento dutos'!$D241)*4*1.3,0)</f>
        <v>0</v>
      </c>
      <c r="AE241" s="60">
        <f>IF(CODE('Levantamento dutos'!$E241)=80,((('Levantamento dutos'!$E$12/1000)+0.02)*'Levantamento dutos'!$D241)*4*1.3,0)</f>
        <v>0</v>
      </c>
    </row>
    <row r="242" spans="2:31" x14ac:dyDescent="0.2">
      <c r="B242" s="58">
        <f>IF('Levantamento dutos'!$B242&lt;=Calculos!$Z$3,((('Levantamento dutos'!$B242)/100+('Levantamento dutos'!$C242)/100)*2)*'Levantamento dutos'!$D242,0)</f>
        <v>0</v>
      </c>
      <c r="C242">
        <f>IF('Levantamento dutos'!$B242&gt;Calculos!$Z$3,IF('Levantamento dutos'!$B242&lt;=Calculos!$Z$4,((('Levantamento dutos'!$B242)/100+('Levantamento dutos'!$C242)/100)*2)*'Levantamento dutos'!$D242,0),0)</f>
        <v>0</v>
      </c>
      <c r="D242">
        <f>IF('Levantamento dutos'!$B242&gt;Calculos!$Z$4,IF('Levantamento dutos'!$B242&lt;=Calculos!$Z$5,((('Levantamento dutos'!$B242)/100+('Levantamento dutos'!$C242)/100)*2)*'Levantamento dutos'!$D242,0),0)</f>
        <v>0</v>
      </c>
      <c r="E242">
        <f>IF('Levantamento dutos'!$B242&gt;Calculos!$Z$5,IF('Levantamento dutos'!$B242&lt;=Calculos!$Z$6,((('Levantamento dutos'!$B242)/100+('Levantamento dutos'!$C242)/100)*2)*'Levantamento dutos'!$D242,0),0)</f>
        <v>0</v>
      </c>
      <c r="F242" s="59">
        <f>IF('Levantamento dutos'!$B242&gt;Calculos!$Z$7,((('Levantamento dutos'!$B242)/100+('Levantamento dutos'!$C242)/100)*2)*'Levantamento dutos'!$D242,0)</f>
        <v>0</v>
      </c>
      <c r="G242">
        <f>(('Levantamento dutos'!B242+'Levantamento dutos'!C242)/100)*2</f>
        <v>0</v>
      </c>
      <c r="H242" s="58">
        <f>IF(CODE('Levantamento dutos'!$E242)=76,SUM($B242:$F242),0)</f>
        <v>0</v>
      </c>
      <c r="I242">
        <f>IF(CODE('Levantamento dutos'!$E242)=73,SUM($B242:$F242),0)</f>
        <v>0</v>
      </c>
      <c r="J242">
        <f>IF(CODE('Levantamento dutos'!$E242)=80,SUM($B242:$F242),0)</f>
        <v>0</v>
      </c>
      <c r="K242">
        <f>IF(CODE('Levantamento dutos'!$F242)=66,SUM($B242:$F242),0)</f>
        <v>0</v>
      </c>
      <c r="L242">
        <f>IF(CODE('Levantamento dutos'!$F242)=70,SUM($B242:$F242),0)</f>
        <v>0</v>
      </c>
      <c r="M242" s="59">
        <f>IF(CODE('Levantamento dutos'!$E242)=84,SUM($B242:$F242),0)</f>
        <v>0</v>
      </c>
      <c r="N242" s="60">
        <f>IF(CODE('Levantamento dutos'!$G242)=80,IF('Levantamento dutos'!$B242&lt;=200,('Levantamento dutos'!$D242/'Levantamento dutos'!$G$12*Calculos!$G242*2),0),0)</f>
        <v>0</v>
      </c>
      <c r="O242" s="60">
        <f>IF(CODE('Levantamento dutos'!$G242)=80,IF('Levantamento dutos'!$B242&gt;200,('Levantamento dutos'!$D242/'Levantamento dutos'!$G$12*Calculos!$G242*2),0),0)</f>
        <v>0</v>
      </c>
      <c r="P242" s="60">
        <f>IF(CODE('Levantamento dutos'!$G242)=67,('Levantamento dutos'!$D242/'Levantamento dutos'!$G$12*Calculos!$G242*2),0)</f>
        <v>0</v>
      </c>
      <c r="Q242" s="60">
        <f>IF(CODE('Levantamento dutos'!H242)=83,((('Levantamento dutos'!B242/100)+('Levantamento dutos'!$H$12/1000))+(('Levantamento dutos'!C242/100)+('Levantamento dutos'!$H$12)/1000))*2*'Levantamento dutos'!D242,0)</f>
        <v>0</v>
      </c>
      <c r="S242" s="60">
        <f>IF(CODE('Levantamento dutos'!$I242)=83,$Q242,0)</f>
        <v>0</v>
      </c>
      <c r="T242" s="60">
        <f>IF(CODE('Levantamento dutos'!$E242)=76,ROUND((('Levantamento dutos'!$D242/5)*(Calculos!$G242+0.2)*1.2),0),0)</f>
        <v>0</v>
      </c>
      <c r="U242" s="60">
        <f>IF(CODE('Levantamento dutos'!$E242)=73,ROUND((('Levantamento dutos'!$D242/0.5)*(Calculos!$G242+0.2)*1.2),0),0)</f>
        <v>0</v>
      </c>
      <c r="V242" s="60">
        <f>IF(CODE('Levantamento dutos'!$E242)=80,ROUND((('Levantamento dutos'!$D242/0.5)*(Calculos!$G242+0.2)*1.2),0),0)</f>
        <v>0</v>
      </c>
      <c r="W242" s="60">
        <f>IF(CODE('Levantamento dutos'!$E242)=76,'Levantamento dutos'!$D242/0.5*1.5,0)</f>
        <v>0</v>
      </c>
      <c r="X242" s="60">
        <f>IF(CODE('Levantamento dutos'!$E242)=73,'Levantamento dutos'!$D242/0.5*1.5,0)</f>
        <v>0</v>
      </c>
      <c r="Y242" s="60">
        <f>IF(CODE('Levantamento dutos'!$E242)=80,'Levantamento dutos'!$D242/0.5*1.5,0)</f>
        <v>0</v>
      </c>
      <c r="Z242" s="60">
        <f>IF(CODE('Levantamento dutos'!$E242)=76,ROUND(('Levantamento dutos'!$D242)+('Levantamento dutos'!$D242*Calculos!$G242*2)*1.1,0),0)</f>
        <v>0</v>
      </c>
      <c r="AA242" s="60">
        <f>IF(CODE('Levantamento dutos'!$G242)=80,('Levantamento dutos'!$D242/'Levantamento dutos'!$G$12)*8,0)</f>
        <v>0</v>
      </c>
      <c r="AB242" s="60">
        <f>IF(CODE('Levantamento dutos'!$G242)=80,IF('Levantamento dutos'!$B242&gt;30,('Levantamento dutos'!$D242/'Levantamento dutos'!$G$12)*4,0),0)</f>
        <v>0</v>
      </c>
      <c r="AC242" s="60">
        <f>IF('Levantamento dutos'!$B242&gt;220,('Levantamento dutos'!$D242/'Levantamento dutos'!$G$12*Calculos!$G242*2),0)</f>
        <v>0</v>
      </c>
      <c r="AD242" s="60">
        <f>IF(CODE('Levantamento dutos'!$E242)=73,((('Levantamento dutos'!$E$12/1000)+0.02)*'Levantamento dutos'!$D242)*4*1.3,0)</f>
        <v>0</v>
      </c>
      <c r="AE242" s="60">
        <f>IF(CODE('Levantamento dutos'!$E242)=80,((('Levantamento dutos'!$E$12/1000)+0.02)*'Levantamento dutos'!$D242)*4*1.3,0)</f>
        <v>0</v>
      </c>
    </row>
    <row r="243" spans="2:31" x14ac:dyDescent="0.2">
      <c r="B243" s="58">
        <f>IF('Levantamento dutos'!$B243&lt;=Calculos!$Z$3,((('Levantamento dutos'!$B243)/100+('Levantamento dutos'!$C243)/100)*2)*'Levantamento dutos'!$D243,0)</f>
        <v>0</v>
      </c>
      <c r="C243">
        <f>IF('Levantamento dutos'!$B243&gt;Calculos!$Z$3,IF('Levantamento dutos'!$B243&lt;=Calculos!$Z$4,((('Levantamento dutos'!$B243)/100+('Levantamento dutos'!$C243)/100)*2)*'Levantamento dutos'!$D243,0),0)</f>
        <v>0</v>
      </c>
      <c r="D243">
        <f>IF('Levantamento dutos'!$B243&gt;Calculos!$Z$4,IF('Levantamento dutos'!$B243&lt;=Calculos!$Z$5,((('Levantamento dutos'!$B243)/100+('Levantamento dutos'!$C243)/100)*2)*'Levantamento dutos'!$D243,0),0)</f>
        <v>0</v>
      </c>
      <c r="E243">
        <f>IF('Levantamento dutos'!$B243&gt;Calculos!$Z$5,IF('Levantamento dutos'!$B243&lt;=Calculos!$Z$6,((('Levantamento dutos'!$B243)/100+('Levantamento dutos'!$C243)/100)*2)*'Levantamento dutos'!$D243,0),0)</f>
        <v>0</v>
      </c>
      <c r="F243" s="59">
        <f>IF('Levantamento dutos'!$B243&gt;Calculos!$Z$7,((('Levantamento dutos'!$B243)/100+('Levantamento dutos'!$C243)/100)*2)*'Levantamento dutos'!$D243,0)</f>
        <v>0</v>
      </c>
      <c r="G243">
        <f>(('Levantamento dutos'!B243+'Levantamento dutos'!C243)/100)*2</f>
        <v>0</v>
      </c>
      <c r="H243" s="58">
        <f>IF(CODE('Levantamento dutos'!$E243)=76,SUM($B243:$F243),0)</f>
        <v>0</v>
      </c>
      <c r="I243">
        <f>IF(CODE('Levantamento dutos'!$E243)=73,SUM($B243:$F243),0)</f>
        <v>0</v>
      </c>
      <c r="J243">
        <f>IF(CODE('Levantamento dutos'!$E243)=80,SUM($B243:$F243),0)</f>
        <v>0</v>
      </c>
      <c r="K243">
        <f>IF(CODE('Levantamento dutos'!$F243)=66,SUM($B243:$F243),0)</f>
        <v>0</v>
      </c>
      <c r="L243">
        <f>IF(CODE('Levantamento dutos'!$F243)=70,SUM($B243:$F243),0)</f>
        <v>0</v>
      </c>
      <c r="M243" s="59">
        <f>IF(CODE('Levantamento dutos'!$E243)=84,SUM($B243:$F243),0)</f>
        <v>0</v>
      </c>
      <c r="N243" s="60">
        <f>IF(CODE('Levantamento dutos'!$G243)=80,IF('Levantamento dutos'!$B243&lt;=200,('Levantamento dutos'!$D243/'Levantamento dutos'!$G$12*Calculos!$G243*2),0),0)</f>
        <v>0</v>
      </c>
      <c r="O243" s="60">
        <f>IF(CODE('Levantamento dutos'!$G243)=80,IF('Levantamento dutos'!$B243&gt;200,('Levantamento dutos'!$D243/'Levantamento dutos'!$G$12*Calculos!$G243*2),0),0)</f>
        <v>0</v>
      </c>
      <c r="P243" s="60">
        <f>IF(CODE('Levantamento dutos'!$G243)=67,('Levantamento dutos'!$D243/'Levantamento dutos'!$G$12*Calculos!$G243*2),0)</f>
        <v>0</v>
      </c>
      <c r="Q243" s="60">
        <f>IF(CODE('Levantamento dutos'!H243)=83,((('Levantamento dutos'!B243/100)+('Levantamento dutos'!$H$12/1000))+(('Levantamento dutos'!C243/100)+('Levantamento dutos'!$H$12)/1000))*2*'Levantamento dutos'!D243,0)</f>
        <v>0</v>
      </c>
      <c r="S243" s="60">
        <f>IF(CODE('Levantamento dutos'!$I243)=83,$Q243,0)</f>
        <v>0</v>
      </c>
      <c r="T243" s="60">
        <f>IF(CODE('Levantamento dutos'!$E243)=76,ROUND((('Levantamento dutos'!$D243/5)*(Calculos!$G243+0.2)*1.2),0),0)</f>
        <v>0</v>
      </c>
      <c r="U243" s="60">
        <f>IF(CODE('Levantamento dutos'!$E243)=73,ROUND((('Levantamento dutos'!$D243/0.5)*(Calculos!$G243+0.2)*1.2),0),0)</f>
        <v>0</v>
      </c>
      <c r="V243" s="60">
        <f>IF(CODE('Levantamento dutos'!$E243)=80,ROUND((('Levantamento dutos'!$D243/0.5)*(Calculos!$G243+0.2)*1.2),0),0)</f>
        <v>0</v>
      </c>
      <c r="W243" s="60">
        <f>IF(CODE('Levantamento dutos'!$E243)=76,'Levantamento dutos'!$D243/0.5*1.5,0)</f>
        <v>0</v>
      </c>
      <c r="X243" s="60">
        <f>IF(CODE('Levantamento dutos'!$E243)=73,'Levantamento dutos'!$D243/0.5*1.5,0)</f>
        <v>0</v>
      </c>
      <c r="Y243" s="60">
        <f>IF(CODE('Levantamento dutos'!$E243)=80,'Levantamento dutos'!$D243/0.5*1.5,0)</f>
        <v>0</v>
      </c>
      <c r="Z243" s="60">
        <f>IF(CODE('Levantamento dutos'!$E243)=76,ROUND(('Levantamento dutos'!$D243)+('Levantamento dutos'!$D243*Calculos!$G243*2)*1.1,0),0)</f>
        <v>0</v>
      </c>
      <c r="AA243" s="60">
        <f>IF(CODE('Levantamento dutos'!$G243)=80,('Levantamento dutos'!$D243/'Levantamento dutos'!$G$12)*8,0)</f>
        <v>0</v>
      </c>
      <c r="AB243" s="60">
        <f>IF(CODE('Levantamento dutos'!$G243)=80,IF('Levantamento dutos'!$B243&gt;30,('Levantamento dutos'!$D243/'Levantamento dutos'!$G$12)*4,0),0)</f>
        <v>0</v>
      </c>
      <c r="AC243" s="60">
        <f>IF('Levantamento dutos'!$B243&gt;220,('Levantamento dutos'!$D243/'Levantamento dutos'!$G$12*Calculos!$G243*2),0)</f>
        <v>0</v>
      </c>
      <c r="AD243" s="60">
        <f>IF(CODE('Levantamento dutos'!$E243)=73,((('Levantamento dutos'!$E$12/1000)+0.02)*'Levantamento dutos'!$D243)*4*1.3,0)</f>
        <v>0</v>
      </c>
      <c r="AE243" s="60">
        <f>IF(CODE('Levantamento dutos'!$E243)=80,((('Levantamento dutos'!$E$12/1000)+0.02)*'Levantamento dutos'!$D243)*4*1.3,0)</f>
        <v>0</v>
      </c>
    </row>
    <row r="244" spans="2:31" x14ac:dyDescent="0.2">
      <c r="B244" s="58">
        <f>IF('Levantamento dutos'!$B244&lt;=Calculos!$Z$3,((('Levantamento dutos'!$B244)/100+('Levantamento dutos'!$C244)/100)*2)*'Levantamento dutos'!$D244,0)</f>
        <v>0</v>
      </c>
      <c r="C244">
        <f>IF('Levantamento dutos'!$B244&gt;Calculos!$Z$3,IF('Levantamento dutos'!$B244&lt;=Calculos!$Z$4,((('Levantamento dutos'!$B244)/100+('Levantamento dutos'!$C244)/100)*2)*'Levantamento dutos'!$D244,0),0)</f>
        <v>0</v>
      </c>
      <c r="D244">
        <f>IF('Levantamento dutos'!$B244&gt;Calculos!$Z$4,IF('Levantamento dutos'!$B244&lt;=Calculos!$Z$5,((('Levantamento dutos'!$B244)/100+('Levantamento dutos'!$C244)/100)*2)*'Levantamento dutos'!$D244,0),0)</f>
        <v>0</v>
      </c>
      <c r="E244">
        <f>IF('Levantamento dutos'!$B244&gt;Calculos!$Z$5,IF('Levantamento dutos'!$B244&lt;=Calculos!$Z$6,((('Levantamento dutos'!$B244)/100+('Levantamento dutos'!$C244)/100)*2)*'Levantamento dutos'!$D244,0),0)</f>
        <v>0</v>
      </c>
      <c r="F244" s="59">
        <f>IF('Levantamento dutos'!$B244&gt;Calculos!$Z$7,((('Levantamento dutos'!$B244)/100+('Levantamento dutos'!$C244)/100)*2)*'Levantamento dutos'!$D244,0)</f>
        <v>0</v>
      </c>
      <c r="G244">
        <f>(('Levantamento dutos'!B244+'Levantamento dutos'!C244)/100)*2</f>
        <v>0</v>
      </c>
      <c r="H244" s="58">
        <f>IF(CODE('Levantamento dutos'!$E244)=76,SUM($B244:$F244),0)</f>
        <v>0</v>
      </c>
      <c r="I244">
        <f>IF(CODE('Levantamento dutos'!$E244)=73,SUM($B244:$F244),0)</f>
        <v>0</v>
      </c>
      <c r="J244">
        <f>IF(CODE('Levantamento dutos'!$E244)=80,SUM($B244:$F244),0)</f>
        <v>0</v>
      </c>
      <c r="K244">
        <f>IF(CODE('Levantamento dutos'!$F244)=66,SUM($B244:$F244),0)</f>
        <v>0</v>
      </c>
      <c r="L244">
        <f>IF(CODE('Levantamento dutos'!$F244)=70,SUM($B244:$F244),0)</f>
        <v>0</v>
      </c>
      <c r="M244" s="59">
        <f>IF(CODE('Levantamento dutos'!$E244)=84,SUM($B244:$F244),0)</f>
        <v>0</v>
      </c>
      <c r="N244" s="60">
        <f>IF(CODE('Levantamento dutos'!$G244)=80,IF('Levantamento dutos'!$B244&lt;=200,('Levantamento dutos'!$D244/'Levantamento dutos'!$G$12*Calculos!$G244*2),0),0)</f>
        <v>0</v>
      </c>
      <c r="O244" s="60">
        <f>IF(CODE('Levantamento dutos'!$G244)=80,IF('Levantamento dutos'!$B244&gt;200,('Levantamento dutos'!$D244/'Levantamento dutos'!$G$12*Calculos!$G244*2),0),0)</f>
        <v>0</v>
      </c>
      <c r="P244" s="60">
        <f>IF(CODE('Levantamento dutos'!$G244)=67,('Levantamento dutos'!$D244/'Levantamento dutos'!$G$12*Calculos!$G244*2),0)</f>
        <v>0</v>
      </c>
      <c r="Q244" s="60">
        <f>IF(CODE('Levantamento dutos'!H244)=83,((('Levantamento dutos'!B244/100)+('Levantamento dutos'!$H$12/1000))+(('Levantamento dutos'!C244/100)+('Levantamento dutos'!$H$12)/1000))*2*'Levantamento dutos'!D244,0)</f>
        <v>0</v>
      </c>
      <c r="S244" s="60">
        <f>IF(CODE('Levantamento dutos'!$I244)=83,$Q244,0)</f>
        <v>0</v>
      </c>
      <c r="T244" s="60">
        <f>IF(CODE('Levantamento dutos'!$E244)=76,ROUND((('Levantamento dutos'!$D244/5)*(Calculos!$G244+0.2)*1.2),0),0)</f>
        <v>0</v>
      </c>
      <c r="U244" s="60">
        <f>IF(CODE('Levantamento dutos'!$E244)=73,ROUND((('Levantamento dutos'!$D244/0.5)*(Calculos!$G244+0.2)*1.2),0),0)</f>
        <v>0</v>
      </c>
      <c r="V244" s="60">
        <f>IF(CODE('Levantamento dutos'!$E244)=80,ROUND((('Levantamento dutos'!$D244/0.5)*(Calculos!$G244+0.2)*1.2),0),0)</f>
        <v>0</v>
      </c>
      <c r="W244" s="60">
        <f>IF(CODE('Levantamento dutos'!$E244)=76,'Levantamento dutos'!$D244/0.5*1.5,0)</f>
        <v>0</v>
      </c>
      <c r="X244" s="60">
        <f>IF(CODE('Levantamento dutos'!$E244)=73,'Levantamento dutos'!$D244/0.5*1.5,0)</f>
        <v>0</v>
      </c>
      <c r="Y244" s="60">
        <f>IF(CODE('Levantamento dutos'!$E244)=80,'Levantamento dutos'!$D244/0.5*1.5,0)</f>
        <v>0</v>
      </c>
      <c r="Z244" s="60">
        <f>IF(CODE('Levantamento dutos'!$E244)=76,ROUND(('Levantamento dutos'!$D244)+('Levantamento dutos'!$D244*Calculos!$G244*2)*1.1,0),0)</f>
        <v>0</v>
      </c>
      <c r="AA244" s="60">
        <f>IF(CODE('Levantamento dutos'!$G244)=80,('Levantamento dutos'!$D244/'Levantamento dutos'!$G$12)*8,0)</f>
        <v>0</v>
      </c>
      <c r="AB244" s="60">
        <f>IF(CODE('Levantamento dutos'!$G244)=80,IF('Levantamento dutos'!$B244&gt;30,('Levantamento dutos'!$D244/'Levantamento dutos'!$G$12)*4,0),0)</f>
        <v>0</v>
      </c>
      <c r="AC244" s="60">
        <f>IF('Levantamento dutos'!$B244&gt;220,('Levantamento dutos'!$D244/'Levantamento dutos'!$G$12*Calculos!$G244*2),0)</f>
        <v>0</v>
      </c>
      <c r="AD244" s="60">
        <f>IF(CODE('Levantamento dutos'!$E244)=73,((('Levantamento dutos'!$E$12/1000)+0.02)*'Levantamento dutos'!$D244)*4*1.3,0)</f>
        <v>0</v>
      </c>
      <c r="AE244" s="60">
        <f>IF(CODE('Levantamento dutos'!$E244)=80,((('Levantamento dutos'!$E$12/1000)+0.02)*'Levantamento dutos'!$D244)*4*1.3,0)</f>
        <v>0</v>
      </c>
    </row>
    <row r="245" spans="2:31" x14ac:dyDescent="0.2">
      <c r="B245" s="58">
        <f>IF('Levantamento dutos'!$B245&lt;=Calculos!$Z$3,((('Levantamento dutos'!$B245)/100+('Levantamento dutos'!$C245)/100)*2)*'Levantamento dutos'!$D245,0)</f>
        <v>0</v>
      </c>
      <c r="C245">
        <f>IF('Levantamento dutos'!$B245&gt;Calculos!$Z$3,IF('Levantamento dutos'!$B245&lt;=Calculos!$Z$4,((('Levantamento dutos'!$B245)/100+('Levantamento dutos'!$C245)/100)*2)*'Levantamento dutos'!$D245,0),0)</f>
        <v>0</v>
      </c>
      <c r="D245">
        <f>IF('Levantamento dutos'!$B245&gt;Calculos!$Z$4,IF('Levantamento dutos'!$B245&lt;=Calculos!$Z$5,((('Levantamento dutos'!$B245)/100+('Levantamento dutos'!$C245)/100)*2)*'Levantamento dutos'!$D245,0),0)</f>
        <v>0</v>
      </c>
      <c r="E245">
        <f>IF('Levantamento dutos'!$B245&gt;Calculos!$Z$5,IF('Levantamento dutos'!$B245&lt;=Calculos!$Z$6,((('Levantamento dutos'!$B245)/100+('Levantamento dutos'!$C245)/100)*2)*'Levantamento dutos'!$D245,0),0)</f>
        <v>0</v>
      </c>
      <c r="F245" s="59">
        <f>IF('Levantamento dutos'!$B245&gt;Calculos!$Z$7,((('Levantamento dutos'!$B245)/100+('Levantamento dutos'!$C245)/100)*2)*'Levantamento dutos'!$D245,0)</f>
        <v>0</v>
      </c>
      <c r="G245">
        <f>(('Levantamento dutos'!B245+'Levantamento dutos'!C245)/100)*2</f>
        <v>0</v>
      </c>
      <c r="H245" s="58">
        <f>IF(CODE('Levantamento dutos'!$E245)=76,SUM($B245:$F245),0)</f>
        <v>0</v>
      </c>
      <c r="I245">
        <f>IF(CODE('Levantamento dutos'!$E245)=73,SUM($B245:$F245),0)</f>
        <v>0</v>
      </c>
      <c r="J245">
        <f>IF(CODE('Levantamento dutos'!$E245)=80,SUM($B245:$F245),0)</f>
        <v>0</v>
      </c>
      <c r="K245">
        <f>IF(CODE('Levantamento dutos'!$F245)=66,SUM($B245:$F245),0)</f>
        <v>0</v>
      </c>
      <c r="L245">
        <f>IF(CODE('Levantamento dutos'!$F245)=70,SUM($B245:$F245),0)</f>
        <v>0</v>
      </c>
      <c r="M245" s="59">
        <f>IF(CODE('Levantamento dutos'!$E245)=84,SUM($B245:$F245),0)</f>
        <v>0</v>
      </c>
      <c r="N245" s="60">
        <f>IF(CODE('Levantamento dutos'!$G245)=80,IF('Levantamento dutos'!$B245&lt;=200,('Levantamento dutos'!$D245/'Levantamento dutos'!$G$12*Calculos!$G245*2),0),0)</f>
        <v>0</v>
      </c>
      <c r="O245" s="60">
        <f>IF(CODE('Levantamento dutos'!$G245)=80,IF('Levantamento dutos'!$B245&gt;200,('Levantamento dutos'!$D245/'Levantamento dutos'!$G$12*Calculos!$G245*2),0),0)</f>
        <v>0</v>
      </c>
      <c r="P245" s="60">
        <f>IF(CODE('Levantamento dutos'!$G245)=67,('Levantamento dutos'!$D245/'Levantamento dutos'!$G$12*Calculos!$G245*2),0)</f>
        <v>0</v>
      </c>
      <c r="Q245" s="60">
        <f>IF(CODE('Levantamento dutos'!H245)=83,((('Levantamento dutos'!B245/100)+('Levantamento dutos'!$H$12/1000))+(('Levantamento dutos'!C245/100)+('Levantamento dutos'!$H$12)/1000))*2*'Levantamento dutos'!D245,0)</f>
        <v>0</v>
      </c>
      <c r="S245" s="60">
        <f>IF(CODE('Levantamento dutos'!$I245)=83,$Q245,0)</f>
        <v>0</v>
      </c>
      <c r="T245" s="60">
        <f>IF(CODE('Levantamento dutos'!$E245)=76,ROUND((('Levantamento dutos'!$D245/5)*(Calculos!$G245+0.2)*1.2),0),0)</f>
        <v>0</v>
      </c>
      <c r="U245" s="60">
        <f>IF(CODE('Levantamento dutos'!$E245)=73,ROUND((('Levantamento dutos'!$D245/0.5)*(Calculos!$G245+0.2)*1.2),0),0)</f>
        <v>0</v>
      </c>
      <c r="V245" s="60">
        <f>IF(CODE('Levantamento dutos'!$E245)=80,ROUND((('Levantamento dutos'!$D245/0.5)*(Calculos!$G245+0.2)*1.2),0),0)</f>
        <v>0</v>
      </c>
      <c r="W245" s="60">
        <f>IF(CODE('Levantamento dutos'!$E245)=76,'Levantamento dutos'!$D245/0.5*1.5,0)</f>
        <v>0</v>
      </c>
      <c r="X245" s="60">
        <f>IF(CODE('Levantamento dutos'!$E245)=73,'Levantamento dutos'!$D245/0.5*1.5,0)</f>
        <v>0</v>
      </c>
      <c r="Y245" s="60">
        <f>IF(CODE('Levantamento dutos'!$E245)=80,'Levantamento dutos'!$D245/0.5*1.5,0)</f>
        <v>0</v>
      </c>
      <c r="Z245" s="60">
        <f>IF(CODE('Levantamento dutos'!$E245)=76,ROUND(('Levantamento dutos'!$D245)+('Levantamento dutos'!$D245*Calculos!$G245*2)*1.1,0),0)</f>
        <v>0</v>
      </c>
      <c r="AA245" s="60">
        <f>IF(CODE('Levantamento dutos'!$G245)=80,('Levantamento dutos'!$D245/'Levantamento dutos'!$G$12)*8,0)</f>
        <v>0</v>
      </c>
      <c r="AB245" s="60">
        <f>IF(CODE('Levantamento dutos'!$G245)=80,IF('Levantamento dutos'!$B245&gt;30,('Levantamento dutos'!$D245/'Levantamento dutos'!$G$12)*4,0),0)</f>
        <v>0</v>
      </c>
      <c r="AC245" s="60">
        <f>IF('Levantamento dutos'!$B245&gt;220,('Levantamento dutos'!$D245/'Levantamento dutos'!$G$12*Calculos!$G245*2),0)</f>
        <v>0</v>
      </c>
      <c r="AD245" s="60">
        <f>IF(CODE('Levantamento dutos'!$E245)=73,((('Levantamento dutos'!$E$12/1000)+0.02)*'Levantamento dutos'!$D245)*4*1.3,0)</f>
        <v>0</v>
      </c>
      <c r="AE245" s="60">
        <f>IF(CODE('Levantamento dutos'!$E245)=80,((('Levantamento dutos'!$E$12/1000)+0.02)*'Levantamento dutos'!$D245)*4*1.3,0)</f>
        <v>0</v>
      </c>
    </row>
    <row r="246" spans="2:31" x14ac:dyDescent="0.2">
      <c r="B246" s="58">
        <f>IF('Levantamento dutos'!$B246&lt;=Calculos!$Z$3,((('Levantamento dutos'!$B246)/100+('Levantamento dutos'!$C246)/100)*2)*'Levantamento dutos'!$D246,0)</f>
        <v>0</v>
      </c>
      <c r="C246">
        <f>IF('Levantamento dutos'!$B246&gt;Calculos!$Z$3,IF('Levantamento dutos'!$B246&lt;=Calculos!$Z$4,((('Levantamento dutos'!$B246)/100+('Levantamento dutos'!$C246)/100)*2)*'Levantamento dutos'!$D246,0),0)</f>
        <v>0</v>
      </c>
      <c r="D246">
        <f>IF('Levantamento dutos'!$B246&gt;Calculos!$Z$4,IF('Levantamento dutos'!$B246&lt;=Calculos!$Z$5,((('Levantamento dutos'!$B246)/100+('Levantamento dutos'!$C246)/100)*2)*'Levantamento dutos'!$D246,0),0)</f>
        <v>0</v>
      </c>
      <c r="E246">
        <f>IF('Levantamento dutos'!$B246&gt;Calculos!$Z$5,IF('Levantamento dutos'!$B246&lt;=Calculos!$Z$6,((('Levantamento dutos'!$B246)/100+('Levantamento dutos'!$C246)/100)*2)*'Levantamento dutos'!$D246,0),0)</f>
        <v>0</v>
      </c>
      <c r="F246" s="59">
        <f>IF('Levantamento dutos'!$B246&gt;Calculos!$Z$7,((('Levantamento dutos'!$B246)/100+('Levantamento dutos'!$C246)/100)*2)*'Levantamento dutos'!$D246,0)</f>
        <v>0</v>
      </c>
      <c r="G246">
        <f>(('Levantamento dutos'!B246+'Levantamento dutos'!C246)/100)*2</f>
        <v>0</v>
      </c>
      <c r="H246" s="58">
        <f>IF(CODE('Levantamento dutos'!$E246)=76,SUM($B246:$F246),0)</f>
        <v>0</v>
      </c>
      <c r="I246">
        <f>IF(CODE('Levantamento dutos'!$E246)=73,SUM($B246:$F246),0)</f>
        <v>0</v>
      </c>
      <c r="J246">
        <f>IF(CODE('Levantamento dutos'!$E246)=80,SUM($B246:$F246),0)</f>
        <v>0</v>
      </c>
      <c r="K246">
        <f>IF(CODE('Levantamento dutos'!$F246)=66,SUM($B246:$F246),0)</f>
        <v>0</v>
      </c>
      <c r="L246">
        <f>IF(CODE('Levantamento dutos'!$F246)=70,SUM($B246:$F246),0)</f>
        <v>0</v>
      </c>
      <c r="M246" s="59">
        <f>IF(CODE('Levantamento dutos'!$E246)=84,SUM($B246:$F246),0)</f>
        <v>0</v>
      </c>
      <c r="N246" s="60">
        <f>IF(CODE('Levantamento dutos'!$G246)=80,IF('Levantamento dutos'!$B246&lt;=200,('Levantamento dutos'!$D246/'Levantamento dutos'!$G$12*Calculos!$G246*2),0),0)</f>
        <v>0</v>
      </c>
      <c r="O246" s="60">
        <f>IF(CODE('Levantamento dutos'!$G246)=80,IF('Levantamento dutos'!$B246&gt;200,('Levantamento dutos'!$D246/'Levantamento dutos'!$G$12*Calculos!$G246*2),0),0)</f>
        <v>0</v>
      </c>
      <c r="P246" s="60">
        <f>IF(CODE('Levantamento dutos'!$G246)=67,('Levantamento dutos'!$D246/'Levantamento dutos'!$G$12*Calculos!$G246*2),0)</f>
        <v>0</v>
      </c>
      <c r="Q246" s="60">
        <f>IF(CODE('Levantamento dutos'!H246)=83,((('Levantamento dutos'!B246/100)+('Levantamento dutos'!$H$12/1000))+(('Levantamento dutos'!C246/100)+('Levantamento dutos'!$H$12)/1000))*2*'Levantamento dutos'!D246,0)</f>
        <v>0</v>
      </c>
      <c r="S246" s="60">
        <f>IF(CODE('Levantamento dutos'!$I246)=83,$Q246,0)</f>
        <v>0</v>
      </c>
      <c r="T246" s="60">
        <f>IF(CODE('Levantamento dutos'!$E246)=76,ROUND((('Levantamento dutos'!$D246/5)*(Calculos!$G246+0.2)*1.2),0),0)</f>
        <v>0</v>
      </c>
      <c r="U246" s="60">
        <f>IF(CODE('Levantamento dutos'!$E246)=73,ROUND((('Levantamento dutos'!$D246/0.5)*(Calculos!$G246+0.2)*1.2),0),0)</f>
        <v>0</v>
      </c>
      <c r="V246" s="60">
        <f>IF(CODE('Levantamento dutos'!$E246)=80,ROUND((('Levantamento dutos'!$D246/0.5)*(Calculos!$G246+0.2)*1.2),0),0)</f>
        <v>0</v>
      </c>
      <c r="W246" s="60">
        <f>IF(CODE('Levantamento dutos'!$E246)=76,'Levantamento dutos'!$D246/0.5*1.5,0)</f>
        <v>0</v>
      </c>
      <c r="X246" s="60">
        <f>IF(CODE('Levantamento dutos'!$E246)=73,'Levantamento dutos'!$D246/0.5*1.5,0)</f>
        <v>0</v>
      </c>
      <c r="Y246" s="60">
        <f>IF(CODE('Levantamento dutos'!$E246)=80,'Levantamento dutos'!$D246/0.5*1.5,0)</f>
        <v>0</v>
      </c>
      <c r="Z246" s="60">
        <f>IF(CODE('Levantamento dutos'!$E246)=76,ROUND(('Levantamento dutos'!$D246)+('Levantamento dutos'!$D246*Calculos!$G246*2)*1.1,0),0)</f>
        <v>0</v>
      </c>
      <c r="AA246" s="60">
        <f>IF(CODE('Levantamento dutos'!$G246)=80,('Levantamento dutos'!$D246/'Levantamento dutos'!$G$12)*8,0)</f>
        <v>0</v>
      </c>
      <c r="AB246" s="60">
        <f>IF(CODE('Levantamento dutos'!$G246)=80,IF('Levantamento dutos'!$B246&gt;30,('Levantamento dutos'!$D246/'Levantamento dutos'!$G$12)*4,0),0)</f>
        <v>0</v>
      </c>
      <c r="AC246" s="60">
        <f>IF('Levantamento dutos'!$B246&gt;220,('Levantamento dutos'!$D246/'Levantamento dutos'!$G$12*Calculos!$G246*2),0)</f>
        <v>0</v>
      </c>
      <c r="AD246" s="60">
        <f>IF(CODE('Levantamento dutos'!$E246)=73,((('Levantamento dutos'!$E$12/1000)+0.02)*'Levantamento dutos'!$D246)*4*1.3,0)</f>
        <v>0</v>
      </c>
      <c r="AE246" s="60">
        <f>IF(CODE('Levantamento dutos'!$E246)=80,((('Levantamento dutos'!$E$12/1000)+0.02)*'Levantamento dutos'!$D246)*4*1.3,0)</f>
        <v>0</v>
      </c>
    </row>
    <row r="247" spans="2:31" x14ac:dyDescent="0.2">
      <c r="B247" s="58">
        <f>IF('Levantamento dutos'!$B247&lt;=Calculos!$Z$3,((('Levantamento dutos'!$B247)/100+('Levantamento dutos'!$C247)/100)*2)*'Levantamento dutos'!$D247,0)</f>
        <v>0</v>
      </c>
      <c r="C247">
        <f>IF('Levantamento dutos'!$B247&gt;Calculos!$Z$3,IF('Levantamento dutos'!$B247&lt;=Calculos!$Z$4,((('Levantamento dutos'!$B247)/100+('Levantamento dutos'!$C247)/100)*2)*'Levantamento dutos'!$D247,0),0)</f>
        <v>0</v>
      </c>
      <c r="D247">
        <f>IF('Levantamento dutos'!$B247&gt;Calculos!$Z$4,IF('Levantamento dutos'!$B247&lt;=Calculos!$Z$5,((('Levantamento dutos'!$B247)/100+('Levantamento dutos'!$C247)/100)*2)*'Levantamento dutos'!$D247,0),0)</f>
        <v>0</v>
      </c>
      <c r="E247">
        <f>IF('Levantamento dutos'!$B247&gt;Calculos!$Z$5,IF('Levantamento dutos'!$B247&lt;=Calculos!$Z$6,((('Levantamento dutos'!$B247)/100+('Levantamento dutos'!$C247)/100)*2)*'Levantamento dutos'!$D247,0),0)</f>
        <v>0</v>
      </c>
      <c r="F247" s="59">
        <f>IF('Levantamento dutos'!$B247&gt;Calculos!$Z$7,((('Levantamento dutos'!$B247)/100+('Levantamento dutos'!$C247)/100)*2)*'Levantamento dutos'!$D247,0)</f>
        <v>0</v>
      </c>
      <c r="G247">
        <f>(('Levantamento dutos'!B247+'Levantamento dutos'!C247)/100)*2</f>
        <v>0</v>
      </c>
      <c r="H247" s="58">
        <f>IF(CODE('Levantamento dutos'!$E247)=76,SUM($B247:$F247),0)</f>
        <v>0</v>
      </c>
      <c r="I247">
        <f>IF(CODE('Levantamento dutos'!$E247)=73,SUM($B247:$F247),0)</f>
        <v>0</v>
      </c>
      <c r="J247">
        <f>IF(CODE('Levantamento dutos'!$E247)=80,SUM($B247:$F247),0)</f>
        <v>0</v>
      </c>
      <c r="K247">
        <f>IF(CODE('Levantamento dutos'!$F247)=66,SUM($B247:$F247),0)</f>
        <v>0</v>
      </c>
      <c r="L247">
        <f>IF(CODE('Levantamento dutos'!$F247)=70,SUM($B247:$F247),0)</f>
        <v>0</v>
      </c>
      <c r="M247" s="59">
        <f>IF(CODE('Levantamento dutos'!$E247)=84,SUM($B247:$F247),0)</f>
        <v>0</v>
      </c>
      <c r="N247" s="60">
        <f>IF(CODE('Levantamento dutos'!$G247)=80,IF('Levantamento dutos'!$B247&lt;=200,('Levantamento dutos'!$D247/'Levantamento dutos'!$G$12*Calculos!$G247*2),0),0)</f>
        <v>0</v>
      </c>
      <c r="O247" s="60">
        <f>IF(CODE('Levantamento dutos'!$G247)=80,IF('Levantamento dutos'!$B247&gt;200,('Levantamento dutos'!$D247/'Levantamento dutos'!$G$12*Calculos!$G247*2),0),0)</f>
        <v>0</v>
      </c>
      <c r="P247" s="60">
        <f>IF(CODE('Levantamento dutos'!$G247)=67,('Levantamento dutos'!$D247/'Levantamento dutos'!$G$12*Calculos!$G247*2),0)</f>
        <v>0</v>
      </c>
      <c r="Q247" s="60">
        <f>IF(CODE('Levantamento dutos'!H247)=83,((('Levantamento dutos'!B247/100)+('Levantamento dutos'!$H$12/1000))+(('Levantamento dutos'!C247/100)+('Levantamento dutos'!$H$12)/1000))*2*'Levantamento dutos'!D247,0)</f>
        <v>0</v>
      </c>
      <c r="S247" s="60">
        <f>IF(CODE('Levantamento dutos'!$I247)=83,$Q247,0)</f>
        <v>0</v>
      </c>
      <c r="T247" s="60">
        <f>IF(CODE('Levantamento dutos'!$E247)=76,ROUND((('Levantamento dutos'!$D247/5)*(Calculos!$G247+0.2)*1.2),0),0)</f>
        <v>0</v>
      </c>
      <c r="U247" s="60">
        <f>IF(CODE('Levantamento dutos'!$E247)=73,ROUND((('Levantamento dutos'!$D247/0.5)*(Calculos!$G247+0.2)*1.2),0),0)</f>
        <v>0</v>
      </c>
      <c r="V247" s="60">
        <f>IF(CODE('Levantamento dutos'!$E247)=80,ROUND((('Levantamento dutos'!$D247/0.5)*(Calculos!$G247+0.2)*1.2),0),0)</f>
        <v>0</v>
      </c>
      <c r="W247" s="60">
        <f>IF(CODE('Levantamento dutos'!$E247)=76,'Levantamento dutos'!$D247/0.5*1.5,0)</f>
        <v>0</v>
      </c>
      <c r="X247" s="60">
        <f>IF(CODE('Levantamento dutos'!$E247)=73,'Levantamento dutos'!$D247/0.5*1.5,0)</f>
        <v>0</v>
      </c>
      <c r="Y247" s="60">
        <f>IF(CODE('Levantamento dutos'!$E247)=80,'Levantamento dutos'!$D247/0.5*1.5,0)</f>
        <v>0</v>
      </c>
      <c r="Z247" s="60">
        <f>IF(CODE('Levantamento dutos'!$E247)=76,ROUND(('Levantamento dutos'!$D247)+('Levantamento dutos'!$D247*Calculos!$G247*2)*1.1,0),0)</f>
        <v>0</v>
      </c>
      <c r="AA247" s="60">
        <f>IF(CODE('Levantamento dutos'!$G247)=80,('Levantamento dutos'!$D247/'Levantamento dutos'!$G$12)*8,0)</f>
        <v>0</v>
      </c>
      <c r="AB247" s="60">
        <f>IF(CODE('Levantamento dutos'!$G247)=80,IF('Levantamento dutos'!$B247&gt;30,('Levantamento dutos'!$D247/'Levantamento dutos'!$G$12)*4,0),0)</f>
        <v>0</v>
      </c>
      <c r="AC247" s="60">
        <f>IF('Levantamento dutos'!$B247&gt;220,('Levantamento dutos'!$D247/'Levantamento dutos'!$G$12*Calculos!$G247*2),0)</f>
        <v>0</v>
      </c>
      <c r="AD247" s="60">
        <f>IF(CODE('Levantamento dutos'!$E247)=73,((('Levantamento dutos'!$E$12/1000)+0.02)*'Levantamento dutos'!$D247)*4*1.3,0)</f>
        <v>0</v>
      </c>
      <c r="AE247" s="60">
        <f>IF(CODE('Levantamento dutos'!$E247)=80,((('Levantamento dutos'!$E$12/1000)+0.02)*'Levantamento dutos'!$D247)*4*1.3,0)</f>
        <v>0</v>
      </c>
    </row>
    <row r="248" spans="2:31" x14ac:dyDescent="0.2">
      <c r="B248" s="58">
        <f>IF('Levantamento dutos'!$B248&lt;=Calculos!$Z$3,((('Levantamento dutos'!$B248)/100+('Levantamento dutos'!$C248)/100)*2)*'Levantamento dutos'!$D248,0)</f>
        <v>0</v>
      </c>
      <c r="C248">
        <f>IF('Levantamento dutos'!$B248&gt;Calculos!$Z$3,IF('Levantamento dutos'!$B248&lt;=Calculos!$Z$4,((('Levantamento dutos'!$B248)/100+('Levantamento dutos'!$C248)/100)*2)*'Levantamento dutos'!$D248,0),0)</f>
        <v>0</v>
      </c>
      <c r="D248">
        <f>IF('Levantamento dutos'!$B248&gt;Calculos!$Z$4,IF('Levantamento dutos'!$B248&lt;=Calculos!$Z$5,((('Levantamento dutos'!$B248)/100+('Levantamento dutos'!$C248)/100)*2)*'Levantamento dutos'!$D248,0),0)</f>
        <v>0</v>
      </c>
      <c r="E248">
        <f>IF('Levantamento dutos'!$B248&gt;Calculos!$Z$5,IF('Levantamento dutos'!$B248&lt;=Calculos!$Z$6,((('Levantamento dutos'!$B248)/100+('Levantamento dutos'!$C248)/100)*2)*'Levantamento dutos'!$D248,0),0)</f>
        <v>0</v>
      </c>
      <c r="F248" s="59">
        <f>IF('Levantamento dutos'!$B248&gt;Calculos!$Z$7,((('Levantamento dutos'!$B248)/100+('Levantamento dutos'!$C248)/100)*2)*'Levantamento dutos'!$D248,0)</f>
        <v>0</v>
      </c>
      <c r="G248">
        <f>(('Levantamento dutos'!B248+'Levantamento dutos'!C248)/100)*2</f>
        <v>0</v>
      </c>
      <c r="H248" s="58">
        <f>IF(CODE('Levantamento dutos'!$E248)=76,SUM($B248:$F248),0)</f>
        <v>0</v>
      </c>
      <c r="I248">
        <f>IF(CODE('Levantamento dutos'!$E248)=73,SUM($B248:$F248),0)</f>
        <v>0</v>
      </c>
      <c r="J248">
        <f>IF(CODE('Levantamento dutos'!$E248)=80,SUM($B248:$F248),0)</f>
        <v>0</v>
      </c>
      <c r="K248">
        <f>IF(CODE('Levantamento dutos'!$F248)=66,SUM($B248:$F248),0)</f>
        <v>0</v>
      </c>
      <c r="L248">
        <f>IF(CODE('Levantamento dutos'!$F248)=70,SUM($B248:$F248),0)</f>
        <v>0</v>
      </c>
      <c r="M248" s="59">
        <f>IF(CODE('Levantamento dutos'!$E248)=84,SUM($B248:$F248),0)</f>
        <v>0</v>
      </c>
      <c r="N248" s="60">
        <f>IF(CODE('Levantamento dutos'!$G248)=80,IF('Levantamento dutos'!$B248&lt;=200,('Levantamento dutos'!$D248/'Levantamento dutos'!$G$12*Calculos!$G248*2),0),0)</f>
        <v>0</v>
      </c>
      <c r="O248" s="60">
        <f>IF(CODE('Levantamento dutos'!$G248)=80,IF('Levantamento dutos'!$B248&gt;200,('Levantamento dutos'!$D248/'Levantamento dutos'!$G$12*Calculos!$G248*2),0),0)</f>
        <v>0</v>
      </c>
      <c r="P248" s="60">
        <f>IF(CODE('Levantamento dutos'!$G248)=67,('Levantamento dutos'!$D248/'Levantamento dutos'!$G$12*Calculos!$G248*2),0)</f>
        <v>0</v>
      </c>
      <c r="Q248" s="60">
        <f>IF(CODE('Levantamento dutos'!H248)=83,((('Levantamento dutos'!B248/100)+('Levantamento dutos'!$H$12/1000))+(('Levantamento dutos'!C248/100)+('Levantamento dutos'!$H$12)/1000))*2*'Levantamento dutos'!D248,0)</f>
        <v>0</v>
      </c>
      <c r="S248" s="60">
        <f>IF(CODE('Levantamento dutos'!$I248)=83,$Q248,0)</f>
        <v>0</v>
      </c>
      <c r="T248" s="60">
        <f>IF(CODE('Levantamento dutos'!$E248)=76,ROUND((('Levantamento dutos'!$D248/5)*(Calculos!$G248+0.2)*1.2),0),0)</f>
        <v>0</v>
      </c>
      <c r="U248" s="60">
        <f>IF(CODE('Levantamento dutos'!$E248)=73,ROUND((('Levantamento dutos'!$D248/0.5)*(Calculos!$G248+0.2)*1.2),0),0)</f>
        <v>0</v>
      </c>
      <c r="V248" s="60">
        <f>IF(CODE('Levantamento dutos'!$E248)=80,ROUND((('Levantamento dutos'!$D248/0.5)*(Calculos!$G248+0.2)*1.2),0),0)</f>
        <v>0</v>
      </c>
      <c r="W248" s="60">
        <f>IF(CODE('Levantamento dutos'!$E248)=76,'Levantamento dutos'!$D248/0.5*1.5,0)</f>
        <v>0</v>
      </c>
      <c r="X248" s="60">
        <f>IF(CODE('Levantamento dutos'!$E248)=73,'Levantamento dutos'!$D248/0.5*1.5,0)</f>
        <v>0</v>
      </c>
      <c r="Y248" s="60">
        <f>IF(CODE('Levantamento dutos'!$E248)=80,'Levantamento dutos'!$D248/0.5*1.5,0)</f>
        <v>0</v>
      </c>
      <c r="Z248" s="60">
        <f>IF(CODE('Levantamento dutos'!$E248)=76,ROUND(('Levantamento dutos'!$D248)+('Levantamento dutos'!$D248*Calculos!$G248*2)*1.1,0),0)</f>
        <v>0</v>
      </c>
      <c r="AA248" s="60">
        <f>IF(CODE('Levantamento dutos'!$G248)=80,('Levantamento dutos'!$D248/'Levantamento dutos'!$G$12)*8,0)</f>
        <v>0</v>
      </c>
      <c r="AB248" s="60">
        <f>IF(CODE('Levantamento dutos'!$G248)=80,IF('Levantamento dutos'!$B248&gt;30,('Levantamento dutos'!$D248/'Levantamento dutos'!$G$12)*4,0),0)</f>
        <v>0</v>
      </c>
      <c r="AC248" s="60">
        <f>IF('Levantamento dutos'!$B248&gt;220,('Levantamento dutos'!$D248/'Levantamento dutos'!$G$12*Calculos!$G248*2),0)</f>
        <v>0</v>
      </c>
      <c r="AD248" s="60">
        <f>IF(CODE('Levantamento dutos'!$E248)=73,((('Levantamento dutos'!$E$12/1000)+0.02)*'Levantamento dutos'!$D248)*4*1.3,0)</f>
        <v>0</v>
      </c>
      <c r="AE248" s="60">
        <f>IF(CODE('Levantamento dutos'!$E248)=80,((('Levantamento dutos'!$E$12/1000)+0.02)*'Levantamento dutos'!$D248)*4*1.3,0)</f>
        <v>0</v>
      </c>
    </row>
    <row r="249" spans="2:31" x14ac:dyDescent="0.2">
      <c r="B249" s="58">
        <f>IF('Levantamento dutos'!$B249&lt;=Calculos!$Z$3,((('Levantamento dutos'!$B249)/100+('Levantamento dutos'!$C249)/100)*2)*'Levantamento dutos'!$D249,0)</f>
        <v>0</v>
      </c>
      <c r="C249">
        <f>IF('Levantamento dutos'!$B249&gt;Calculos!$Z$3,IF('Levantamento dutos'!$B249&lt;=Calculos!$Z$4,((('Levantamento dutos'!$B249)/100+('Levantamento dutos'!$C249)/100)*2)*'Levantamento dutos'!$D249,0),0)</f>
        <v>0</v>
      </c>
      <c r="D249">
        <f>IF('Levantamento dutos'!$B249&gt;Calculos!$Z$4,IF('Levantamento dutos'!$B249&lt;=Calculos!$Z$5,((('Levantamento dutos'!$B249)/100+('Levantamento dutos'!$C249)/100)*2)*'Levantamento dutos'!$D249,0),0)</f>
        <v>0</v>
      </c>
      <c r="E249">
        <f>IF('Levantamento dutos'!$B249&gt;Calculos!$Z$5,IF('Levantamento dutos'!$B249&lt;=Calculos!$Z$6,((('Levantamento dutos'!$B249)/100+('Levantamento dutos'!$C249)/100)*2)*'Levantamento dutos'!$D249,0),0)</f>
        <v>0</v>
      </c>
      <c r="F249" s="59">
        <f>IF('Levantamento dutos'!$B249&gt;Calculos!$Z$7,((('Levantamento dutos'!$B249)/100+('Levantamento dutos'!$C249)/100)*2)*'Levantamento dutos'!$D249,0)</f>
        <v>0</v>
      </c>
      <c r="G249">
        <f>(('Levantamento dutos'!B249+'Levantamento dutos'!C249)/100)*2</f>
        <v>0</v>
      </c>
      <c r="H249" s="58">
        <f>IF(CODE('Levantamento dutos'!$E249)=76,SUM($B249:$F249),0)</f>
        <v>0</v>
      </c>
      <c r="I249">
        <f>IF(CODE('Levantamento dutos'!$E249)=73,SUM($B249:$F249),0)</f>
        <v>0</v>
      </c>
      <c r="J249">
        <f>IF(CODE('Levantamento dutos'!$E249)=80,SUM($B249:$F249),0)</f>
        <v>0</v>
      </c>
      <c r="K249">
        <f>IF(CODE('Levantamento dutos'!$F249)=66,SUM($B249:$F249),0)</f>
        <v>0</v>
      </c>
      <c r="L249">
        <f>IF(CODE('Levantamento dutos'!$F249)=70,SUM($B249:$F249),0)</f>
        <v>0</v>
      </c>
      <c r="M249" s="59">
        <f>IF(CODE('Levantamento dutos'!$E249)=84,SUM($B249:$F249),0)</f>
        <v>0</v>
      </c>
      <c r="N249" s="60">
        <f>IF(CODE('Levantamento dutos'!$G249)=80,IF('Levantamento dutos'!$B249&lt;=200,('Levantamento dutos'!$D249/'Levantamento dutos'!$G$12*Calculos!$G249*2),0),0)</f>
        <v>0</v>
      </c>
      <c r="O249" s="60">
        <f>IF(CODE('Levantamento dutos'!$G249)=80,IF('Levantamento dutos'!$B249&gt;200,('Levantamento dutos'!$D249/'Levantamento dutos'!$G$12*Calculos!$G249*2),0),0)</f>
        <v>0</v>
      </c>
      <c r="P249" s="60">
        <f>IF(CODE('Levantamento dutos'!$G249)=67,('Levantamento dutos'!$D249/'Levantamento dutos'!$G$12*Calculos!$G249*2),0)</f>
        <v>0</v>
      </c>
      <c r="Q249" s="60">
        <f>IF(CODE('Levantamento dutos'!H249)=83,((('Levantamento dutos'!B249/100)+('Levantamento dutos'!$H$12/1000))+(('Levantamento dutos'!C249/100)+('Levantamento dutos'!$H$12)/1000))*2*'Levantamento dutos'!D249,0)</f>
        <v>0</v>
      </c>
      <c r="S249" s="60">
        <f>IF(CODE('Levantamento dutos'!$I249)=83,$Q249,0)</f>
        <v>0</v>
      </c>
      <c r="T249" s="60">
        <f>IF(CODE('Levantamento dutos'!$E249)=76,ROUND((('Levantamento dutos'!$D249/5)*(Calculos!$G249+0.2)*1.2),0),0)</f>
        <v>0</v>
      </c>
      <c r="U249" s="60">
        <f>IF(CODE('Levantamento dutos'!$E249)=73,ROUND((('Levantamento dutos'!$D249/0.5)*(Calculos!$G249+0.2)*1.2),0),0)</f>
        <v>0</v>
      </c>
      <c r="V249" s="60">
        <f>IF(CODE('Levantamento dutos'!$E249)=80,ROUND((('Levantamento dutos'!$D249/0.5)*(Calculos!$G249+0.2)*1.2),0),0)</f>
        <v>0</v>
      </c>
      <c r="W249" s="60">
        <f>IF(CODE('Levantamento dutos'!$E249)=76,'Levantamento dutos'!$D249/0.5*1.5,0)</f>
        <v>0</v>
      </c>
      <c r="X249" s="60">
        <f>IF(CODE('Levantamento dutos'!$E249)=73,'Levantamento dutos'!$D249/0.5*1.5,0)</f>
        <v>0</v>
      </c>
      <c r="Y249" s="60">
        <f>IF(CODE('Levantamento dutos'!$E249)=80,'Levantamento dutos'!$D249/0.5*1.5,0)</f>
        <v>0</v>
      </c>
      <c r="Z249" s="60">
        <f>IF(CODE('Levantamento dutos'!$E249)=76,ROUND(('Levantamento dutos'!$D249)+('Levantamento dutos'!$D249*Calculos!$G249*2)*1.1,0),0)</f>
        <v>0</v>
      </c>
      <c r="AA249" s="60">
        <f>IF(CODE('Levantamento dutos'!$G249)=80,('Levantamento dutos'!$D249/'Levantamento dutos'!$G$12)*8,0)</f>
        <v>0</v>
      </c>
      <c r="AB249" s="60">
        <f>IF(CODE('Levantamento dutos'!$G249)=80,IF('Levantamento dutos'!$B249&gt;30,('Levantamento dutos'!$D249/'Levantamento dutos'!$G$12)*4,0),0)</f>
        <v>0</v>
      </c>
      <c r="AC249" s="60">
        <f>IF('Levantamento dutos'!$B249&gt;220,('Levantamento dutos'!$D249/'Levantamento dutos'!$G$12*Calculos!$G249*2),0)</f>
        <v>0</v>
      </c>
      <c r="AD249" s="60">
        <f>IF(CODE('Levantamento dutos'!$E249)=73,((('Levantamento dutos'!$E$12/1000)+0.02)*'Levantamento dutos'!$D249)*4*1.3,0)</f>
        <v>0</v>
      </c>
      <c r="AE249" s="60">
        <f>IF(CODE('Levantamento dutos'!$E249)=80,((('Levantamento dutos'!$E$12/1000)+0.02)*'Levantamento dutos'!$D249)*4*1.3,0)</f>
        <v>0</v>
      </c>
    </row>
    <row r="250" spans="2:31" x14ac:dyDescent="0.2">
      <c r="B250" s="58">
        <f>IF('Levantamento dutos'!$B250&lt;=Calculos!$Z$3,((('Levantamento dutos'!$B250)/100+('Levantamento dutos'!$C250)/100)*2)*'Levantamento dutos'!$D250,0)</f>
        <v>0</v>
      </c>
      <c r="C250">
        <f>IF('Levantamento dutos'!$B250&gt;Calculos!$Z$3,IF('Levantamento dutos'!$B250&lt;=Calculos!$Z$4,((('Levantamento dutos'!$B250)/100+('Levantamento dutos'!$C250)/100)*2)*'Levantamento dutos'!$D250,0),0)</f>
        <v>0</v>
      </c>
      <c r="D250">
        <f>IF('Levantamento dutos'!$B250&gt;Calculos!$Z$4,IF('Levantamento dutos'!$B250&lt;=Calculos!$Z$5,((('Levantamento dutos'!$B250)/100+('Levantamento dutos'!$C250)/100)*2)*'Levantamento dutos'!$D250,0),0)</f>
        <v>0</v>
      </c>
      <c r="E250">
        <f>IF('Levantamento dutos'!$B250&gt;Calculos!$Z$5,IF('Levantamento dutos'!$B250&lt;=Calculos!$Z$6,((('Levantamento dutos'!$B250)/100+('Levantamento dutos'!$C250)/100)*2)*'Levantamento dutos'!$D250,0),0)</f>
        <v>0</v>
      </c>
      <c r="F250" s="59">
        <f>IF('Levantamento dutos'!$B250&gt;Calculos!$Z$7,((('Levantamento dutos'!$B250)/100+('Levantamento dutos'!$C250)/100)*2)*'Levantamento dutos'!$D250,0)</f>
        <v>0</v>
      </c>
      <c r="G250">
        <f>(('Levantamento dutos'!B250+'Levantamento dutos'!C250)/100)*2</f>
        <v>0</v>
      </c>
      <c r="H250" s="58">
        <f>IF(CODE('Levantamento dutos'!$E250)=76,SUM($B250:$F250),0)</f>
        <v>0</v>
      </c>
      <c r="I250">
        <f>IF(CODE('Levantamento dutos'!$E250)=73,SUM($B250:$F250),0)</f>
        <v>0</v>
      </c>
      <c r="J250">
        <f>IF(CODE('Levantamento dutos'!$E250)=80,SUM($B250:$F250),0)</f>
        <v>0</v>
      </c>
      <c r="K250">
        <f>IF(CODE('Levantamento dutos'!$F250)=66,SUM($B250:$F250),0)</f>
        <v>0</v>
      </c>
      <c r="L250">
        <f>IF(CODE('Levantamento dutos'!$F250)=70,SUM($B250:$F250),0)</f>
        <v>0</v>
      </c>
      <c r="M250" s="59">
        <f>IF(CODE('Levantamento dutos'!$E250)=84,SUM($B250:$F250),0)</f>
        <v>0</v>
      </c>
      <c r="N250" s="60">
        <f>IF(CODE('Levantamento dutos'!$G250)=80,IF('Levantamento dutos'!$B250&lt;=200,('Levantamento dutos'!$D250/'Levantamento dutos'!$G$12*Calculos!$G250*2),0),0)</f>
        <v>0</v>
      </c>
      <c r="O250" s="60">
        <f>IF(CODE('Levantamento dutos'!$G250)=80,IF('Levantamento dutos'!$B250&gt;200,('Levantamento dutos'!$D250/'Levantamento dutos'!$G$12*Calculos!$G250*2),0),0)</f>
        <v>0</v>
      </c>
      <c r="P250" s="60">
        <f>IF(CODE('Levantamento dutos'!$G250)=67,('Levantamento dutos'!$D250/'Levantamento dutos'!$G$12*Calculos!$G250*2),0)</f>
        <v>0</v>
      </c>
      <c r="Q250" s="60">
        <f>IF(CODE('Levantamento dutos'!H250)=83,((('Levantamento dutos'!B250/100)+('Levantamento dutos'!$H$12/1000))+(('Levantamento dutos'!C250/100)+('Levantamento dutos'!$H$12)/1000))*2*'Levantamento dutos'!D250,0)</f>
        <v>0</v>
      </c>
      <c r="S250" s="60">
        <f>IF(CODE('Levantamento dutos'!$I250)=83,$Q250,0)</f>
        <v>0</v>
      </c>
      <c r="T250" s="60">
        <f>IF(CODE('Levantamento dutos'!$E250)=76,ROUND((('Levantamento dutos'!$D250/5)*(Calculos!$G250+0.2)*1.2),0),0)</f>
        <v>0</v>
      </c>
      <c r="U250" s="60">
        <f>IF(CODE('Levantamento dutos'!$E250)=73,ROUND((('Levantamento dutos'!$D250/0.5)*(Calculos!$G250+0.2)*1.2),0),0)</f>
        <v>0</v>
      </c>
      <c r="V250" s="60">
        <f>IF(CODE('Levantamento dutos'!$E250)=80,ROUND((('Levantamento dutos'!$D250/0.5)*(Calculos!$G250+0.2)*1.2),0),0)</f>
        <v>0</v>
      </c>
      <c r="W250" s="60">
        <f>IF(CODE('Levantamento dutos'!$E250)=76,'Levantamento dutos'!$D250/0.5*1.5,0)</f>
        <v>0</v>
      </c>
      <c r="X250" s="60">
        <f>IF(CODE('Levantamento dutos'!$E250)=73,'Levantamento dutos'!$D250/0.5*1.5,0)</f>
        <v>0</v>
      </c>
      <c r="Y250" s="60">
        <f>IF(CODE('Levantamento dutos'!$E250)=80,'Levantamento dutos'!$D250/0.5*1.5,0)</f>
        <v>0</v>
      </c>
      <c r="Z250" s="60">
        <f>IF(CODE('Levantamento dutos'!$E250)=76,ROUND(('Levantamento dutos'!$D250)+('Levantamento dutos'!$D250*Calculos!$G250*2)*1.1,0),0)</f>
        <v>0</v>
      </c>
      <c r="AA250" s="60">
        <f>IF(CODE('Levantamento dutos'!$G250)=80,('Levantamento dutos'!$D250/'Levantamento dutos'!$G$12)*8,0)</f>
        <v>0</v>
      </c>
      <c r="AB250" s="60">
        <f>IF(CODE('Levantamento dutos'!$G250)=80,IF('Levantamento dutos'!$B250&gt;30,('Levantamento dutos'!$D250/'Levantamento dutos'!$G$12)*4,0),0)</f>
        <v>0</v>
      </c>
      <c r="AC250" s="60">
        <f>IF('Levantamento dutos'!$B250&gt;220,('Levantamento dutos'!$D250/'Levantamento dutos'!$G$12*Calculos!$G250*2),0)</f>
        <v>0</v>
      </c>
      <c r="AD250" s="60">
        <f>IF(CODE('Levantamento dutos'!$E250)=73,((('Levantamento dutos'!$E$12/1000)+0.02)*'Levantamento dutos'!$D250)*4*1.3,0)</f>
        <v>0</v>
      </c>
      <c r="AE250" s="60">
        <f>IF(CODE('Levantamento dutos'!$E250)=80,((('Levantamento dutos'!$E$12/1000)+0.02)*'Levantamento dutos'!$D250)*4*1.3,0)</f>
        <v>0</v>
      </c>
    </row>
    <row r="251" spans="2:31" x14ac:dyDescent="0.2">
      <c r="B251" s="58">
        <f>IF('Levantamento dutos'!$B251&lt;=Calculos!$Z$3,((('Levantamento dutos'!$B251)/100+('Levantamento dutos'!$C251)/100)*2)*'Levantamento dutos'!$D251,0)</f>
        <v>0</v>
      </c>
      <c r="C251">
        <f>IF('Levantamento dutos'!$B251&gt;Calculos!$Z$3,IF('Levantamento dutos'!$B251&lt;=Calculos!$Z$4,((('Levantamento dutos'!$B251)/100+('Levantamento dutos'!$C251)/100)*2)*'Levantamento dutos'!$D251,0),0)</f>
        <v>0</v>
      </c>
      <c r="D251">
        <f>IF('Levantamento dutos'!$B251&gt;Calculos!$Z$4,IF('Levantamento dutos'!$B251&lt;=Calculos!$Z$5,((('Levantamento dutos'!$B251)/100+('Levantamento dutos'!$C251)/100)*2)*'Levantamento dutos'!$D251,0),0)</f>
        <v>0</v>
      </c>
      <c r="E251">
        <f>IF('Levantamento dutos'!$B251&gt;Calculos!$Z$5,IF('Levantamento dutos'!$B251&lt;=Calculos!$Z$6,((('Levantamento dutos'!$B251)/100+('Levantamento dutos'!$C251)/100)*2)*'Levantamento dutos'!$D251,0),0)</f>
        <v>0</v>
      </c>
      <c r="F251" s="59">
        <f>IF('Levantamento dutos'!$B251&gt;Calculos!$Z$7,((('Levantamento dutos'!$B251)/100+('Levantamento dutos'!$C251)/100)*2)*'Levantamento dutos'!$D251,0)</f>
        <v>0</v>
      </c>
      <c r="G251">
        <f>(('Levantamento dutos'!B251+'Levantamento dutos'!C251)/100)*2</f>
        <v>0</v>
      </c>
      <c r="H251" s="58">
        <f>IF(CODE('Levantamento dutos'!$E251)=76,SUM($B251:$F251),0)</f>
        <v>0</v>
      </c>
      <c r="I251">
        <f>IF(CODE('Levantamento dutos'!$E251)=73,SUM($B251:$F251),0)</f>
        <v>0</v>
      </c>
      <c r="J251">
        <f>IF(CODE('Levantamento dutos'!$E251)=80,SUM($B251:$F251),0)</f>
        <v>0</v>
      </c>
      <c r="K251">
        <f>IF(CODE('Levantamento dutos'!$F251)=66,SUM($B251:$F251),0)</f>
        <v>0</v>
      </c>
      <c r="L251">
        <f>IF(CODE('Levantamento dutos'!$F251)=70,SUM($B251:$F251),0)</f>
        <v>0</v>
      </c>
      <c r="M251" s="59">
        <f>IF(CODE('Levantamento dutos'!$E251)=84,SUM($B251:$F251),0)</f>
        <v>0</v>
      </c>
      <c r="N251" s="60">
        <f>IF(CODE('Levantamento dutos'!$G251)=80,IF('Levantamento dutos'!$B251&lt;=200,('Levantamento dutos'!$D251/'Levantamento dutos'!$G$12*Calculos!$G251*2),0),0)</f>
        <v>0</v>
      </c>
      <c r="O251" s="60">
        <f>IF(CODE('Levantamento dutos'!$G251)=80,IF('Levantamento dutos'!$B251&gt;200,('Levantamento dutos'!$D251/'Levantamento dutos'!$G$12*Calculos!$G251*2),0),0)</f>
        <v>0</v>
      </c>
      <c r="P251" s="60">
        <f>IF(CODE('Levantamento dutos'!$G251)=67,('Levantamento dutos'!$D251/'Levantamento dutos'!$G$12*Calculos!$G251*2),0)</f>
        <v>0</v>
      </c>
      <c r="Q251" s="60">
        <f>IF(CODE('Levantamento dutos'!H251)=83,((('Levantamento dutos'!B251/100)+('Levantamento dutos'!$H$12/1000))+(('Levantamento dutos'!C251/100)+('Levantamento dutos'!$H$12)/1000))*2*'Levantamento dutos'!D251,0)</f>
        <v>0</v>
      </c>
      <c r="S251" s="60">
        <f>IF(CODE('Levantamento dutos'!$I251)=83,$Q251,0)</f>
        <v>0</v>
      </c>
      <c r="T251" s="60">
        <f>IF(CODE('Levantamento dutos'!$E251)=76,ROUND((('Levantamento dutos'!$D251/5)*(Calculos!$G251+0.2)*1.2),0),0)</f>
        <v>0</v>
      </c>
      <c r="U251" s="60">
        <f>IF(CODE('Levantamento dutos'!$E251)=73,ROUND((('Levantamento dutos'!$D251/0.5)*(Calculos!$G251+0.2)*1.2),0),0)</f>
        <v>0</v>
      </c>
      <c r="V251" s="60">
        <f>IF(CODE('Levantamento dutos'!$E251)=80,ROUND((('Levantamento dutos'!$D251/0.5)*(Calculos!$G251+0.2)*1.2),0),0)</f>
        <v>0</v>
      </c>
      <c r="W251" s="60">
        <f>IF(CODE('Levantamento dutos'!$E251)=76,'Levantamento dutos'!$D251/0.5*1.5,0)</f>
        <v>0</v>
      </c>
      <c r="X251" s="60">
        <f>IF(CODE('Levantamento dutos'!$E251)=73,'Levantamento dutos'!$D251/0.5*1.5,0)</f>
        <v>0</v>
      </c>
      <c r="Y251" s="60">
        <f>IF(CODE('Levantamento dutos'!$E251)=80,'Levantamento dutos'!$D251/0.5*1.5,0)</f>
        <v>0</v>
      </c>
      <c r="Z251" s="60">
        <f>IF(CODE('Levantamento dutos'!$E251)=76,ROUND(('Levantamento dutos'!$D251)+('Levantamento dutos'!$D251*Calculos!$G251*2)*1.1,0),0)</f>
        <v>0</v>
      </c>
      <c r="AA251" s="60">
        <f>IF(CODE('Levantamento dutos'!$G251)=80,('Levantamento dutos'!$D251/'Levantamento dutos'!$G$12)*8,0)</f>
        <v>0</v>
      </c>
      <c r="AB251" s="60">
        <f>IF(CODE('Levantamento dutos'!$G251)=80,IF('Levantamento dutos'!$B251&gt;30,('Levantamento dutos'!$D251/'Levantamento dutos'!$G$12)*4,0),0)</f>
        <v>0</v>
      </c>
      <c r="AC251" s="60">
        <f>IF('Levantamento dutos'!$B251&gt;220,('Levantamento dutos'!$D251/'Levantamento dutos'!$G$12*Calculos!$G251*2),0)</f>
        <v>0</v>
      </c>
      <c r="AD251" s="60">
        <f>IF(CODE('Levantamento dutos'!$E251)=73,((('Levantamento dutos'!$E$12/1000)+0.02)*'Levantamento dutos'!$D251)*4*1.3,0)</f>
        <v>0</v>
      </c>
      <c r="AE251" s="60">
        <f>IF(CODE('Levantamento dutos'!$E251)=80,((('Levantamento dutos'!$E$12/1000)+0.02)*'Levantamento dutos'!$D251)*4*1.3,0)</f>
        <v>0</v>
      </c>
    </row>
    <row r="252" spans="2:31" x14ac:dyDescent="0.2">
      <c r="B252" s="58">
        <f>IF('Levantamento dutos'!$B252&lt;=Calculos!$Z$3,((('Levantamento dutos'!$B252)/100+('Levantamento dutos'!$C252)/100)*2)*'Levantamento dutos'!$D252,0)</f>
        <v>0</v>
      </c>
      <c r="C252">
        <f>IF('Levantamento dutos'!$B252&gt;Calculos!$Z$3,IF('Levantamento dutos'!$B252&lt;=Calculos!$Z$4,((('Levantamento dutos'!$B252)/100+('Levantamento dutos'!$C252)/100)*2)*'Levantamento dutos'!$D252,0),0)</f>
        <v>0</v>
      </c>
      <c r="D252">
        <f>IF('Levantamento dutos'!$B252&gt;Calculos!$Z$4,IF('Levantamento dutos'!$B252&lt;=Calculos!$Z$5,((('Levantamento dutos'!$B252)/100+('Levantamento dutos'!$C252)/100)*2)*'Levantamento dutos'!$D252,0),0)</f>
        <v>0</v>
      </c>
      <c r="E252">
        <f>IF('Levantamento dutos'!$B252&gt;Calculos!$Z$5,IF('Levantamento dutos'!$B252&lt;=Calculos!$Z$6,((('Levantamento dutos'!$B252)/100+('Levantamento dutos'!$C252)/100)*2)*'Levantamento dutos'!$D252,0),0)</f>
        <v>0</v>
      </c>
      <c r="F252" s="59">
        <f>IF('Levantamento dutos'!$B252&gt;Calculos!$Z$7,((('Levantamento dutos'!$B252)/100+('Levantamento dutos'!$C252)/100)*2)*'Levantamento dutos'!$D252,0)</f>
        <v>0</v>
      </c>
      <c r="G252">
        <f>(('Levantamento dutos'!B252+'Levantamento dutos'!C252)/100)*2</f>
        <v>0</v>
      </c>
      <c r="H252" s="58">
        <f>IF(CODE('Levantamento dutos'!$E252)=76,SUM($B252:$F252),0)</f>
        <v>0</v>
      </c>
      <c r="I252">
        <f>IF(CODE('Levantamento dutos'!$E252)=73,SUM($B252:$F252),0)</f>
        <v>0</v>
      </c>
      <c r="J252">
        <f>IF(CODE('Levantamento dutos'!$E252)=80,SUM($B252:$F252),0)</f>
        <v>0</v>
      </c>
      <c r="K252">
        <f>IF(CODE('Levantamento dutos'!$F252)=66,SUM($B252:$F252),0)</f>
        <v>0</v>
      </c>
      <c r="L252">
        <f>IF(CODE('Levantamento dutos'!$F252)=70,SUM($B252:$F252),0)</f>
        <v>0</v>
      </c>
      <c r="M252" s="59">
        <f>IF(CODE('Levantamento dutos'!$E252)=84,SUM($B252:$F252),0)</f>
        <v>0</v>
      </c>
      <c r="N252" s="60">
        <f>IF(CODE('Levantamento dutos'!$G252)=80,IF('Levantamento dutos'!$B252&lt;=200,('Levantamento dutos'!$D252/'Levantamento dutos'!$G$12*Calculos!$G252*2),0),0)</f>
        <v>0</v>
      </c>
      <c r="O252" s="60">
        <f>IF(CODE('Levantamento dutos'!$G252)=80,IF('Levantamento dutos'!$B252&gt;200,('Levantamento dutos'!$D252/'Levantamento dutos'!$G$12*Calculos!$G252*2),0),0)</f>
        <v>0</v>
      </c>
      <c r="P252" s="60">
        <f>IF(CODE('Levantamento dutos'!$G252)=67,('Levantamento dutos'!$D252/'Levantamento dutos'!$G$12*Calculos!$G252*2),0)</f>
        <v>0</v>
      </c>
      <c r="Q252" s="60">
        <f>IF(CODE('Levantamento dutos'!H252)=83,((('Levantamento dutos'!B252/100)+('Levantamento dutos'!$H$12/1000))+(('Levantamento dutos'!C252/100)+('Levantamento dutos'!$H$12)/1000))*2*'Levantamento dutos'!D252,0)</f>
        <v>0</v>
      </c>
      <c r="S252" s="60">
        <f>IF(CODE('Levantamento dutos'!$I252)=83,$Q252,0)</f>
        <v>0</v>
      </c>
      <c r="T252" s="60">
        <f>IF(CODE('Levantamento dutos'!$E252)=76,ROUND((('Levantamento dutos'!$D252/5)*(Calculos!$G252+0.2)*1.2),0),0)</f>
        <v>0</v>
      </c>
      <c r="U252" s="60">
        <f>IF(CODE('Levantamento dutos'!$E252)=73,ROUND((('Levantamento dutos'!$D252/0.5)*(Calculos!$G252+0.2)*1.2),0),0)</f>
        <v>0</v>
      </c>
      <c r="V252" s="60">
        <f>IF(CODE('Levantamento dutos'!$E252)=80,ROUND((('Levantamento dutos'!$D252/0.5)*(Calculos!$G252+0.2)*1.2),0),0)</f>
        <v>0</v>
      </c>
      <c r="W252" s="60">
        <f>IF(CODE('Levantamento dutos'!$E252)=76,'Levantamento dutos'!$D252/0.5*1.5,0)</f>
        <v>0</v>
      </c>
      <c r="X252" s="60">
        <f>IF(CODE('Levantamento dutos'!$E252)=73,'Levantamento dutos'!$D252/0.5*1.5,0)</f>
        <v>0</v>
      </c>
      <c r="Y252" s="60">
        <f>IF(CODE('Levantamento dutos'!$E252)=80,'Levantamento dutos'!$D252/0.5*1.5,0)</f>
        <v>0</v>
      </c>
      <c r="Z252" s="60">
        <f>IF(CODE('Levantamento dutos'!$E252)=76,ROUND(('Levantamento dutos'!$D252)+('Levantamento dutos'!$D252*Calculos!$G252*2)*1.1,0),0)</f>
        <v>0</v>
      </c>
      <c r="AA252" s="60">
        <f>IF(CODE('Levantamento dutos'!$G252)=80,('Levantamento dutos'!$D252/'Levantamento dutos'!$G$12)*8,0)</f>
        <v>0</v>
      </c>
      <c r="AB252" s="60">
        <f>IF(CODE('Levantamento dutos'!$G252)=80,IF('Levantamento dutos'!$B252&gt;30,('Levantamento dutos'!$D252/'Levantamento dutos'!$G$12)*4,0),0)</f>
        <v>0</v>
      </c>
      <c r="AC252" s="60">
        <f>IF('Levantamento dutos'!$B252&gt;220,('Levantamento dutos'!$D252/'Levantamento dutos'!$G$12*Calculos!$G252*2),0)</f>
        <v>0</v>
      </c>
      <c r="AD252" s="60">
        <f>IF(CODE('Levantamento dutos'!$E252)=73,((('Levantamento dutos'!$E$12/1000)+0.02)*'Levantamento dutos'!$D252)*4*1.3,0)</f>
        <v>0</v>
      </c>
      <c r="AE252" s="60">
        <f>IF(CODE('Levantamento dutos'!$E252)=80,((('Levantamento dutos'!$E$12/1000)+0.02)*'Levantamento dutos'!$D252)*4*1.3,0)</f>
        <v>0</v>
      </c>
    </row>
    <row r="253" spans="2:31" x14ac:dyDescent="0.2">
      <c r="B253" s="58">
        <f>IF('Levantamento dutos'!$B253&lt;=Calculos!$Z$3,((('Levantamento dutos'!$B253)/100+('Levantamento dutos'!$C253)/100)*2)*'Levantamento dutos'!$D253,0)</f>
        <v>0</v>
      </c>
      <c r="C253">
        <f>IF('Levantamento dutos'!$B253&gt;Calculos!$Z$3,IF('Levantamento dutos'!$B253&lt;=Calculos!$Z$4,((('Levantamento dutos'!$B253)/100+('Levantamento dutos'!$C253)/100)*2)*'Levantamento dutos'!$D253,0),0)</f>
        <v>0</v>
      </c>
      <c r="D253">
        <f>IF('Levantamento dutos'!$B253&gt;Calculos!$Z$4,IF('Levantamento dutos'!$B253&lt;=Calculos!$Z$5,((('Levantamento dutos'!$B253)/100+('Levantamento dutos'!$C253)/100)*2)*'Levantamento dutos'!$D253,0),0)</f>
        <v>0</v>
      </c>
      <c r="E253">
        <f>IF('Levantamento dutos'!$B253&gt;Calculos!$Z$5,IF('Levantamento dutos'!$B253&lt;=Calculos!$Z$6,((('Levantamento dutos'!$B253)/100+('Levantamento dutos'!$C253)/100)*2)*'Levantamento dutos'!$D253,0),0)</f>
        <v>0</v>
      </c>
      <c r="F253" s="59">
        <f>IF('Levantamento dutos'!$B253&gt;Calculos!$Z$7,((('Levantamento dutos'!$B253)/100+('Levantamento dutos'!$C253)/100)*2)*'Levantamento dutos'!$D253,0)</f>
        <v>0</v>
      </c>
      <c r="G253">
        <f>(('Levantamento dutos'!B253+'Levantamento dutos'!C253)/100)*2</f>
        <v>0</v>
      </c>
      <c r="H253" s="58">
        <f>IF(CODE('Levantamento dutos'!$E253)=76,SUM($B253:$F253),0)</f>
        <v>0</v>
      </c>
      <c r="I253">
        <f>IF(CODE('Levantamento dutos'!$E253)=73,SUM($B253:$F253),0)</f>
        <v>0</v>
      </c>
      <c r="J253">
        <f>IF(CODE('Levantamento dutos'!$E253)=80,SUM($B253:$F253),0)</f>
        <v>0</v>
      </c>
      <c r="K253">
        <f>IF(CODE('Levantamento dutos'!$F253)=66,SUM($B253:$F253),0)</f>
        <v>0</v>
      </c>
      <c r="L253">
        <f>IF(CODE('Levantamento dutos'!$F253)=70,SUM($B253:$F253),0)</f>
        <v>0</v>
      </c>
      <c r="M253" s="59">
        <f>IF(CODE('Levantamento dutos'!$E253)=84,SUM($B253:$F253),0)</f>
        <v>0</v>
      </c>
      <c r="N253" s="60">
        <f>IF(CODE('Levantamento dutos'!$G253)=80,IF('Levantamento dutos'!$B253&lt;=200,('Levantamento dutos'!$D253/'Levantamento dutos'!$G$12*Calculos!$G253*2),0),0)</f>
        <v>0</v>
      </c>
      <c r="O253" s="60">
        <f>IF(CODE('Levantamento dutos'!$G253)=80,IF('Levantamento dutos'!$B253&gt;200,('Levantamento dutos'!$D253/'Levantamento dutos'!$G$12*Calculos!$G253*2),0),0)</f>
        <v>0</v>
      </c>
      <c r="P253" s="60">
        <f>IF(CODE('Levantamento dutos'!$G253)=67,('Levantamento dutos'!$D253/'Levantamento dutos'!$G$12*Calculos!$G253*2),0)</f>
        <v>0</v>
      </c>
      <c r="Q253" s="60">
        <f>IF(CODE('Levantamento dutos'!H253)=83,((('Levantamento dutos'!B253/100)+('Levantamento dutos'!$H$12/1000))+(('Levantamento dutos'!C253/100)+('Levantamento dutos'!$H$12)/1000))*2*'Levantamento dutos'!D253,0)</f>
        <v>0</v>
      </c>
      <c r="S253" s="60">
        <f>IF(CODE('Levantamento dutos'!$I253)=83,$Q253,0)</f>
        <v>0</v>
      </c>
      <c r="T253" s="60">
        <f>IF(CODE('Levantamento dutos'!$E253)=76,ROUND((('Levantamento dutos'!$D253/5)*(Calculos!$G253+0.2)*1.2),0),0)</f>
        <v>0</v>
      </c>
      <c r="U253" s="60">
        <f>IF(CODE('Levantamento dutos'!$E253)=73,ROUND((('Levantamento dutos'!$D253/0.5)*(Calculos!$G253+0.2)*1.2),0),0)</f>
        <v>0</v>
      </c>
      <c r="V253" s="60">
        <f>IF(CODE('Levantamento dutos'!$E253)=80,ROUND((('Levantamento dutos'!$D253/0.5)*(Calculos!$G253+0.2)*1.2),0),0)</f>
        <v>0</v>
      </c>
      <c r="W253" s="60">
        <f>IF(CODE('Levantamento dutos'!$E253)=76,'Levantamento dutos'!$D253/0.5*1.5,0)</f>
        <v>0</v>
      </c>
      <c r="X253" s="60">
        <f>IF(CODE('Levantamento dutos'!$E253)=73,'Levantamento dutos'!$D253/0.5*1.5,0)</f>
        <v>0</v>
      </c>
      <c r="Y253" s="60">
        <f>IF(CODE('Levantamento dutos'!$E253)=80,'Levantamento dutos'!$D253/0.5*1.5,0)</f>
        <v>0</v>
      </c>
      <c r="Z253" s="60">
        <f>IF(CODE('Levantamento dutos'!$E253)=76,ROUND(('Levantamento dutos'!$D253)+('Levantamento dutos'!$D253*Calculos!$G253*2)*1.1,0),0)</f>
        <v>0</v>
      </c>
      <c r="AA253" s="60">
        <f>IF(CODE('Levantamento dutos'!$G253)=80,('Levantamento dutos'!$D253/'Levantamento dutos'!$G$12)*8,0)</f>
        <v>0</v>
      </c>
      <c r="AB253" s="60">
        <f>IF(CODE('Levantamento dutos'!$G253)=80,IF('Levantamento dutos'!$B253&gt;30,('Levantamento dutos'!$D253/'Levantamento dutos'!$G$12)*4,0),0)</f>
        <v>0</v>
      </c>
      <c r="AC253" s="60">
        <f>IF('Levantamento dutos'!$B253&gt;220,('Levantamento dutos'!$D253/'Levantamento dutos'!$G$12*Calculos!$G253*2),0)</f>
        <v>0</v>
      </c>
      <c r="AD253" s="60">
        <f>IF(CODE('Levantamento dutos'!$E253)=73,((('Levantamento dutos'!$E$12/1000)+0.02)*'Levantamento dutos'!$D253)*4*1.3,0)</f>
        <v>0</v>
      </c>
      <c r="AE253" s="60">
        <f>IF(CODE('Levantamento dutos'!$E253)=80,((('Levantamento dutos'!$E$12/1000)+0.02)*'Levantamento dutos'!$D253)*4*1.3,0)</f>
        <v>0</v>
      </c>
    </row>
    <row r="254" spans="2:31" x14ac:dyDescent="0.2">
      <c r="B254" s="58">
        <f>IF('Levantamento dutos'!$B254&lt;=Calculos!$Z$3,((('Levantamento dutos'!$B254)/100+('Levantamento dutos'!$C254)/100)*2)*'Levantamento dutos'!$D254,0)</f>
        <v>0</v>
      </c>
      <c r="C254">
        <f>IF('Levantamento dutos'!$B254&gt;Calculos!$Z$3,IF('Levantamento dutos'!$B254&lt;=Calculos!$Z$4,((('Levantamento dutos'!$B254)/100+('Levantamento dutos'!$C254)/100)*2)*'Levantamento dutos'!$D254,0),0)</f>
        <v>0</v>
      </c>
      <c r="D254">
        <f>IF('Levantamento dutos'!$B254&gt;Calculos!$Z$4,IF('Levantamento dutos'!$B254&lt;=Calculos!$Z$5,((('Levantamento dutos'!$B254)/100+('Levantamento dutos'!$C254)/100)*2)*'Levantamento dutos'!$D254,0),0)</f>
        <v>0</v>
      </c>
      <c r="E254">
        <f>IF('Levantamento dutos'!$B254&gt;Calculos!$Z$5,IF('Levantamento dutos'!$B254&lt;=Calculos!$Z$6,((('Levantamento dutos'!$B254)/100+('Levantamento dutos'!$C254)/100)*2)*'Levantamento dutos'!$D254,0),0)</f>
        <v>0</v>
      </c>
      <c r="F254" s="59">
        <f>IF('Levantamento dutos'!$B254&gt;Calculos!$Z$7,((('Levantamento dutos'!$B254)/100+('Levantamento dutos'!$C254)/100)*2)*'Levantamento dutos'!$D254,0)</f>
        <v>0</v>
      </c>
      <c r="G254">
        <f>(('Levantamento dutos'!B254+'Levantamento dutos'!C254)/100)*2</f>
        <v>0</v>
      </c>
      <c r="H254" s="58">
        <f>IF(CODE('Levantamento dutos'!$E254)=76,SUM($B254:$F254),0)</f>
        <v>0</v>
      </c>
      <c r="I254">
        <f>IF(CODE('Levantamento dutos'!$E254)=73,SUM($B254:$F254),0)</f>
        <v>0</v>
      </c>
      <c r="J254">
        <f>IF(CODE('Levantamento dutos'!$E254)=80,SUM($B254:$F254),0)</f>
        <v>0</v>
      </c>
      <c r="K254">
        <f>IF(CODE('Levantamento dutos'!$F254)=66,SUM($B254:$F254),0)</f>
        <v>0</v>
      </c>
      <c r="L254">
        <f>IF(CODE('Levantamento dutos'!$F254)=70,SUM($B254:$F254),0)</f>
        <v>0</v>
      </c>
      <c r="M254" s="59">
        <f>IF(CODE('Levantamento dutos'!$E254)=84,SUM($B254:$F254),0)</f>
        <v>0</v>
      </c>
      <c r="N254" s="60">
        <f>IF(CODE('Levantamento dutos'!$G254)=80,IF('Levantamento dutos'!$B254&lt;=200,('Levantamento dutos'!$D254/'Levantamento dutos'!$G$12*Calculos!$G254*2),0),0)</f>
        <v>0</v>
      </c>
      <c r="O254" s="60">
        <f>IF(CODE('Levantamento dutos'!$G254)=80,IF('Levantamento dutos'!$B254&gt;200,('Levantamento dutos'!$D254/'Levantamento dutos'!$G$12*Calculos!$G254*2),0),0)</f>
        <v>0</v>
      </c>
      <c r="P254" s="60">
        <f>IF(CODE('Levantamento dutos'!$G254)=67,('Levantamento dutos'!$D254/'Levantamento dutos'!$G$12*Calculos!$G254*2),0)</f>
        <v>0</v>
      </c>
      <c r="Q254" s="60">
        <f>IF(CODE('Levantamento dutos'!H254)=83,((('Levantamento dutos'!B254/100)+('Levantamento dutos'!$H$12/1000))+(('Levantamento dutos'!C254/100)+('Levantamento dutos'!$H$12)/1000))*2*'Levantamento dutos'!D254,0)</f>
        <v>0</v>
      </c>
      <c r="S254" s="60">
        <f>IF(CODE('Levantamento dutos'!$I254)=83,$Q254,0)</f>
        <v>0</v>
      </c>
      <c r="T254" s="60">
        <f>IF(CODE('Levantamento dutos'!$E254)=76,ROUND((('Levantamento dutos'!$D254/5)*(Calculos!$G254+0.2)*1.2),0),0)</f>
        <v>0</v>
      </c>
      <c r="U254" s="60">
        <f>IF(CODE('Levantamento dutos'!$E254)=73,ROUND((('Levantamento dutos'!$D254/0.5)*(Calculos!$G254+0.2)*1.2),0),0)</f>
        <v>0</v>
      </c>
      <c r="V254" s="60">
        <f>IF(CODE('Levantamento dutos'!$E254)=80,ROUND((('Levantamento dutos'!$D254/0.5)*(Calculos!$G254+0.2)*1.2),0),0)</f>
        <v>0</v>
      </c>
      <c r="W254" s="60">
        <f>IF(CODE('Levantamento dutos'!$E254)=76,'Levantamento dutos'!$D254/0.5*1.5,0)</f>
        <v>0</v>
      </c>
      <c r="X254" s="60">
        <f>IF(CODE('Levantamento dutos'!$E254)=73,'Levantamento dutos'!$D254/0.5*1.5,0)</f>
        <v>0</v>
      </c>
      <c r="Y254" s="60">
        <f>IF(CODE('Levantamento dutos'!$E254)=80,'Levantamento dutos'!$D254/0.5*1.5,0)</f>
        <v>0</v>
      </c>
      <c r="Z254" s="60">
        <f>IF(CODE('Levantamento dutos'!$E254)=76,ROUND(('Levantamento dutos'!$D254)+('Levantamento dutos'!$D254*Calculos!$G254*2)*1.1,0),0)</f>
        <v>0</v>
      </c>
      <c r="AA254" s="60">
        <f>IF(CODE('Levantamento dutos'!$G254)=80,('Levantamento dutos'!$D254/'Levantamento dutos'!$G$12)*8,0)</f>
        <v>0</v>
      </c>
      <c r="AB254" s="60">
        <f>IF(CODE('Levantamento dutos'!$G254)=80,IF('Levantamento dutos'!$B254&gt;30,('Levantamento dutos'!$D254/'Levantamento dutos'!$G$12)*4,0),0)</f>
        <v>0</v>
      </c>
      <c r="AC254" s="60">
        <f>IF('Levantamento dutos'!$B254&gt;220,('Levantamento dutos'!$D254/'Levantamento dutos'!$G$12*Calculos!$G254*2),0)</f>
        <v>0</v>
      </c>
      <c r="AD254" s="60">
        <f>IF(CODE('Levantamento dutos'!$E254)=73,((('Levantamento dutos'!$E$12/1000)+0.02)*'Levantamento dutos'!$D254)*4*1.3,0)</f>
        <v>0</v>
      </c>
      <c r="AE254" s="60">
        <f>IF(CODE('Levantamento dutos'!$E254)=80,((('Levantamento dutos'!$E$12/1000)+0.02)*'Levantamento dutos'!$D254)*4*1.3,0)</f>
        <v>0</v>
      </c>
    </row>
    <row r="255" spans="2:31" x14ac:dyDescent="0.2">
      <c r="B255" s="58">
        <f>IF('Levantamento dutos'!$B255&lt;=Calculos!$Z$3,((('Levantamento dutos'!$B255)/100+('Levantamento dutos'!$C255)/100)*2)*'Levantamento dutos'!$D255,0)</f>
        <v>0</v>
      </c>
      <c r="C255">
        <f>IF('Levantamento dutos'!$B255&gt;Calculos!$Z$3,IF('Levantamento dutos'!$B255&lt;=Calculos!$Z$4,((('Levantamento dutos'!$B255)/100+('Levantamento dutos'!$C255)/100)*2)*'Levantamento dutos'!$D255,0),0)</f>
        <v>0</v>
      </c>
      <c r="D255">
        <f>IF('Levantamento dutos'!$B255&gt;Calculos!$Z$4,IF('Levantamento dutos'!$B255&lt;=Calculos!$Z$5,((('Levantamento dutos'!$B255)/100+('Levantamento dutos'!$C255)/100)*2)*'Levantamento dutos'!$D255,0),0)</f>
        <v>0</v>
      </c>
      <c r="E255">
        <f>IF('Levantamento dutos'!$B255&gt;Calculos!$Z$5,IF('Levantamento dutos'!$B255&lt;=Calculos!$Z$6,((('Levantamento dutos'!$B255)/100+('Levantamento dutos'!$C255)/100)*2)*'Levantamento dutos'!$D255,0),0)</f>
        <v>0</v>
      </c>
      <c r="F255" s="59">
        <f>IF('Levantamento dutos'!$B255&gt;Calculos!$Z$7,((('Levantamento dutos'!$B255)/100+('Levantamento dutos'!$C255)/100)*2)*'Levantamento dutos'!$D255,0)</f>
        <v>0</v>
      </c>
      <c r="G255">
        <f>(('Levantamento dutos'!B255+'Levantamento dutos'!C255)/100)*2</f>
        <v>0</v>
      </c>
      <c r="H255" s="58">
        <f>IF(CODE('Levantamento dutos'!$E255)=76,SUM($B255:$F255),0)</f>
        <v>0</v>
      </c>
      <c r="I255">
        <f>IF(CODE('Levantamento dutos'!$E255)=73,SUM($B255:$F255),0)</f>
        <v>0</v>
      </c>
      <c r="J255">
        <f>IF(CODE('Levantamento dutos'!$E255)=80,SUM($B255:$F255),0)</f>
        <v>0</v>
      </c>
      <c r="K255">
        <f>IF(CODE('Levantamento dutos'!$F255)=66,SUM($B255:$F255),0)</f>
        <v>0</v>
      </c>
      <c r="L255">
        <f>IF(CODE('Levantamento dutos'!$F255)=70,SUM($B255:$F255),0)</f>
        <v>0</v>
      </c>
      <c r="M255" s="59">
        <f>IF(CODE('Levantamento dutos'!$E255)=84,SUM($B255:$F255),0)</f>
        <v>0</v>
      </c>
      <c r="N255" s="60">
        <f>IF(CODE('Levantamento dutos'!$G255)=80,IF('Levantamento dutos'!$B255&lt;=200,('Levantamento dutos'!$D255/'Levantamento dutos'!$G$12*Calculos!$G255*2),0),0)</f>
        <v>0</v>
      </c>
      <c r="O255" s="60">
        <f>IF(CODE('Levantamento dutos'!$G255)=80,IF('Levantamento dutos'!$B255&gt;200,('Levantamento dutos'!$D255/'Levantamento dutos'!$G$12*Calculos!$G255*2),0),0)</f>
        <v>0</v>
      </c>
      <c r="P255" s="60">
        <f>IF(CODE('Levantamento dutos'!$G255)=67,('Levantamento dutos'!$D255/'Levantamento dutos'!$G$12*Calculos!$G255*2),0)</f>
        <v>0</v>
      </c>
      <c r="Q255" s="60">
        <f>IF(CODE('Levantamento dutos'!H255)=83,((('Levantamento dutos'!B255/100)+('Levantamento dutos'!$H$12/1000))+(('Levantamento dutos'!C255/100)+('Levantamento dutos'!$H$12)/1000))*2*'Levantamento dutos'!D255,0)</f>
        <v>0</v>
      </c>
      <c r="S255" s="60">
        <f>IF(CODE('Levantamento dutos'!$I255)=83,$Q255,0)</f>
        <v>0</v>
      </c>
      <c r="T255" s="60">
        <f>IF(CODE('Levantamento dutos'!$E255)=76,ROUND((('Levantamento dutos'!$D255/5)*(Calculos!$G255+0.2)*1.2),0),0)</f>
        <v>0</v>
      </c>
      <c r="U255" s="60">
        <f>IF(CODE('Levantamento dutos'!$E255)=73,ROUND((('Levantamento dutos'!$D255/0.5)*(Calculos!$G255+0.2)*1.2),0),0)</f>
        <v>0</v>
      </c>
      <c r="V255" s="60">
        <f>IF(CODE('Levantamento dutos'!$E255)=80,ROUND((('Levantamento dutos'!$D255/0.5)*(Calculos!$G255+0.2)*1.2),0),0)</f>
        <v>0</v>
      </c>
      <c r="W255" s="60">
        <f>IF(CODE('Levantamento dutos'!$E255)=76,'Levantamento dutos'!$D255/0.5*1.5,0)</f>
        <v>0</v>
      </c>
      <c r="X255" s="60">
        <f>IF(CODE('Levantamento dutos'!$E255)=73,'Levantamento dutos'!$D255/0.5*1.5,0)</f>
        <v>0</v>
      </c>
      <c r="Y255" s="60">
        <f>IF(CODE('Levantamento dutos'!$E255)=80,'Levantamento dutos'!$D255/0.5*1.5,0)</f>
        <v>0</v>
      </c>
      <c r="Z255" s="60">
        <f>IF(CODE('Levantamento dutos'!$E255)=76,ROUND(('Levantamento dutos'!$D255)+('Levantamento dutos'!$D255*Calculos!$G255*2)*1.1,0),0)</f>
        <v>0</v>
      </c>
      <c r="AA255" s="60">
        <f>IF(CODE('Levantamento dutos'!$G255)=80,('Levantamento dutos'!$D255/'Levantamento dutos'!$G$12)*8,0)</f>
        <v>0</v>
      </c>
      <c r="AB255" s="60">
        <f>IF(CODE('Levantamento dutos'!$G255)=80,IF('Levantamento dutos'!$B255&gt;30,('Levantamento dutos'!$D255/'Levantamento dutos'!$G$12)*4,0),0)</f>
        <v>0</v>
      </c>
      <c r="AC255" s="60">
        <f>IF('Levantamento dutos'!$B255&gt;220,('Levantamento dutos'!$D255/'Levantamento dutos'!$G$12*Calculos!$G255*2),0)</f>
        <v>0</v>
      </c>
      <c r="AD255" s="60">
        <f>IF(CODE('Levantamento dutos'!$E255)=73,((('Levantamento dutos'!$E$12/1000)+0.02)*'Levantamento dutos'!$D255)*4*1.3,0)</f>
        <v>0</v>
      </c>
      <c r="AE255" s="60">
        <f>IF(CODE('Levantamento dutos'!$E255)=80,((('Levantamento dutos'!$E$12/1000)+0.02)*'Levantamento dutos'!$D255)*4*1.3,0)</f>
        <v>0</v>
      </c>
    </row>
    <row r="256" spans="2:31" x14ac:dyDescent="0.2">
      <c r="B256" s="58">
        <f>IF('Levantamento dutos'!$B256&lt;=Calculos!$Z$3,((('Levantamento dutos'!$B256)/100+('Levantamento dutos'!$C256)/100)*2)*'Levantamento dutos'!$D256,0)</f>
        <v>0</v>
      </c>
      <c r="C256">
        <f>IF('Levantamento dutos'!$B256&gt;Calculos!$Z$3,IF('Levantamento dutos'!$B256&lt;=Calculos!$Z$4,((('Levantamento dutos'!$B256)/100+('Levantamento dutos'!$C256)/100)*2)*'Levantamento dutos'!$D256,0),0)</f>
        <v>0</v>
      </c>
      <c r="D256">
        <f>IF('Levantamento dutos'!$B256&gt;Calculos!$Z$4,IF('Levantamento dutos'!$B256&lt;=Calculos!$Z$5,((('Levantamento dutos'!$B256)/100+('Levantamento dutos'!$C256)/100)*2)*'Levantamento dutos'!$D256,0),0)</f>
        <v>0</v>
      </c>
      <c r="E256">
        <f>IF('Levantamento dutos'!$B256&gt;Calculos!$Z$5,IF('Levantamento dutos'!$B256&lt;=Calculos!$Z$6,((('Levantamento dutos'!$B256)/100+('Levantamento dutos'!$C256)/100)*2)*'Levantamento dutos'!$D256,0),0)</f>
        <v>0</v>
      </c>
      <c r="F256" s="59">
        <f>IF('Levantamento dutos'!$B256&gt;Calculos!$Z$7,((('Levantamento dutos'!$B256)/100+('Levantamento dutos'!$C256)/100)*2)*'Levantamento dutos'!$D256,0)</f>
        <v>0</v>
      </c>
      <c r="G256">
        <f>(('Levantamento dutos'!B256+'Levantamento dutos'!C256)/100)*2</f>
        <v>0</v>
      </c>
      <c r="H256" s="58">
        <f>IF(CODE('Levantamento dutos'!$E256)=76,SUM($B256:$F256),0)</f>
        <v>0</v>
      </c>
      <c r="I256">
        <f>IF(CODE('Levantamento dutos'!$E256)=73,SUM($B256:$F256),0)</f>
        <v>0</v>
      </c>
      <c r="J256">
        <f>IF(CODE('Levantamento dutos'!$E256)=80,SUM($B256:$F256),0)</f>
        <v>0</v>
      </c>
      <c r="K256">
        <f>IF(CODE('Levantamento dutos'!$F256)=66,SUM($B256:$F256),0)</f>
        <v>0</v>
      </c>
      <c r="L256">
        <f>IF(CODE('Levantamento dutos'!$F256)=70,SUM($B256:$F256),0)</f>
        <v>0</v>
      </c>
      <c r="M256" s="59">
        <f>IF(CODE('Levantamento dutos'!$E256)=84,SUM($B256:$F256),0)</f>
        <v>0</v>
      </c>
      <c r="N256" s="60">
        <f>IF(CODE('Levantamento dutos'!$G256)=80,IF('Levantamento dutos'!$B256&lt;=200,('Levantamento dutos'!$D256/'Levantamento dutos'!$G$12*Calculos!$G256*2),0),0)</f>
        <v>0</v>
      </c>
      <c r="O256" s="60">
        <f>IF(CODE('Levantamento dutos'!$G256)=80,IF('Levantamento dutos'!$B256&gt;200,('Levantamento dutos'!$D256/'Levantamento dutos'!$G$12*Calculos!$G256*2),0),0)</f>
        <v>0</v>
      </c>
      <c r="P256" s="60">
        <f>IF(CODE('Levantamento dutos'!$G256)=67,('Levantamento dutos'!$D256/'Levantamento dutos'!$G$12*Calculos!$G256*2),0)</f>
        <v>0</v>
      </c>
      <c r="Q256" s="60">
        <f>IF(CODE('Levantamento dutos'!H256)=83,((('Levantamento dutos'!B256/100)+('Levantamento dutos'!$H$12/1000))+(('Levantamento dutos'!C256/100)+('Levantamento dutos'!$H$12)/1000))*2*'Levantamento dutos'!D256,0)</f>
        <v>0</v>
      </c>
      <c r="S256" s="60">
        <f>IF(CODE('Levantamento dutos'!$I256)=83,$Q256,0)</f>
        <v>0</v>
      </c>
      <c r="T256" s="60">
        <f>IF(CODE('Levantamento dutos'!$E256)=76,ROUND((('Levantamento dutos'!$D256/5)*(Calculos!$G256+0.2)*1.2),0),0)</f>
        <v>0</v>
      </c>
      <c r="U256" s="60">
        <f>IF(CODE('Levantamento dutos'!$E256)=73,ROUND((('Levantamento dutos'!$D256/0.5)*(Calculos!$G256+0.2)*1.2),0),0)</f>
        <v>0</v>
      </c>
      <c r="V256" s="60">
        <f>IF(CODE('Levantamento dutos'!$E256)=80,ROUND((('Levantamento dutos'!$D256/0.5)*(Calculos!$G256+0.2)*1.2),0),0)</f>
        <v>0</v>
      </c>
      <c r="W256" s="60">
        <f>IF(CODE('Levantamento dutos'!$E256)=76,'Levantamento dutos'!$D256/0.5*1.5,0)</f>
        <v>0</v>
      </c>
      <c r="X256" s="60">
        <f>IF(CODE('Levantamento dutos'!$E256)=73,'Levantamento dutos'!$D256/0.5*1.5,0)</f>
        <v>0</v>
      </c>
      <c r="Y256" s="60">
        <f>IF(CODE('Levantamento dutos'!$E256)=80,'Levantamento dutos'!$D256/0.5*1.5,0)</f>
        <v>0</v>
      </c>
      <c r="Z256" s="60">
        <f>IF(CODE('Levantamento dutos'!$E256)=76,ROUND(('Levantamento dutos'!$D256)+('Levantamento dutos'!$D256*Calculos!$G256*2)*1.1,0),0)</f>
        <v>0</v>
      </c>
      <c r="AA256" s="60">
        <f>IF(CODE('Levantamento dutos'!$G256)=80,('Levantamento dutos'!$D256/'Levantamento dutos'!$G$12)*8,0)</f>
        <v>0</v>
      </c>
      <c r="AB256" s="60">
        <f>IF(CODE('Levantamento dutos'!$G256)=80,IF('Levantamento dutos'!$B256&gt;30,('Levantamento dutos'!$D256/'Levantamento dutos'!$G$12)*4,0),0)</f>
        <v>0</v>
      </c>
      <c r="AC256" s="60">
        <f>IF('Levantamento dutos'!$B256&gt;220,('Levantamento dutos'!$D256/'Levantamento dutos'!$G$12*Calculos!$G256*2),0)</f>
        <v>0</v>
      </c>
      <c r="AD256" s="60">
        <f>IF(CODE('Levantamento dutos'!$E256)=73,((('Levantamento dutos'!$E$12/1000)+0.02)*'Levantamento dutos'!$D256)*4*1.3,0)</f>
        <v>0</v>
      </c>
      <c r="AE256" s="60">
        <f>IF(CODE('Levantamento dutos'!$E256)=80,((('Levantamento dutos'!$E$12/1000)+0.02)*'Levantamento dutos'!$D256)*4*1.3,0)</f>
        <v>0</v>
      </c>
    </row>
    <row r="257" spans="2:31" x14ac:dyDescent="0.2">
      <c r="B257" s="58">
        <f>IF('Levantamento dutos'!$B257&lt;=Calculos!$Z$3,((('Levantamento dutos'!$B257)/100+('Levantamento dutos'!$C257)/100)*2)*'Levantamento dutos'!$D257,0)</f>
        <v>0</v>
      </c>
      <c r="C257">
        <f>IF('Levantamento dutos'!$B257&gt;Calculos!$Z$3,IF('Levantamento dutos'!$B257&lt;=Calculos!$Z$4,((('Levantamento dutos'!$B257)/100+('Levantamento dutos'!$C257)/100)*2)*'Levantamento dutos'!$D257,0),0)</f>
        <v>0</v>
      </c>
      <c r="D257">
        <f>IF('Levantamento dutos'!$B257&gt;Calculos!$Z$4,IF('Levantamento dutos'!$B257&lt;=Calculos!$Z$5,((('Levantamento dutos'!$B257)/100+('Levantamento dutos'!$C257)/100)*2)*'Levantamento dutos'!$D257,0),0)</f>
        <v>0</v>
      </c>
      <c r="E257">
        <f>IF('Levantamento dutos'!$B257&gt;Calculos!$Z$5,IF('Levantamento dutos'!$B257&lt;=Calculos!$Z$6,((('Levantamento dutos'!$B257)/100+('Levantamento dutos'!$C257)/100)*2)*'Levantamento dutos'!$D257,0),0)</f>
        <v>0</v>
      </c>
      <c r="F257" s="59">
        <f>IF('Levantamento dutos'!$B257&gt;Calculos!$Z$7,((('Levantamento dutos'!$B257)/100+('Levantamento dutos'!$C257)/100)*2)*'Levantamento dutos'!$D257,0)</f>
        <v>0</v>
      </c>
      <c r="G257">
        <f>(('Levantamento dutos'!B257+'Levantamento dutos'!C257)/100)*2</f>
        <v>0</v>
      </c>
      <c r="H257" s="58">
        <f>IF(CODE('Levantamento dutos'!$E257)=76,SUM($B257:$F257),0)</f>
        <v>0</v>
      </c>
      <c r="I257">
        <f>IF(CODE('Levantamento dutos'!$E257)=73,SUM($B257:$F257),0)</f>
        <v>0</v>
      </c>
      <c r="J257">
        <f>IF(CODE('Levantamento dutos'!$E257)=80,SUM($B257:$F257),0)</f>
        <v>0</v>
      </c>
      <c r="K257">
        <f>IF(CODE('Levantamento dutos'!$F257)=66,SUM($B257:$F257),0)</f>
        <v>0</v>
      </c>
      <c r="L257">
        <f>IF(CODE('Levantamento dutos'!$F257)=70,SUM($B257:$F257),0)</f>
        <v>0</v>
      </c>
      <c r="M257" s="59">
        <f>IF(CODE('Levantamento dutos'!$E257)=84,SUM($B257:$F257),0)</f>
        <v>0</v>
      </c>
      <c r="N257" s="60">
        <f>IF(CODE('Levantamento dutos'!$G257)=80,IF('Levantamento dutos'!$B257&lt;=200,('Levantamento dutos'!$D257/'Levantamento dutos'!$G$12*Calculos!$G257*2),0),0)</f>
        <v>0</v>
      </c>
      <c r="O257" s="60">
        <f>IF(CODE('Levantamento dutos'!$G257)=80,IF('Levantamento dutos'!$B257&gt;200,('Levantamento dutos'!$D257/'Levantamento dutos'!$G$12*Calculos!$G257*2),0),0)</f>
        <v>0</v>
      </c>
      <c r="P257" s="60">
        <f>IF(CODE('Levantamento dutos'!$G257)=67,('Levantamento dutos'!$D257/'Levantamento dutos'!$G$12*Calculos!$G257*2),0)</f>
        <v>0</v>
      </c>
      <c r="Q257" s="60">
        <f>IF(CODE('Levantamento dutos'!H257)=83,((('Levantamento dutos'!B257/100)+('Levantamento dutos'!$H$12/1000))+(('Levantamento dutos'!C257/100)+('Levantamento dutos'!$H$12)/1000))*2*'Levantamento dutos'!D257,0)</f>
        <v>0</v>
      </c>
      <c r="S257" s="60">
        <f>IF(CODE('Levantamento dutos'!$I257)=83,$Q257,0)</f>
        <v>0</v>
      </c>
      <c r="T257" s="60">
        <f>IF(CODE('Levantamento dutos'!$E257)=76,ROUND((('Levantamento dutos'!$D257/5)*(Calculos!$G257+0.2)*1.2),0),0)</f>
        <v>0</v>
      </c>
      <c r="U257" s="60">
        <f>IF(CODE('Levantamento dutos'!$E257)=73,ROUND((('Levantamento dutos'!$D257/0.5)*(Calculos!$G257+0.2)*1.2),0),0)</f>
        <v>0</v>
      </c>
      <c r="V257" s="60">
        <f>IF(CODE('Levantamento dutos'!$E257)=80,ROUND((('Levantamento dutos'!$D257/0.5)*(Calculos!$G257+0.2)*1.2),0),0)</f>
        <v>0</v>
      </c>
      <c r="W257" s="60">
        <f>IF(CODE('Levantamento dutos'!$E257)=76,'Levantamento dutos'!$D257/0.5*1.5,0)</f>
        <v>0</v>
      </c>
      <c r="X257" s="60">
        <f>IF(CODE('Levantamento dutos'!$E257)=73,'Levantamento dutos'!$D257/0.5*1.5,0)</f>
        <v>0</v>
      </c>
      <c r="Y257" s="60">
        <f>IF(CODE('Levantamento dutos'!$E257)=80,'Levantamento dutos'!$D257/0.5*1.5,0)</f>
        <v>0</v>
      </c>
      <c r="Z257" s="60">
        <f>IF(CODE('Levantamento dutos'!$E257)=76,ROUND(('Levantamento dutos'!$D257)+('Levantamento dutos'!$D257*Calculos!$G257*2)*1.1,0),0)</f>
        <v>0</v>
      </c>
      <c r="AA257" s="60">
        <f>IF(CODE('Levantamento dutos'!$G257)=80,('Levantamento dutos'!$D257/'Levantamento dutos'!$G$12)*8,0)</f>
        <v>0</v>
      </c>
      <c r="AB257" s="60">
        <f>IF(CODE('Levantamento dutos'!$G257)=80,IF('Levantamento dutos'!$B257&gt;30,('Levantamento dutos'!$D257/'Levantamento dutos'!$G$12)*4,0),0)</f>
        <v>0</v>
      </c>
      <c r="AC257" s="60">
        <f>IF('Levantamento dutos'!$B257&gt;220,('Levantamento dutos'!$D257/'Levantamento dutos'!$G$12*Calculos!$G257*2),0)</f>
        <v>0</v>
      </c>
      <c r="AD257" s="60">
        <f>IF(CODE('Levantamento dutos'!$E257)=73,((('Levantamento dutos'!$E$12/1000)+0.02)*'Levantamento dutos'!$D257)*4*1.3,0)</f>
        <v>0</v>
      </c>
      <c r="AE257" s="60">
        <f>IF(CODE('Levantamento dutos'!$E257)=80,((('Levantamento dutos'!$E$12/1000)+0.02)*'Levantamento dutos'!$D257)*4*1.3,0)</f>
        <v>0</v>
      </c>
    </row>
    <row r="258" spans="2:31" x14ac:dyDescent="0.2">
      <c r="B258" s="58">
        <f>IF('Levantamento dutos'!$B258&lt;=Calculos!$Z$3,((('Levantamento dutos'!$B258)/100+('Levantamento dutos'!$C258)/100)*2)*'Levantamento dutos'!$D258,0)</f>
        <v>0</v>
      </c>
      <c r="C258">
        <f>IF('Levantamento dutos'!$B258&gt;Calculos!$Z$3,IF('Levantamento dutos'!$B258&lt;=Calculos!$Z$4,((('Levantamento dutos'!$B258)/100+('Levantamento dutos'!$C258)/100)*2)*'Levantamento dutos'!$D258,0),0)</f>
        <v>0</v>
      </c>
      <c r="D258">
        <f>IF('Levantamento dutos'!$B258&gt;Calculos!$Z$4,IF('Levantamento dutos'!$B258&lt;=Calculos!$Z$5,((('Levantamento dutos'!$B258)/100+('Levantamento dutos'!$C258)/100)*2)*'Levantamento dutos'!$D258,0),0)</f>
        <v>0</v>
      </c>
      <c r="E258">
        <f>IF('Levantamento dutos'!$B258&gt;Calculos!$Z$5,IF('Levantamento dutos'!$B258&lt;=Calculos!$Z$6,((('Levantamento dutos'!$B258)/100+('Levantamento dutos'!$C258)/100)*2)*'Levantamento dutos'!$D258,0),0)</f>
        <v>0</v>
      </c>
      <c r="F258" s="59">
        <f>IF('Levantamento dutos'!$B258&gt;Calculos!$Z$7,((('Levantamento dutos'!$B258)/100+('Levantamento dutos'!$C258)/100)*2)*'Levantamento dutos'!$D258,0)</f>
        <v>0</v>
      </c>
      <c r="G258">
        <f>(('Levantamento dutos'!B258+'Levantamento dutos'!C258)/100)*2</f>
        <v>0</v>
      </c>
      <c r="H258" s="58">
        <f>IF(CODE('Levantamento dutos'!$E258)=76,SUM($B258:$F258),0)</f>
        <v>0</v>
      </c>
      <c r="I258">
        <f>IF(CODE('Levantamento dutos'!$E258)=73,SUM($B258:$F258),0)</f>
        <v>0</v>
      </c>
      <c r="J258">
        <f>IF(CODE('Levantamento dutos'!$E258)=80,SUM($B258:$F258),0)</f>
        <v>0</v>
      </c>
      <c r="K258">
        <f>IF(CODE('Levantamento dutos'!$F258)=66,SUM($B258:$F258),0)</f>
        <v>0</v>
      </c>
      <c r="L258">
        <f>IF(CODE('Levantamento dutos'!$F258)=70,SUM($B258:$F258),0)</f>
        <v>0</v>
      </c>
      <c r="M258" s="59">
        <f>IF(CODE('Levantamento dutos'!$E258)=84,SUM($B258:$F258),0)</f>
        <v>0</v>
      </c>
      <c r="N258" s="60">
        <f>IF(CODE('Levantamento dutos'!$G258)=80,IF('Levantamento dutos'!$B258&lt;=200,('Levantamento dutos'!$D258/'Levantamento dutos'!$G$12*Calculos!$G258*2),0),0)</f>
        <v>0</v>
      </c>
      <c r="O258" s="60">
        <f>IF(CODE('Levantamento dutos'!$G258)=80,IF('Levantamento dutos'!$B258&gt;200,('Levantamento dutos'!$D258/'Levantamento dutos'!$G$12*Calculos!$G258*2),0),0)</f>
        <v>0</v>
      </c>
      <c r="P258" s="60">
        <f>IF(CODE('Levantamento dutos'!$G258)=67,('Levantamento dutos'!$D258/'Levantamento dutos'!$G$12*Calculos!$G258*2),0)</f>
        <v>0</v>
      </c>
      <c r="Q258" s="60">
        <f>IF(CODE('Levantamento dutos'!H258)=83,((('Levantamento dutos'!B258/100)+('Levantamento dutos'!$H$12/1000))+(('Levantamento dutos'!C258/100)+('Levantamento dutos'!$H$12)/1000))*2*'Levantamento dutos'!D258,0)</f>
        <v>0</v>
      </c>
      <c r="S258" s="60">
        <f>IF(CODE('Levantamento dutos'!$I258)=83,$Q258,0)</f>
        <v>0</v>
      </c>
      <c r="T258" s="60">
        <f>IF(CODE('Levantamento dutos'!$E258)=76,ROUND((('Levantamento dutos'!$D258/5)*(Calculos!$G258+0.2)*1.2),0),0)</f>
        <v>0</v>
      </c>
      <c r="U258" s="60">
        <f>IF(CODE('Levantamento dutos'!$E258)=73,ROUND((('Levantamento dutos'!$D258/0.5)*(Calculos!$G258+0.2)*1.2),0),0)</f>
        <v>0</v>
      </c>
      <c r="V258" s="60">
        <f>IF(CODE('Levantamento dutos'!$E258)=80,ROUND((('Levantamento dutos'!$D258/0.5)*(Calculos!$G258+0.2)*1.2),0),0)</f>
        <v>0</v>
      </c>
      <c r="W258" s="60">
        <f>IF(CODE('Levantamento dutos'!$E258)=76,'Levantamento dutos'!$D258/0.5*1.5,0)</f>
        <v>0</v>
      </c>
      <c r="X258" s="60">
        <f>IF(CODE('Levantamento dutos'!$E258)=73,'Levantamento dutos'!$D258/0.5*1.5,0)</f>
        <v>0</v>
      </c>
      <c r="Y258" s="60">
        <f>IF(CODE('Levantamento dutos'!$E258)=80,'Levantamento dutos'!$D258/0.5*1.5,0)</f>
        <v>0</v>
      </c>
      <c r="Z258" s="60">
        <f>IF(CODE('Levantamento dutos'!$E258)=76,ROUND(('Levantamento dutos'!$D258)+('Levantamento dutos'!$D258*Calculos!$G258*2)*1.1,0),0)</f>
        <v>0</v>
      </c>
      <c r="AA258" s="60">
        <f>IF(CODE('Levantamento dutos'!$G258)=80,('Levantamento dutos'!$D258/'Levantamento dutos'!$G$12)*8,0)</f>
        <v>0</v>
      </c>
      <c r="AB258" s="60">
        <f>IF(CODE('Levantamento dutos'!$G258)=80,IF('Levantamento dutos'!$B258&gt;30,('Levantamento dutos'!$D258/'Levantamento dutos'!$G$12)*4,0),0)</f>
        <v>0</v>
      </c>
      <c r="AC258" s="60">
        <f>IF('Levantamento dutos'!$B258&gt;220,('Levantamento dutos'!$D258/'Levantamento dutos'!$G$12*Calculos!$G258*2),0)</f>
        <v>0</v>
      </c>
      <c r="AD258" s="60">
        <f>IF(CODE('Levantamento dutos'!$E258)=73,((('Levantamento dutos'!$E$12/1000)+0.02)*'Levantamento dutos'!$D258)*4*1.3,0)</f>
        <v>0</v>
      </c>
      <c r="AE258" s="60">
        <f>IF(CODE('Levantamento dutos'!$E258)=80,((('Levantamento dutos'!$E$12/1000)+0.02)*'Levantamento dutos'!$D258)*4*1.3,0)</f>
        <v>0</v>
      </c>
    </row>
    <row r="259" spans="2:31" x14ac:dyDescent="0.2">
      <c r="B259" s="58">
        <f>IF('Levantamento dutos'!$B259&lt;=Calculos!$Z$3,((('Levantamento dutos'!$B259)/100+('Levantamento dutos'!$C259)/100)*2)*'Levantamento dutos'!$D259,0)</f>
        <v>0</v>
      </c>
      <c r="C259">
        <f>IF('Levantamento dutos'!$B259&gt;Calculos!$Z$3,IF('Levantamento dutos'!$B259&lt;=Calculos!$Z$4,((('Levantamento dutos'!$B259)/100+('Levantamento dutos'!$C259)/100)*2)*'Levantamento dutos'!$D259,0),0)</f>
        <v>0</v>
      </c>
      <c r="D259">
        <f>IF('Levantamento dutos'!$B259&gt;Calculos!$Z$4,IF('Levantamento dutos'!$B259&lt;=Calculos!$Z$5,((('Levantamento dutos'!$B259)/100+('Levantamento dutos'!$C259)/100)*2)*'Levantamento dutos'!$D259,0),0)</f>
        <v>0</v>
      </c>
      <c r="E259">
        <f>IF('Levantamento dutos'!$B259&gt;Calculos!$Z$5,IF('Levantamento dutos'!$B259&lt;=Calculos!$Z$6,((('Levantamento dutos'!$B259)/100+('Levantamento dutos'!$C259)/100)*2)*'Levantamento dutos'!$D259,0),0)</f>
        <v>0</v>
      </c>
      <c r="F259" s="59">
        <f>IF('Levantamento dutos'!$B259&gt;Calculos!$Z$7,((('Levantamento dutos'!$B259)/100+('Levantamento dutos'!$C259)/100)*2)*'Levantamento dutos'!$D259,0)</f>
        <v>0</v>
      </c>
      <c r="G259">
        <f>(('Levantamento dutos'!B259+'Levantamento dutos'!C259)/100)*2</f>
        <v>0</v>
      </c>
      <c r="H259" s="58">
        <f>IF(CODE('Levantamento dutos'!$E259)=76,SUM($B259:$F259),0)</f>
        <v>0</v>
      </c>
      <c r="I259">
        <f>IF(CODE('Levantamento dutos'!$E259)=73,SUM($B259:$F259),0)</f>
        <v>0</v>
      </c>
      <c r="J259">
        <f>IF(CODE('Levantamento dutos'!$E259)=80,SUM($B259:$F259),0)</f>
        <v>0</v>
      </c>
      <c r="K259">
        <f>IF(CODE('Levantamento dutos'!$F259)=66,SUM($B259:$F259),0)</f>
        <v>0</v>
      </c>
      <c r="L259">
        <f>IF(CODE('Levantamento dutos'!$F259)=70,SUM($B259:$F259),0)</f>
        <v>0</v>
      </c>
      <c r="M259" s="59">
        <f>IF(CODE('Levantamento dutos'!$E259)=84,SUM($B259:$F259),0)</f>
        <v>0</v>
      </c>
      <c r="N259" s="60">
        <f>IF(CODE('Levantamento dutos'!$G259)=80,IF('Levantamento dutos'!$B259&lt;=200,('Levantamento dutos'!$D259/'Levantamento dutos'!$G$12*Calculos!$G259*2),0),0)</f>
        <v>0</v>
      </c>
      <c r="O259" s="60">
        <f>IF(CODE('Levantamento dutos'!$G259)=80,IF('Levantamento dutos'!$B259&gt;200,('Levantamento dutos'!$D259/'Levantamento dutos'!$G$12*Calculos!$G259*2),0),0)</f>
        <v>0</v>
      </c>
      <c r="P259" s="60">
        <f>IF(CODE('Levantamento dutos'!$G259)=67,('Levantamento dutos'!$D259/'Levantamento dutos'!$G$12*Calculos!$G259*2),0)</f>
        <v>0</v>
      </c>
      <c r="Q259" s="60">
        <f>IF(CODE('Levantamento dutos'!H259)=83,((('Levantamento dutos'!B259/100)+('Levantamento dutos'!$H$12/1000))+(('Levantamento dutos'!C259/100)+('Levantamento dutos'!$H$12)/1000))*2*'Levantamento dutos'!D259,0)</f>
        <v>0</v>
      </c>
      <c r="S259" s="60">
        <f>IF(CODE('Levantamento dutos'!$I259)=83,$Q259,0)</f>
        <v>0</v>
      </c>
      <c r="T259" s="60">
        <f>IF(CODE('Levantamento dutos'!$E259)=76,ROUND((('Levantamento dutos'!$D259/5)*(Calculos!$G259+0.2)*1.2),0),0)</f>
        <v>0</v>
      </c>
      <c r="U259" s="60">
        <f>IF(CODE('Levantamento dutos'!$E259)=73,ROUND((('Levantamento dutos'!$D259/0.5)*(Calculos!$G259+0.2)*1.2),0),0)</f>
        <v>0</v>
      </c>
      <c r="V259" s="60">
        <f>IF(CODE('Levantamento dutos'!$E259)=80,ROUND((('Levantamento dutos'!$D259/0.5)*(Calculos!$G259+0.2)*1.2),0),0)</f>
        <v>0</v>
      </c>
      <c r="W259" s="60">
        <f>IF(CODE('Levantamento dutos'!$E259)=76,'Levantamento dutos'!$D259/0.5*1.5,0)</f>
        <v>0</v>
      </c>
      <c r="X259" s="60">
        <f>IF(CODE('Levantamento dutos'!$E259)=73,'Levantamento dutos'!$D259/0.5*1.5,0)</f>
        <v>0</v>
      </c>
      <c r="Y259" s="60">
        <f>IF(CODE('Levantamento dutos'!$E259)=80,'Levantamento dutos'!$D259/0.5*1.5,0)</f>
        <v>0</v>
      </c>
      <c r="Z259" s="60">
        <f>IF(CODE('Levantamento dutos'!$E259)=76,ROUND(('Levantamento dutos'!$D259)+('Levantamento dutos'!$D259*Calculos!$G259*2)*1.1,0),0)</f>
        <v>0</v>
      </c>
      <c r="AA259" s="60">
        <f>IF(CODE('Levantamento dutos'!$G259)=80,('Levantamento dutos'!$D259/'Levantamento dutos'!$G$12)*8,0)</f>
        <v>0</v>
      </c>
      <c r="AB259" s="60">
        <f>IF(CODE('Levantamento dutos'!$G259)=80,IF('Levantamento dutos'!$B259&gt;30,('Levantamento dutos'!$D259/'Levantamento dutos'!$G$12)*4,0),0)</f>
        <v>0</v>
      </c>
      <c r="AC259" s="60">
        <f>IF('Levantamento dutos'!$B259&gt;220,('Levantamento dutos'!$D259/'Levantamento dutos'!$G$12*Calculos!$G259*2),0)</f>
        <v>0</v>
      </c>
      <c r="AD259" s="60">
        <f>IF(CODE('Levantamento dutos'!$E259)=73,((('Levantamento dutos'!$E$12/1000)+0.02)*'Levantamento dutos'!$D259)*4*1.3,0)</f>
        <v>0</v>
      </c>
      <c r="AE259" s="60">
        <f>IF(CODE('Levantamento dutos'!$E259)=80,((('Levantamento dutos'!$E$12/1000)+0.02)*'Levantamento dutos'!$D259)*4*1.3,0)</f>
        <v>0</v>
      </c>
    </row>
    <row r="260" spans="2:31" x14ac:dyDescent="0.2">
      <c r="B260" s="58">
        <f>IF('Levantamento dutos'!$B260&lt;=Calculos!$Z$3,((('Levantamento dutos'!$B260)/100+('Levantamento dutos'!$C260)/100)*2)*'Levantamento dutos'!$D260,0)</f>
        <v>0</v>
      </c>
      <c r="C260">
        <f>IF('Levantamento dutos'!$B260&gt;Calculos!$Z$3,IF('Levantamento dutos'!$B260&lt;=Calculos!$Z$4,((('Levantamento dutos'!$B260)/100+('Levantamento dutos'!$C260)/100)*2)*'Levantamento dutos'!$D260,0),0)</f>
        <v>0</v>
      </c>
      <c r="D260">
        <f>IF('Levantamento dutos'!$B260&gt;Calculos!$Z$4,IF('Levantamento dutos'!$B260&lt;=Calculos!$Z$5,((('Levantamento dutos'!$B260)/100+('Levantamento dutos'!$C260)/100)*2)*'Levantamento dutos'!$D260,0),0)</f>
        <v>0</v>
      </c>
      <c r="E260">
        <f>IF('Levantamento dutos'!$B260&gt;Calculos!$Z$5,IF('Levantamento dutos'!$B260&lt;=Calculos!$Z$6,((('Levantamento dutos'!$B260)/100+('Levantamento dutos'!$C260)/100)*2)*'Levantamento dutos'!$D260,0),0)</f>
        <v>0</v>
      </c>
      <c r="F260" s="59">
        <f>IF('Levantamento dutos'!$B260&gt;Calculos!$Z$7,((('Levantamento dutos'!$B260)/100+('Levantamento dutos'!$C260)/100)*2)*'Levantamento dutos'!$D260,0)</f>
        <v>0</v>
      </c>
      <c r="G260">
        <f>(('Levantamento dutos'!B260+'Levantamento dutos'!C260)/100)*2</f>
        <v>0</v>
      </c>
      <c r="H260" s="58">
        <f>IF(CODE('Levantamento dutos'!$E260)=76,SUM($B260:$F260),0)</f>
        <v>0</v>
      </c>
      <c r="I260">
        <f>IF(CODE('Levantamento dutos'!$E260)=73,SUM($B260:$F260),0)</f>
        <v>0</v>
      </c>
      <c r="J260">
        <f>IF(CODE('Levantamento dutos'!$E260)=80,SUM($B260:$F260),0)</f>
        <v>0</v>
      </c>
      <c r="K260">
        <f>IF(CODE('Levantamento dutos'!$F260)=66,SUM($B260:$F260),0)</f>
        <v>0</v>
      </c>
      <c r="L260">
        <f>IF(CODE('Levantamento dutos'!$F260)=70,SUM($B260:$F260),0)</f>
        <v>0</v>
      </c>
      <c r="M260" s="59">
        <f>IF(CODE('Levantamento dutos'!$E260)=84,SUM($B260:$F260),0)</f>
        <v>0</v>
      </c>
      <c r="N260" s="60">
        <f>IF(CODE('Levantamento dutos'!$G260)=80,IF('Levantamento dutos'!$B260&lt;=200,('Levantamento dutos'!$D260/'Levantamento dutos'!$G$12*Calculos!$G260*2),0),0)</f>
        <v>0</v>
      </c>
      <c r="O260" s="60">
        <f>IF(CODE('Levantamento dutos'!$G260)=80,IF('Levantamento dutos'!$B260&gt;200,('Levantamento dutos'!$D260/'Levantamento dutos'!$G$12*Calculos!$G260*2),0),0)</f>
        <v>0</v>
      </c>
      <c r="P260" s="60">
        <f>IF(CODE('Levantamento dutos'!$G260)=67,('Levantamento dutos'!$D260/'Levantamento dutos'!$G$12*Calculos!$G260*2),0)</f>
        <v>0</v>
      </c>
      <c r="Q260" s="60">
        <f>IF(CODE('Levantamento dutos'!H260)=83,((('Levantamento dutos'!B260/100)+('Levantamento dutos'!$H$12/1000))+(('Levantamento dutos'!C260/100)+('Levantamento dutos'!$H$12)/1000))*2*'Levantamento dutos'!D260,0)</f>
        <v>0</v>
      </c>
      <c r="S260" s="60">
        <f>IF(CODE('Levantamento dutos'!$I260)=83,$Q260,0)</f>
        <v>0</v>
      </c>
      <c r="T260" s="60">
        <f>IF(CODE('Levantamento dutos'!$E260)=76,ROUND((('Levantamento dutos'!$D260/5)*(Calculos!$G260+0.2)*1.2),0),0)</f>
        <v>0</v>
      </c>
      <c r="U260" s="60">
        <f>IF(CODE('Levantamento dutos'!$E260)=73,ROUND((('Levantamento dutos'!$D260/0.5)*(Calculos!$G260+0.2)*1.2),0),0)</f>
        <v>0</v>
      </c>
      <c r="V260" s="60">
        <f>IF(CODE('Levantamento dutos'!$E260)=80,ROUND((('Levantamento dutos'!$D260/0.5)*(Calculos!$G260+0.2)*1.2),0),0)</f>
        <v>0</v>
      </c>
      <c r="W260" s="60">
        <f>IF(CODE('Levantamento dutos'!$E260)=76,'Levantamento dutos'!$D260/0.5*1.5,0)</f>
        <v>0</v>
      </c>
      <c r="X260" s="60">
        <f>IF(CODE('Levantamento dutos'!$E260)=73,'Levantamento dutos'!$D260/0.5*1.5,0)</f>
        <v>0</v>
      </c>
      <c r="Y260" s="60">
        <f>IF(CODE('Levantamento dutos'!$E260)=80,'Levantamento dutos'!$D260/0.5*1.5,0)</f>
        <v>0</v>
      </c>
      <c r="Z260" s="60">
        <f>IF(CODE('Levantamento dutos'!$E260)=76,ROUND(('Levantamento dutos'!$D260)+('Levantamento dutos'!$D260*Calculos!$G260*2)*1.1,0),0)</f>
        <v>0</v>
      </c>
      <c r="AA260" s="60">
        <f>IF(CODE('Levantamento dutos'!$G260)=80,('Levantamento dutos'!$D260/'Levantamento dutos'!$G$12)*8,0)</f>
        <v>0</v>
      </c>
      <c r="AB260" s="60">
        <f>IF(CODE('Levantamento dutos'!$G260)=80,IF('Levantamento dutos'!$B260&gt;30,('Levantamento dutos'!$D260/'Levantamento dutos'!$G$12)*4,0),0)</f>
        <v>0</v>
      </c>
      <c r="AC260" s="60">
        <f>IF('Levantamento dutos'!$B260&gt;220,('Levantamento dutos'!$D260/'Levantamento dutos'!$G$12*Calculos!$G260*2),0)</f>
        <v>0</v>
      </c>
      <c r="AD260" s="60">
        <f>IF(CODE('Levantamento dutos'!$E260)=73,((('Levantamento dutos'!$E$12/1000)+0.02)*'Levantamento dutos'!$D260)*4*1.3,0)</f>
        <v>0</v>
      </c>
      <c r="AE260" s="60">
        <f>IF(CODE('Levantamento dutos'!$E260)=80,((('Levantamento dutos'!$E$12/1000)+0.02)*'Levantamento dutos'!$D260)*4*1.3,0)</f>
        <v>0</v>
      </c>
    </row>
    <row r="261" spans="2:31" x14ac:dyDescent="0.2">
      <c r="B261" s="58">
        <f>IF('Levantamento dutos'!$B261&lt;=Calculos!$Z$3,((('Levantamento dutos'!$B261)/100+('Levantamento dutos'!$C261)/100)*2)*'Levantamento dutos'!$D261,0)</f>
        <v>0</v>
      </c>
      <c r="C261">
        <f>IF('Levantamento dutos'!$B261&gt;Calculos!$Z$3,IF('Levantamento dutos'!$B261&lt;=Calculos!$Z$4,((('Levantamento dutos'!$B261)/100+('Levantamento dutos'!$C261)/100)*2)*'Levantamento dutos'!$D261,0),0)</f>
        <v>0</v>
      </c>
      <c r="D261">
        <f>IF('Levantamento dutos'!$B261&gt;Calculos!$Z$4,IF('Levantamento dutos'!$B261&lt;=Calculos!$Z$5,((('Levantamento dutos'!$B261)/100+('Levantamento dutos'!$C261)/100)*2)*'Levantamento dutos'!$D261,0),0)</f>
        <v>0</v>
      </c>
      <c r="E261">
        <f>IF('Levantamento dutos'!$B261&gt;Calculos!$Z$5,IF('Levantamento dutos'!$B261&lt;=Calculos!$Z$6,((('Levantamento dutos'!$B261)/100+('Levantamento dutos'!$C261)/100)*2)*'Levantamento dutos'!$D261,0),0)</f>
        <v>0</v>
      </c>
      <c r="F261" s="59">
        <f>IF('Levantamento dutos'!$B261&gt;Calculos!$Z$7,((('Levantamento dutos'!$B261)/100+('Levantamento dutos'!$C261)/100)*2)*'Levantamento dutos'!$D261,0)</f>
        <v>0</v>
      </c>
      <c r="G261">
        <f>(('Levantamento dutos'!B261+'Levantamento dutos'!C261)/100)*2</f>
        <v>0</v>
      </c>
      <c r="H261" s="58">
        <f>IF(CODE('Levantamento dutos'!$E261)=76,SUM($B261:$F261),0)</f>
        <v>0</v>
      </c>
      <c r="I261">
        <f>IF(CODE('Levantamento dutos'!$E261)=73,SUM($B261:$F261),0)</f>
        <v>0</v>
      </c>
      <c r="J261">
        <f>IF(CODE('Levantamento dutos'!$E261)=80,SUM($B261:$F261),0)</f>
        <v>0</v>
      </c>
      <c r="K261">
        <f>IF(CODE('Levantamento dutos'!$F261)=66,SUM($B261:$F261),0)</f>
        <v>0</v>
      </c>
      <c r="L261">
        <f>IF(CODE('Levantamento dutos'!$F261)=70,SUM($B261:$F261),0)</f>
        <v>0</v>
      </c>
      <c r="M261" s="59">
        <f>IF(CODE('Levantamento dutos'!$E261)=84,SUM($B261:$F261),0)</f>
        <v>0</v>
      </c>
      <c r="N261" s="60">
        <f>IF(CODE('Levantamento dutos'!$G261)=80,IF('Levantamento dutos'!$B261&lt;=200,('Levantamento dutos'!$D261/'Levantamento dutos'!$G$12*Calculos!$G261*2),0),0)</f>
        <v>0</v>
      </c>
      <c r="O261" s="60">
        <f>IF(CODE('Levantamento dutos'!$G261)=80,IF('Levantamento dutos'!$B261&gt;200,('Levantamento dutos'!$D261/'Levantamento dutos'!$G$12*Calculos!$G261*2),0),0)</f>
        <v>0</v>
      </c>
      <c r="P261" s="60">
        <f>IF(CODE('Levantamento dutos'!$G261)=67,('Levantamento dutos'!$D261/'Levantamento dutos'!$G$12*Calculos!$G261*2),0)</f>
        <v>0</v>
      </c>
      <c r="Q261" s="60">
        <f>IF(CODE('Levantamento dutos'!H261)=83,((('Levantamento dutos'!B261/100)+('Levantamento dutos'!$H$12/1000))+(('Levantamento dutos'!C261/100)+('Levantamento dutos'!$H$12)/1000))*2*'Levantamento dutos'!D261,0)</f>
        <v>0</v>
      </c>
      <c r="S261" s="60">
        <f>IF(CODE('Levantamento dutos'!$I261)=83,$Q261,0)</f>
        <v>0</v>
      </c>
      <c r="T261" s="60">
        <f>IF(CODE('Levantamento dutos'!$E261)=76,ROUND((('Levantamento dutos'!$D261/5)*(Calculos!$G261+0.2)*1.2),0),0)</f>
        <v>0</v>
      </c>
      <c r="U261" s="60">
        <f>IF(CODE('Levantamento dutos'!$E261)=73,ROUND((('Levantamento dutos'!$D261/0.5)*(Calculos!$G261+0.2)*1.2),0),0)</f>
        <v>0</v>
      </c>
      <c r="V261" s="60">
        <f>IF(CODE('Levantamento dutos'!$E261)=80,ROUND((('Levantamento dutos'!$D261/0.5)*(Calculos!$G261+0.2)*1.2),0),0)</f>
        <v>0</v>
      </c>
      <c r="W261" s="60">
        <f>IF(CODE('Levantamento dutos'!$E261)=76,'Levantamento dutos'!$D261/0.5*1.5,0)</f>
        <v>0</v>
      </c>
      <c r="X261" s="60">
        <f>IF(CODE('Levantamento dutos'!$E261)=73,'Levantamento dutos'!$D261/0.5*1.5,0)</f>
        <v>0</v>
      </c>
      <c r="Y261" s="60">
        <f>IF(CODE('Levantamento dutos'!$E261)=80,'Levantamento dutos'!$D261/0.5*1.5,0)</f>
        <v>0</v>
      </c>
      <c r="Z261" s="60">
        <f>IF(CODE('Levantamento dutos'!$E261)=76,ROUND(('Levantamento dutos'!$D261)+('Levantamento dutos'!$D261*Calculos!$G261*2)*1.1,0),0)</f>
        <v>0</v>
      </c>
      <c r="AA261" s="60">
        <f>IF(CODE('Levantamento dutos'!$G261)=80,('Levantamento dutos'!$D261/'Levantamento dutos'!$G$12)*8,0)</f>
        <v>0</v>
      </c>
      <c r="AB261" s="60">
        <f>IF(CODE('Levantamento dutos'!$G261)=80,IF('Levantamento dutos'!$B261&gt;30,('Levantamento dutos'!$D261/'Levantamento dutos'!$G$12)*4,0),0)</f>
        <v>0</v>
      </c>
      <c r="AC261" s="60">
        <f>IF('Levantamento dutos'!$B261&gt;220,('Levantamento dutos'!$D261/'Levantamento dutos'!$G$12*Calculos!$G261*2),0)</f>
        <v>0</v>
      </c>
      <c r="AD261" s="60">
        <f>IF(CODE('Levantamento dutos'!$E261)=73,((('Levantamento dutos'!$E$12/1000)+0.02)*'Levantamento dutos'!$D261)*4*1.3,0)</f>
        <v>0</v>
      </c>
      <c r="AE261" s="60">
        <f>IF(CODE('Levantamento dutos'!$E261)=80,((('Levantamento dutos'!$E$12/1000)+0.02)*'Levantamento dutos'!$D261)*4*1.3,0)</f>
        <v>0</v>
      </c>
    </row>
    <row r="262" spans="2:31" x14ac:dyDescent="0.2">
      <c r="B262" s="58">
        <f>IF('Levantamento dutos'!$B262&lt;=Calculos!$Z$3,((('Levantamento dutos'!$B262)/100+('Levantamento dutos'!$C262)/100)*2)*'Levantamento dutos'!$D262,0)</f>
        <v>0</v>
      </c>
      <c r="C262">
        <f>IF('Levantamento dutos'!$B262&gt;Calculos!$Z$3,IF('Levantamento dutos'!$B262&lt;=Calculos!$Z$4,((('Levantamento dutos'!$B262)/100+('Levantamento dutos'!$C262)/100)*2)*'Levantamento dutos'!$D262,0),0)</f>
        <v>0</v>
      </c>
      <c r="D262">
        <f>IF('Levantamento dutos'!$B262&gt;Calculos!$Z$4,IF('Levantamento dutos'!$B262&lt;=Calculos!$Z$5,((('Levantamento dutos'!$B262)/100+('Levantamento dutos'!$C262)/100)*2)*'Levantamento dutos'!$D262,0),0)</f>
        <v>0</v>
      </c>
      <c r="E262">
        <f>IF('Levantamento dutos'!$B262&gt;Calculos!$Z$5,IF('Levantamento dutos'!$B262&lt;=Calculos!$Z$6,((('Levantamento dutos'!$B262)/100+('Levantamento dutos'!$C262)/100)*2)*'Levantamento dutos'!$D262,0),0)</f>
        <v>0</v>
      </c>
      <c r="F262" s="59">
        <f>IF('Levantamento dutos'!$B262&gt;Calculos!$Z$7,((('Levantamento dutos'!$B262)/100+('Levantamento dutos'!$C262)/100)*2)*'Levantamento dutos'!$D262,0)</f>
        <v>0</v>
      </c>
      <c r="G262">
        <f>(('Levantamento dutos'!B262+'Levantamento dutos'!C262)/100)*2</f>
        <v>0</v>
      </c>
      <c r="H262" s="58">
        <f>IF(CODE('Levantamento dutos'!$E262)=76,SUM($B262:$F262),0)</f>
        <v>0</v>
      </c>
      <c r="I262">
        <f>IF(CODE('Levantamento dutos'!$E262)=73,SUM($B262:$F262),0)</f>
        <v>0</v>
      </c>
      <c r="J262">
        <f>IF(CODE('Levantamento dutos'!$E262)=80,SUM($B262:$F262),0)</f>
        <v>0</v>
      </c>
      <c r="K262">
        <f>IF(CODE('Levantamento dutos'!$F262)=66,SUM($B262:$F262),0)</f>
        <v>0</v>
      </c>
      <c r="L262">
        <f>IF(CODE('Levantamento dutos'!$F262)=70,SUM($B262:$F262),0)</f>
        <v>0</v>
      </c>
      <c r="M262" s="59">
        <f>IF(CODE('Levantamento dutos'!$E262)=84,SUM($B262:$F262),0)</f>
        <v>0</v>
      </c>
      <c r="N262" s="60">
        <f>IF(CODE('Levantamento dutos'!$G262)=80,IF('Levantamento dutos'!$B262&lt;=200,('Levantamento dutos'!$D262/'Levantamento dutos'!$G$12*Calculos!$G262*2),0),0)</f>
        <v>0</v>
      </c>
      <c r="O262" s="60">
        <f>IF(CODE('Levantamento dutos'!$G262)=80,IF('Levantamento dutos'!$B262&gt;200,('Levantamento dutos'!$D262/'Levantamento dutos'!$G$12*Calculos!$G262*2),0),0)</f>
        <v>0</v>
      </c>
      <c r="P262" s="60">
        <f>IF(CODE('Levantamento dutos'!$G262)=67,('Levantamento dutos'!$D262/'Levantamento dutos'!$G$12*Calculos!$G262*2),0)</f>
        <v>0</v>
      </c>
      <c r="Q262" s="60">
        <f>IF(CODE('Levantamento dutos'!H262)=83,((('Levantamento dutos'!B262/100)+('Levantamento dutos'!$H$12/1000))+(('Levantamento dutos'!C262/100)+('Levantamento dutos'!$H$12)/1000))*2*'Levantamento dutos'!D262,0)</f>
        <v>0</v>
      </c>
      <c r="S262" s="60">
        <f>IF(CODE('Levantamento dutos'!$I262)=83,$Q262,0)</f>
        <v>0</v>
      </c>
      <c r="T262" s="60">
        <f>IF(CODE('Levantamento dutos'!$E262)=76,ROUND((('Levantamento dutos'!$D262/5)*(Calculos!$G262+0.2)*1.2),0),0)</f>
        <v>0</v>
      </c>
      <c r="U262" s="60">
        <f>IF(CODE('Levantamento dutos'!$E262)=73,ROUND((('Levantamento dutos'!$D262/0.5)*(Calculos!$G262+0.2)*1.2),0),0)</f>
        <v>0</v>
      </c>
      <c r="V262" s="60">
        <f>IF(CODE('Levantamento dutos'!$E262)=80,ROUND((('Levantamento dutos'!$D262/0.5)*(Calculos!$G262+0.2)*1.2),0),0)</f>
        <v>0</v>
      </c>
      <c r="W262" s="60">
        <f>IF(CODE('Levantamento dutos'!$E262)=76,'Levantamento dutos'!$D262/0.5*1.5,0)</f>
        <v>0</v>
      </c>
      <c r="X262" s="60">
        <f>IF(CODE('Levantamento dutos'!$E262)=73,'Levantamento dutos'!$D262/0.5*1.5,0)</f>
        <v>0</v>
      </c>
      <c r="Y262" s="60">
        <f>IF(CODE('Levantamento dutos'!$E262)=80,'Levantamento dutos'!$D262/0.5*1.5,0)</f>
        <v>0</v>
      </c>
      <c r="Z262" s="60">
        <f>IF(CODE('Levantamento dutos'!$E262)=76,ROUND(('Levantamento dutos'!$D262)+('Levantamento dutos'!$D262*Calculos!$G262*2)*1.1,0),0)</f>
        <v>0</v>
      </c>
      <c r="AA262" s="60">
        <f>IF(CODE('Levantamento dutos'!$G262)=80,('Levantamento dutos'!$D262/'Levantamento dutos'!$G$12)*8,0)</f>
        <v>0</v>
      </c>
      <c r="AB262" s="60">
        <f>IF(CODE('Levantamento dutos'!$G262)=80,IF('Levantamento dutos'!$B262&gt;30,('Levantamento dutos'!$D262/'Levantamento dutos'!$G$12)*4,0),0)</f>
        <v>0</v>
      </c>
      <c r="AC262" s="60">
        <f>IF('Levantamento dutos'!$B262&gt;220,('Levantamento dutos'!$D262/'Levantamento dutos'!$G$12*Calculos!$G262*2),0)</f>
        <v>0</v>
      </c>
      <c r="AD262" s="60">
        <f>IF(CODE('Levantamento dutos'!$E262)=73,((('Levantamento dutos'!$E$12/1000)+0.02)*'Levantamento dutos'!$D262)*4*1.3,0)</f>
        <v>0</v>
      </c>
      <c r="AE262" s="60">
        <f>IF(CODE('Levantamento dutos'!$E262)=80,((('Levantamento dutos'!$E$12/1000)+0.02)*'Levantamento dutos'!$D262)*4*1.3,0)</f>
        <v>0</v>
      </c>
    </row>
    <row r="263" spans="2:31" x14ac:dyDescent="0.2">
      <c r="B263" s="58">
        <f>IF('Levantamento dutos'!$B263&lt;=Calculos!$Z$3,((('Levantamento dutos'!$B263)/100+('Levantamento dutos'!$C263)/100)*2)*'Levantamento dutos'!$D263,0)</f>
        <v>0</v>
      </c>
      <c r="C263">
        <f>IF('Levantamento dutos'!$B263&gt;Calculos!$Z$3,IF('Levantamento dutos'!$B263&lt;=Calculos!$Z$4,((('Levantamento dutos'!$B263)/100+('Levantamento dutos'!$C263)/100)*2)*'Levantamento dutos'!$D263,0),0)</f>
        <v>0</v>
      </c>
      <c r="D263">
        <f>IF('Levantamento dutos'!$B263&gt;Calculos!$Z$4,IF('Levantamento dutos'!$B263&lt;=Calculos!$Z$5,((('Levantamento dutos'!$B263)/100+('Levantamento dutos'!$C263)/100)*2)*'Levantamento dutos'!$D263,0),0)</f>
        <v>0</v>
      </c>
      <c r="E263">
        <f>IF('Levantamento dutos'!$B263&gt;Calculos!$Z$5,IF('Levantamento dutos'!$B263&lt;=Calculos!$Z$6,((('Levantamento dutos'!$B263)/100+('Levantamento dutos'!$C263)/100)*2)*'Levantamento dutos'!$D263,0),0)</f>
        <v>0</v>
      </c>
      <c r="F263" s="59">
        <f>IF('Levantamento dutos'!$B263&gt;Calculos!$Z$7,((('Levantamento dutos'!$B263)/100+('Levantamento dutos'!$C263)/100)*2)*'Levantamento dutos'!$D263,0)</f>
        <v>0</v>
      </c>
      <c r="G263">
        <f>(('Levantamento dutos'!B263+'Levantamento dutos'!C263)/100)*2</f>
        <v>0</v>
      </c>
      <c r="H263" s="58">
        <f>IF(CODE('Levantamento dutos'!$E263)=76,SUM($B263:$F263),0)</f>
        <v>0</v>
      </c>
      <c r="I263">
        <f>IF(CODE('Levantamento dutos'!$E263)=73,SUM($B263:$F263),0)</f>
        <v>0</v>
      </c>
      <c r="J263">
        <f>IF(CODE('Levantamento dutos'!$E263)=80,SUM($B263:$F263),0)</f>
        <v>0</v>
      </c>
      <c r="K263">
        <f>IF(CODE('Levantamento dutos'!$F263)=66,SUM($B263:$F263),0)</f>
        <v>0</v>
      </c>
      <c r="L263">
        <f>IF(CODE('Levantamento dutos'!$F263)=70,SUM($B263:$F263),0)</f>
        <v>0</v>
      </c>
      <c r="M263" s="59">
        <f>IF(CODE('Levantamento dutos'!$E263)=84,SUM($B263:$F263),0)</f>
        <v>0</v>
      </c>
      <c r="N263" s="60">
        <f>IF(CODE('Levantamento dutos'!$G263)=80,IF('Levantamento dutos'!$B263&lt;=200,('Levantamento dutos'!$D263/'Levantamento dutos'!$G$12*Calculos!$G263*2),0),0)</f>
        <v>0</v>
      </c>
      <c r="O263" s="60">
        <f>IF(CODE('Levantamento dutos'!$G263)=80,IF('Levantamento dutos'!$B263&gt;200,('Levantamento dutos'!$D263/'Levantamento dutos'!$G$12*Calculos!$G263*2),0),0)</f>
        <v>0</v>
      </c>
      <c r="P263" s="60">
        <f>IF(CODE('Levantamento dutos'!$G263)=67,('Levantamento dutos'!$D263/'Levantamento dutos'!$G$12*Calculos!$G263*2),0)</f>
        <v>0</v>
      </c>
      <c r="Q263" s="60">
        <f>IF(CODE('Levantamento dutos'!H263)=83,((('Levantamento dutos'!B263/100)+('Levantamento dutos'!$H$12/1000))+(('Levantamento dutos'!C263/100)+('Levantamento dutos'!$H$12)/1000))*2*'Levantamento dutos'!D263,0)</f>
        <v>0</v>
      </c>
      <c r="S263" s="60">
        <f>IF(CODE('Levantamento dutos'!$I263)=83,$Q263,0)</f>
        <v>0</v>
      </c>
      <c r="T263" s="60">
        <f>IF(CODE('Levantamento dutos'!$E263)=76,ROUND((('Levantamento dutos'!$D263/5)*(Calculos!$G263+0.2)*1.2),0),0)</f>
        <v>0</v>
      </c>
      <c r="U263" s="60">
        <f>IF(CODE('Levantamento dutos'!$E263)=73,ROUND((('Levantamento dutos'!$D263/0.5)*(Calculos!$G263+0.2)*1.2),0),0)</f>
        <v>0</v>
      </c>
      <c r="V263" s="60">
        <f>IF(CODE('Levantamento dutos'!$E263)=80,ROUND((('Levantamento dutos'!$D263/0.5)*(Calculos!$G263+0.2)*1.2),0),0)</f>
        <v>0</v>
      </c>
      <c r="W263" s="60">
        <f>IF(CODE('Levantamento dutos'!$E263)=76,'Levantamento dutos'!$D263/0.5*1.5,0)</f>
        <v>0</v>
      </c>
      <c r="X263" s="60">
        <f>IF(CODE('Levantamento dutos'!$E263)=73,'Levantamento dutos'!$D263/0.5*1.5,0)</f>
        <v>0</v>
      </c>
      <c r="Y263" s="60">
        <f>IF(CODE('Levantamento dutos'!$E263)=80,'Levantamento dutos'!$D263/0.5*1.5,0)</f>
        <v>0</v>
      </c>
      <c r="Z263" s="60">
        <f>IF(CODE('Levantamento dutos'!$E263)=76,ROUND(('Levantamento dutos'!$D263)+('Levantamento dutos'!$D263*Calculos!$G263*2)*1.1,0),0)</f>
        <v>0</v>
      </c>
      <c r="AA263" s="60">
        <f>IF(CODE('Levantamento dutos'!$G263)=80,('Levantamento dutos'!$D263/'Levantamento dutos'!$G$12)*8,0)</f>
        <v>0</v>
      </c>
      <c r="AB263" s="60">
        <f>IF(CODE('Levantamento dutos'!$G263)=80,IF('Levantamento dutos'!$B263&gt;30,('Levantamento dutos'!$D263/'Levantamento dutos'!$G$12)*4,0),0)</f>
        <v>0</v>
      </c>
      <c r="AC263" s="60">
        <f>IF('Levantamento dutos'!$B263&gt;220,('Levantamento dutos'!$D263/'Levantamento dutos'!$G$12*Calculos!$G263*2),0)</f>
        <v>0</v>
      </c>
      <c r="AD263" s="60">
        <f>IF(CODE('Levantamento dutos'!$E263)=73,((('Levantamento dutos'!$E$12/1000)+0.02)*'Levantamento dutos'!$D263)*4*1.3,0)</f>
        <v>0</v>
      </c>
      <c r="AE263" s="60">
        <f>IF(CODE('Levantamento dutos'!$E263)=80,((('Levantamento dutos'!$E$12/1000)+0.02)*'Levantamento dutos'!$D263)*4*1.3,0)</f>
        <v>0</v>
      </c>
    </row>
    <row r="264" spans="2:31" x14ac:dyDescent="0.2">
      <c r="B264" s="58">
        <f>IF('Levantamento dutos'!$B264&lt;=Calculos!$Z$3,((('Levantamento dutos'!$B264)/100+('Levantamento dutos'!$C264)/100)*2)*'Levantamento dutos'!$D264,0)</f>
        <v>0</v>
      </c>
      <c r="C264">
        <f>IF('Levantamento dutos'!$B264&gt;Calculos!$Z$3,IF('Levantamento dutos'!$B264&lt;=Calculos!$Z$4,((('Levantamento dutos'!$B264)/100+('Levantamento dutos'!$C264)/100)*2)*'Levantamento dutos'!$D264,0),0)</f>
        <v>0</v>
      </c>
      <c r="D264">
        <f>IF('Levantamento dutos'!$B264&gt;Calculos!$Z$4,IF('Levantamento dutos'!$B264&lt;=Calculos!$Z$5,((('Levantamento dutos'!$B264)/100+('Levantamento dutos'!$C264)/100)*2)*'Levantamento dutos'!$D264,0),0)</f>
        <v>0</v>
      </c>
      <c r="E264">
        <f>IF('Levantamento dutos'!$B264&gt;Calculos!$Z$5,IF('Levantamento dutos'!$B264&lt;=Calculos!$Z$6,((('Levantamento dutos'!$B264)/100+('Levantamento dutos'!$C264)/100)*2)*'Levantamento dutos'!$D264,0),0)</f>
        <v>0</v>
      </c>
      <c r="F264" s="59">
        <f>IF('Levantamento dutos'!$B264&gt;Calculos!$Z$7,((('Levantamento dutos'!$B264)/100+('Levantamento dutos'!$C264)/100)*2)*'Levantamento dutos'!$D264,0)</f>
        <v>0</v>
      </c>
      <c r="G264">
        <f>(('Levantamento dutos'!B264+'Levantamento dutos'!C264)/100)*2</f>
        <v>0</v>
      </c>
      <c r="H264" s="58">
        <f>IF(CODE('Levantamento dutos'!$E264)=76,SUM($B264:$F264),0)</f>
        <v>0</v>
      </c>
      <c r="I264">
        <f>IF(CODE('Levantamento dutos'!$E264)=73,SUM($B264:$F264),0)</f>
        <v>0</v>
      </c>
      <c r="J264">
        <f>IF(CODE('Levantamento dutos'!$E264)=80,SUM($B264:$F264),0)</f>
        <v>0</v>
      </c>
      <c r="K264">
        <f>IF(CODE('Levantamento dutos'!$F264)=66,SUM($B264:$F264),0)</f>
        <v>0</v>
      </c>
      <c r="L264">
        <f>IF(CODE('Levantamento dutos'!$F264)=70,SUM($B264:$F264),0)</f>
        <v>0</v>
      </c>
      <c r="M264" s="59">
        <f>IF(CODE('Levantamento dutos'!$E264)=84,SUM($B264:$F264),0)</f>
        <v>0</v>
      </c>
      <c r="N264" s="60">
        <f>IF(CODE('Levantamento dutos'!$G264)=80,IF('Levantamento dutos'!$B264&lt;=200,('Levantamento dutos'!$D264/'Levantamento dutos'!$G$12*Calculos!$G264*2),0),0)</f>
        <v>0</v>
      </c>
      <c r="O264" s="60">
        <f>IF(CODE('Levantamento dutos'!$G264)=80,IF('Levantamento dutos'!$B264&gt;200,('Levantamento dutos'!$D264/'Levantamento dutos'!$G$12*Calculos!$G264*2),0),0)</f>
        <v>0</v>
      </c>
      <c r="P264" s="60">
        <f>IF(CODE('Levantamento dutos'!$G264)=67,('Levantamento dutos'!$D264/'Levantamento dutos'!$G$12*Calculos!$G264*2),0)</f>
        <v>0</v>
      </c>
      <c r="Q264" s="60">
        <f>IF(CODE('Levantamento dutos'!H264)=83,((('Levantamento dutos'!B264/100)+('Levantamento dutos'!$H$12/1000))+(('Levantamento dutos'!C264/100)+('Levantamento dutos'!$H$12)/1000))*2*'Levantamento dutos'!D264,0)</f>
        <v>0</v>
      </c>
      <c r="S264" s="60">
        <f>IF(CODE('Levantamento dutos'!$I264)=83,$Q264,0)</f>
        <v>0</v>
      </c>
      <c r="T264" s="60">
        <f>IF(CODE('Levantamento dutos'!$E264)=76,ROUND((('Levantamento dutos'!$D264/5)*(Calculos!$G264+0.2)*1.2),0),0)</f>
        <v>0</v>
      </c>
      <c r="U264" s="60">
        <f>IF(CODE('Levantamento dutos'!$E264)=73,ROUND((('Levantamento dutos'!$D264/0.5)*(Calculos!$G264+0.2)*1.2),0),0)</f>
        <v>0</v>
      </c>
      <c r="V264" s="60">
        <f>IF(CODE('Levantamento dutos'!$E264)=80,ROUND((('Levantamento dutos'!$D264/0.5)*(Calculos!$G264+0.2)*1.2),0),0)</f>
        <v>0</v>
      </c>
      <c r="W264" s="60">
        <f>IF(CODE('Levantamento dutos'!$E264)=76,'Levantamento dutos'!$D264/0.5*1.5,0)</f>
        <v>0</v>
      </c>
      <c r="X264" s="60">
        <f>IF(CODE('Levantamento dutos'!$E264)=73,'Levantamento dutos'!$D264/0.5*1.5,0)</f>
        <v>0</v>
      </c>
      <c r="Y264" s="60">
        <f>IF(CODE('Levantamento dutos'!$E264)=80,'Levantamento dutos'!$D264/0.5*1.5,0)</f>
        <v>0</v>
      </c>
      <c r="Z264" s="60">
        <f>IF(CODE('Levantamento dutos'!$E264)=76,ROUND(('Levantamento dutos'!$D264)+('Levantamento dutos'!$D264*Calculos!$G264*2)*1.1,0),0)</f>
        <v>0</v>
      </c>
      <c r="AA264" s="60">
        <f>IF(CODE('Levantamento dutos'!$G264)=80,('Levantamento dutos'!$D264/'Levantamento dutos'!$G$12)*8,0)</f>
        <v>0</v>
      </c>
      <c r="AB264" s="60">
        <f>IF(CODE('Levantamento dutos'!$G264)=80,IF('Levantamento dutos'!$B264&gt;30,('Levantamento dutos'!$D264/'Levantamento dutos'!$G$12)*4,0),0)</f>
        <v>0</v>
      </c>
      <c r="AC264" s="60">
        <f>IF('Levantamento dutos'!$B264&gt;220,('Levantamento dutos'!$D264/'Levantamento dutos'!$G$12*Calculos!$G264*2),0)</f>
        <v>0</v>
      </c>
      <c r="AD264" s="60">
        <f>IF(CODE('Levantamento dutos'!$E264)=73,((('Levantamento dutos'!$E$12/1000)+0.02)*'Levantamento dutos'!$D264)*4*1.3,0)</f>
        <v>0</v>
      </c>
      <c r="AE264" s="60">
        <f>IF(CODE('Levantamento dutos'!$E264)=80,((('Levantamento dutos'!$E$12/1000)+0.02)*'Levantamento dutos'!$D264)*4*1.3,0)</f>
        <v>0</v>
      </c>
    </row>
    <row r="265" spans="2:31" x14ac:dyDescent="0.2">
      <c r="B265" s="58">
        <f>IF('Levantamento dutos'!$B265&lt;=Calculos!$Z$3,((('Levantamento dutos'!$B265)/100+('Levantamento dutos'!$C265)/100)*2)*'Levantamento dutos'!$D265,0)</f>
        <v>0</v>
      </c>
      <c r="C265">
        <f>IF('Levantamento dutos'!$B265&gt;Calculos!$Z$3,IF('Levantamento dutos'!$B265&lt;=Calculos!$Z$4,((('Levantamento dutos'!$B265)/100+('Levantamento dutos'!$C265)/100)*2)*'Levantamento dutos'!$D265,0),0)</f>
        <v>0</v>
      </c>
      <c r="D265">
        <f>IF('Levantamento dutos'!$B265&gt;Calculos!$Z$4,IF('Levantamento dutos'!$B265&lt;=Calculos!$Z$5,((('Levantamento dutos'!$B265)/100+('Levantamento dutos'!$C265)/100)*2)*'Levantamento dutos'!$D265,0),0)</f>
        <v>0</v>
      </c>
      <c r="E265">
        <f>IF('Levantamento dutos'!$B265&gt;Calculos!$Z$5,IF('Levantamento dutos'!$B265&lt;=Calculos!$Z$6,((('Levantamento dutos'!$B265)/100+('Levantamento dutos'!$C265)/100)*2)*'Levantamento dutos'!$D265,0),0)</f>
        <v>0</v>
      </c>
      <c r="F265" s="59">
        <f>IF('Levantamento dutos'!$B265&gt;Calculos!$Z$7,((('Levantamento dutos'!$B265)/100+('Levantamento dutos'!$C265)/100)*2)*'Levantamento dutos'!$D265,0)</f>
        <v>0</v>
      </c>
      <c r="G265">
        <f>(('Levantamento dutos'!B265+'Levantamento dutos'!C265)/100)*2</f>
        <v>0</v>
      </c>
      <c r="H265" s="58">
        <f>IF(CODE('Levantamento dutos'!$E265)=76,SUM($B265:$F265),0)</f>
        <v>0</v>
      </c>
      <c r="I265">
        <f>IF(CODE('Levantamento dutos'!$E265)=73,SUM($B265:$F265),0)</f>
        <v>0</v>
      </c>
      <c r="J265">
        <f>IF(CODE('Levantamento dutos'!$E265)=80,SUM($B265:$F265),0)</f>
        <v>0</v>
      </c>
      <c r="K265">
        <f>IF(CODE('Levantamento dutos'!$F265)=66,SUM($B265:$F265),0)</f>
        <v>0</v>
      </c>
      <c r="L265">
        <f>IF(CODE('Levantamento dutos'!$F265)=70,SUM($B265:$F265),0)</f>
        <v>0</v>
      </c>
      <c r="M265" s="59">
        <f>IF(CODE('Levantamento dutos'!$E265)=84,SUM($B265:$F265),0)</f>
        <v>0</v>
      </c>
      <c r="N265" s="60">
        <f>IF(CODE('Levantamento dutos'!$G265)=80,IF('Levantamento dutos'!$B265&lt;=200,('Levantamento dutos'!$D265/'Levantamento dutos'!$G$12*Calculos!$G265*2),0),0)</f>
        <v>0</v>
      </c>
      <c r="O265" s="60">
        <f>IF(CODE('Levantamento dutos'!$G265)=80,IF('Levantamento dutos'!$B265&gt;200,('Levantamento dutos'!$D265/'Levantamento dutos'!$G$12*Calculos!$G265*2),0),0)</f>
        <v>0</v>
      </c>
      <c r="P265" s="60">
        <f>IF(CODE('Levantamento dutos'!$G265)=67,('Levantamento dutos'!$D265/'Levantamento dutos'!$G$12*Calculos!$G265*2),0)</f>
        <v>0</v>
      </c>
      <c r="Q265" s="60">
        <f>IF(CODE('Levantamento dutos'!H265)=83,((('Levantamento dutos'!B265/100)+('Levantamento dutos'!$H$12/1000))+(('Levantamento dutos'!C265/100)+('Levantamento dutos'!$H$12)/1000))*2*'Levantamento dutos'!D265,0)</f>
        <v>0</v>
      </c>
      <c r="S265" s="60">
        <f>IF(CODE('Levantamento dutos'!$I265)=83,$Q265,0)</f>
        <v>0</v>
      </c>
      <c r="T265" s="60">
        <f>IF(CODE('Levantamento dutos'!$E265)=76,ROUND((('Levantamento dutos'!$D265/5)*(Calculos!$G265+0.2)*1.2),0),0)</f>
        <v>0</v>
      </c>
      <c r="U265" s="60">
        <f>IF(CODE('Levantamento dutos'!$E265)=73,ROUND((('Levantamento dutos'!$D265/0.5)*(Calculos!$G265+0.2)*1.2),0),0)</f>
        <v>0</v>
      </c>
      <c r="V265" s="60">
        <f>IF(CODE('Levantamento dutos'!$E265)=80,ROUND((('Levantamento dutos'!$D265/0.5)*(Calculos!$G265+0.2)*1.2),0),0)</f>
        <v>0</v>
      </c>
      <c r="W265" s="60">
        <f>IF(CODE('Levantamento dutos'!$E265)=76,'Levantamento dutos'!$D265/0.5*1.5,0)</f>
        <v>0</v>
      </c>
      <c r="X265" s="60">
        <f>IF(CODE('Levantamento dutos'!$E265)=73,'Levantamento dutos'!$D265/0.5*1.5,0)</f>
        <v>0</v>
      </c>
      <c r="Y265" s="60">
        <f>IF(CODE('Levantamento dutos'!$E265)=80,'Levantamento dutos'!$D265/0.5*1.5,0)</f>
        <v>0</v>
      </c>
      <c r="Z265" s="60">
        <f>IF(CODE('Levantamento dutos'!$E265)=76,ROUND(('Levantamento dutos'!$D265)+('Levantamento dutos'!$D265*Calculos!$G265*2)*1.1,0),0)</f>
        <v>0</v>
      </c>
      <c r="AA265" s="60">
        <f>IF(CODE('Levantamento dutos'!$G265)=80,('Levantamento dutos'!$D265/'Levantamento dutos'!$G$12)*8,0)</f>
        <v>0</v>
      </c>
      <c r="AB265" s="60">
        <f>IF(CODE('Levantamento dutos'!$G265)=80,IF('Levantamento dutos'!$B265&gt;30,('Levantamento dutos'!$D265/'Levantamento dutos'!$G$12)*4,0),0)</f>
        <v>0</v>
      </c>
      <c r="AC265" s="60">
        <f>IF('Levantamento dutos'!$B265&gt;220,('Levantamento dutos'!$D265/'Levantamento dutos'!$G$12*Calculos!$G265*2),0)</f>
        <v>0</v>
      </c>
      <c r="AD265" s="60">
        <f>IF(CODE('Levantamento dutos'!$E265)=73,((('Levantamento dutos'!$E$12/1000)+0.02)*'Levantamento dutos'!$D265)*4*1.3,0)</f>
        <v>0</v>
      </c>
      <c r="AE265" s="60">
        <f>IF(CODE('Levantamento dutos'!$E265)=80,((('Levantamento dutos'!$E$12/1000)+0.02)*'Levantamento dutos'!$D265)*4*1.3,0)</f>
        <v>0</v>
      </c>
    </row>
    <row r="266" spans="2:31" x14ac:dyDescent="0.2">
      <c r="B266" s="58">
        <f>IF('Levantamento dutos'!$B266&lt;=Calculos!$Z$3,((('Levantamento dutos'!$B266)/100+('Levantamento dutos'!$C266)/100)*2)*'Levantamento dutos'!$D266,0)</f>
        <v>0</v>
      </c>
      <c r="C266">
        <f>IF('Levantamento dutos'!$B266&gt;Calculos!$Z$3,IF('Levantamento dutos'!$B266&lt;=Calculos!$Z$4,((('Levantamento dutos'!$B266)/100+('Levantamento dutos'!$C266)/100)*2)*'Levantamento dutos'!$D266,0),0)</f>
        <v>0</v>
      </c>
      <c r="D266">
        <f>IF('Levantamento dutos'!$B266&gt;Calculos!$Z$4,IF('Levantamento dutos'!$B266&lt;=Calculos!$Z$5,((('Levantamento dutos'!$B266)/100+('Levantamento dutos'!$C266)/100)*2)*'Levantamento dutos'!$D266,0),0)</f>
        <v>0</v>
      </c>
      <c r="E266">
        <f>IF('Levantamento dutos'!$B266&gt;Calculos!$Z$5,IF('Levantamento dutos'!$B266&lt;=Calculos!$Z$6,((('Levantamento dutos'!$B266)/100+('Levantamento dutos'!$C266)/100)*2)*'Levantamento dutos'!$D266,0),0)</f>
        <v>0</v>
      </c>
      <c r="F266" s="59">
        <f>IF('Levantamento dutos'!$B266&gt;Calculos!$Z$7,((('Levantamento dutos'!$B266)/100+('Levantamento dutos'!$C266)/100)*2)*'Levantamento dutos'!$D266,0)</f>
        <v>0</v>
      </c>
      <c r="G266">
        <f>(('Levantamento dutos'!B266+'Levantamento dutos'!C266)/100)*2</f>
        <v>0</v>
      </c>
      <c r="H266" s="58">
        <f>IF(CODE('Levantamento dutos'!$E266)=76,SUM($B266:$F266),0)</f>
        <v>0</v>
      </c>
      <c r="I266">
        <f>IF(CODE('Levantamento dutos'!$E266)=73,SUM($B266:$F266),0)</f>
        <v>0</v>
      </c>
      <c r="J266">
        <f>IF(CODE('Levantamento dutos'!$E266)=80,SUM($B266:$F266),0)</f>
        <v>0</v>
      </c>
      <c r="K266">
        <f>IF(CODE('Levantamento dutos'!$F266)=66,SUM($B266:$F266),0)</f>
        <v>0</v>
      </c>
      <c r="L266">
        <f>IF(CODE('Levantamento dutos'!$F266)=70,SUM($B266:$F266),0)</f>
        <v>0</v>
      </c>
      <c r="M266" s="59">
        <f>IF(CODE('Levantamento dutos'!$E266)=84,SUM($B266:$F266),0)</f>
        <v>0</v>
      </c>
      <c r="N266" s="60">
        <f>IF(CODE('Levantamento dutos'!$G266)=80,IF('Levantamento dutos'!$B266&lt;=200,('Levantamento dutos'!$D266/'Levantamento dutos'!$G$12*Calculos!$G266*2),0),0)</f>
        <v>0</v>
      </c>
      <c r="O266" s="60">
        <f>IF(CODE('Levantamento dutos'!$G266)=80,IF('Levantamento dutos'!$B266&gt;200,('Levantamento dutos'!$D266/'Levantamento dutos'!$G$12*Calculos!$G266*2),0),0)</f>
        <v>0</v>
      </c>
      <c r="P266" s="60">
        <f>IF(CODE('Levantamento dutos'!$G266)=67,('Levantamento dutos'!$D266/'Levantamento dutos'!$G$12*Calculos!$G266*2),0)</f>
        <v>0</v>
      </c>
      <c r="Q266" s="60">
        <f>IF(CODE('Levantamento dutos'!H266)=83,((('Levantamento dutos'!B266/100)+('Levantamento dutos'!$H$12/1000))+(('Levantamento dutos'!C266/100)+('Levantamento dutos'!$H$12)/1000))*2*'Levantamento dutos'!D266,0)</f>
        <v>0</v>
      </c>
      <c r="S266" s="60">
        <f>IF(CODE('Levantamento dutos'!$I266)=83,$Q266,0)</f>
        <v>0</v>
      </c>
      <c r="T266" s="60">
        <f>IF(CODE('Levantamento dutos'!$E266)=76,ROUND((('Levantamento dutos'!$D266/5)*(Calculos!$G266+0.2)*1.2),0),0)</f>
        <v>0</v>
      </c>
      <c r="U266" s="60">
        <f>IF(CODE('Levantamento dutos'!$E266)=73,ROUND((('Levantamento dutos'!$D266/0.5)*(Calculos!$G266+0.2)*1.2),0),0)</f>
        <v>0</v>
      </c>
      <c r="V266" s="60">
        <f>IF(CODE('Levantamento dutos'!$E266)=80,ROUND((('Levantamento dutos'!$D266/0.5)*(Calculos!$G266+0.2)*1.2),0),0)</f>
        <v>0</v>
      </c>
      <c r="W266" s="60">
        <f>IF(CODE('Levantamento dutos'!$E266)=76,'Levantamento dutos'!$D266/0.5*1.5,0)</f>
        <v>0</v>
      </c>
      <c r="X266" s="60">
        <f>IF(CODE('Levantamento dutos'!$E266)=73,'Levantamento dutos'!$D266/0.5*1.5,0)</f>
        <v>0</v>
      </c>
      <c r="Y266" s="60">
        <f>IF(CODE('Levantamento dutos'!$E266)=80,'Levantamento dutos'!$D266/0.5*1.5,0)</f>
        <v>0</v>
      </c>
      <c r="Z266" s="60">
        <f>IF(CODE('Levantamento dutos'!$E266)=76,ROUND(('Levantamento dutos'!$D266)+('Levantamento dutos'!$D266*Calculos!$G266*2)*1.1,0),0)</f>
        <v>0</v>
      </c>
      <c r="AA266" s="60">
        <f>IF(CODE('Levantamento dutos'!$G266)=80,('Levantamento dutos'!$D266/'Levantamento dutos'!$G$12)*8,0)</f>
        <v>0</v>
      </c>
      <c r="AB266" s="60">
        <f>IF(CODE('Levantamento dutos'!$G266)=80,IF('Levantamento dutos'!$B266&gt;30,('Levantamento dutos'!$D266/'Levantamento dutos'!$G$12)*4,0),0)</f>
        <v>0</v>
      </c>
      <c r="AC266" s="60">
        <f>IF('Levantamento dutos'!$B266&gt;220,('Levantamento dutos'!$D266/'Levantamento dutos'!$G$12*Calculos!$G266*2),0)</f>
        <v>0</v>
      </c>
      <c r="AD266" s="60">
        <f>IF(CODE('Levantamento dutos'!$E266)=73,((('Levantamento dutos'!$E$12/1000)+0.02)*'Levantamento dutos'!$D266)*4*1.3,0)</f>
        <v>0</v>
      </c>
      <c r="AE266" s="60">
        <f>IF(CODE('Levantamento dutos'!$E266)=80,((('Levantamento dutos'!$E$12/1000)+0.02)*'Levantamento dutos'!$D266)*4*1.3,0)</f>
        <v>0</v>
      </c>
    </row>
    <row r="267" spans="2:31" x14ac:dyDescent="0.2">
      <c r="B267" s="58">
        <f>IF('Levantamento dutos'!$B267&lt;=Calculos!$Z$3,((('Levantamento dutos'!$B267)/100+('Levantamento dutos'!$C267)/100)*2)*'Levantamento dutos'!$D267,0)</f>
        <v>0</v>
      </c>
      <c r="C267">
        <f>IF('Levantamento dutos'!$B267&gt;Calculos!$Z$3,IF('Levantamento dutos'!$B267&lt;=Calculos!$Z$4,((('Levantamento dutos'!$B267)/100+('Levantamento dutos'!$C267)/100)*2)*'Levantamento dutos'!$D267,0),0)</f>
        <v>0</v>
      </c>
      <c r="D267">
        <f>IF('Levantamento dutos'!$B267&gt;Calculos!$Z$4,IF('Levantamento dutos'!$B267&lt;=Calculos!$Z$5,((('Levantamento dutos'!$B267)/100+('Levantamento dutos'!$C267)/100)*2)*'Levantamento dutos'!$D267,0),0)</f>
        <v>0</v>
      </c>
      <c r="E267">
        <f>IF('Levantamento dutos'!$B267&gt;Calculos!$Z$5,IF('Levantamento dutos'!$B267&lt;=Calculos!$Z$6,((('Levantamento dutos'!$B267)/100+('Levantamento dutos'!$C267)/100)*2)*'Levantamento dutos'!$D267,0),0)</f>
        <v>0</v>
      </c>
      <c r="F267" s="59">
        <f>IF('Levantamento dutos'!$B267&gt;Calculos!$Z$7,((('Levantamento dutos'!$B267)/100+('Levantamento dutos'!$C267)/100)*2)*'Levantamento dutos'!$D267,0)</f>
        <v>0</v>
      </c>
      <c r="G267">
        <f>(('Levantamento dutos'!B267+'Levantamento dutos'!C267)/100)*2</f>
        <v>0</v>
      </c>
      <c r="H267" s="58">
        <f>IF(CODE('Levantamento dutos'!$E267)=76,SUM($B267:$F267),0)</f>
        <v>0</v>
      </c>
      <c r="I267">
        <f>IF(CODE('Levantamento dutos'!$E267)=73,SUM($B267:$F267),0)</f>
        <v>0</v>
      </c>
      <c r="J267">
        <f>IF(CODE('Levantamento dutos'!$E267)=80,SUM($B267:$F267),0)</f>
        <v>0</v>
      </c>
      <c r="K267">
        <f>IF(CODE('Levantamento dutos'!$F267)=66,SUM($B267:$F267),0)</f>
        <v>0</v>
      </c>
      <c r="L267">
        <f>IF(CODE('Levantamento dutos'!$F267)=70,SUM($B267:$F267),0)</f>
        <v>0</v>
      </c>
      <c r="M267" s="59">
        <f>IF(CODE('Levantamento dutos'!$E267)=84,SUM($B267:$F267),0)</f>
        <v>0</v>
      </c>
      <c r="N267" s="60">
        <f>IF(CODE('Levantamento dutos'!$G267)=80,IF('Levantamento dutos'!$B267&lt;=200,('Levantamento dutos'!$D267/'Levantamento dutos'!$G$12*Calculos!$G267*2),0),0)</f>
        <v>0</v>
      </c>
      <c r="O267" s="60">
        <f>IF(CODE('Levantamento dutos'!$G267)=80,IF('Levantamento dutos'!$B267&gt;200,('Levantamento dutos'!$D267/'Levantamento dutos'!$G$12*Calculos!$G267*2),0),0)</f>
        <v>0</v>
      </c>
      <c r="P267" s="60">
        <f>IF(CODE('Levantamento dutos'!$G267)=67,('Levantamento dutos'!$D267/'Levantamento dutos'!$G$12*Calculos!$G267*2),0)</f>
        <v>0</v>
      </c>
      <c r="Q267" s="60">
        <f>IF(CODE('Levantamento dutos'!H267)=83,((('Levantamento dutos'!B267/100)+('Levantamento dutos'!$H$12/1000))+(('Levantamento dutos'!C267/100)+('Levantamento dutos'!$H$12)/1000))*2*'Levantamento dutos'!D267,0)</f>
        <v>0</v>
      </c>
      <c r="S267" s="60">
        <f>IF(CODE('Levantamento dutos'!$I267)=83,$Q267,0)</f>
        <v>0</v>
      </c>
      <c r="T267" s="60">
        <f>IF(CODE('Levantamento dutos'!$E267)=76,ROUND((('Levantamento dutos'!$D267/5)*(Calculos!$G267+0.2)*1.2),0),0)</f>
        <v>0</v>
      </c>
      <c r="U267" s="60">
        <f>IF(CODE('Levantamento dutos'!$E267)=73,ROUND((('Levantamento dutos'!$D267/0.5)*(Calculos!$G267+0.2)*1.2),0),0)</f>
        <v>0</v>
      </c>
      <c r="V267" s="60">
        <f>IF(CODE('Levantamento dutos'!$E267)=80,ROUND((('Levantamento dutos'!$D267/0.5)*(Calculos!$G267+0.2)*1.2),0),0)</f>
        <v>0</v>
      </c>
      <c r="W267" s="60">
        <f>IF(CODE('Levantamento dutos'!$E267)=76,'Levantamento dutos'!$D267/0.5*1.5,0)</f>
        <v>0</v>
      </c>
      <c r="X267" s="60">
        <f>IF(CODE('Levantamento dutos'!$E267)=73,'Levantamento dutos'!$D267/0.5*1.5,0)</f>
        <v>0</v>
      </c>
      <c r="Y267" s="60">
        <f>IF(CODE('Levantamento dutos'!$E267)=80,'Levantamento dutos'!$D267/0.5*1.5,0)</f>
        <v>0</v>
      </c>
      <c r="Z267" s="60">
        <f>IF(CODE('Levantamento dutos'!$E267)=76,ROUND(('Levantamento dutos'!$D267)+('Levantamento dutos'!$D267*Calculos!$G267*2)*1.1,0),0)</f>
        <v>0</v>
      </c>
      <c r="AA267" s="60">
        <f>IF(CODE('Levantamento dutos'!$G267)=80,('Levantamento dutos'!$D267/'Levantamento dutos'!$G$12)*8,0)</f>
        <v>0</v>
      </c>
      <c r="AB267" s="60">
        <f>IF(CODE('Levantamento dutos'!$G267)=80,IF('Levantamento dutos'!$B267&gt;30,('Levantamento dutos'!$D267/'Levantamento dutos'!$G$12)*4,0),0)</f>
        <v>0</v>
      </c>
      <c r="AC267" s="60">
        <f>IF('Levantamento dutos'!$B267&gt;220,('Levantamento dutos'!$D267/'Levantamento dutos'!$G$12*Calculos!$G267*2),0)</f>
        <v>0</v>
      </c>
      <c r="AD267" s="60">
        <f>IF(CODE('Levantamento dutos'!$E267)=73,((('Levantamento dutos'!$E$12/1000)+0.02)*'Levantamento dutos'!$D267)*4*1.3,0)</f>
        <v>0</v>
      </c>
      <c r="AE267" s="60">
        <f>IF(CODE('Levantamento dutos'!$E267)=80,((('Levantamento dutos'!$E$12/1000)+0.02)*'Levantamento dutos'!$D267)*4*1.3,0)</f>
        <v>0</v>
      </c>
    </row>
    <row r="268" spans="2:31" x14ac:dyDescent="0.2">
      <c r="B268" s="58">
        <f>IF('Levantamento dutos'!$B268&lt;=Calculos!$Z$3,((('Levantamento dutos'!$B268)/100+('Levantamento dutos'!$C268)/100)*2)*'Levantamento dutos'!$D268,0)</f>
        <v>0</v>
      </c>
      <c r="C268">
        <f>IF('Levantamento dutos'!$B268&gt;Calculos!$Z$3,IF('Levantamento dutos'!$B268&lt;=Calculos!$Z$4,((('Levantamento dutos'!$B268)/100+('Levantamento dutos'!$C268)/100)*2)*'Levantamento dutos'!$D268,0),0)</f>
        <v>0</v>
      </c>
      <c r="D268">
        <f>IF('Levantamento dutos'!$B268&gt;Calculos!$Z$4,IF('Levantamento dutos'!$B268&lt;=Calculos!$Z$5,((('Levantamento dutos'!$B268)/100+('Levantamento dutos'!$C268)/100)*2)*'Levantamento dutos'!$D268,0),0)</f>
        <v>0</v>
      </c>
      <c r="E268">
        <f>IF('Levantamento dutos'!$B268&gt;Calculos!$Z$5,IF('Levantamento dutos'!$B268&lt;=Calculos!$Z$6,((('Levantamento dutos'!$B268)/100+('Levantamento dutos'!$C268)/100)*2)*'Levantamento dutos'!$D268,0),0)</f>
        <v>0</v>
      </c>
      <c r="F268" s="59">
        <f>IF('Levantamento dutos'!$B268&gt;Calculos!$Z$7,((('Levantamento dutos'!$B268)/100+('Levantamento dutos'!$C268)/100)*2)*'Levantamento dutos'!$D268,0)</f>
        <v>0</v>
      </c>
      <c r="G268">
        <f>(('Levantamento dutos'!B268+'Levantamento dutos'!C268)/100)*2</f>
        <v>0</v>
      </c>
      <c r="H268" s="58">
        <f>IF(CODE('Levantamento dutos'!$E268)=76,SUM($B268:$F268),0)</f>
        <v>0</v>
      </c>
      <c r="I268">
        <f>IF(CODE('Levantamento dutos'!$E268)=73,SUM($B268:$F268),0)</f>
        <v>0</v>
      </c>
      <c r="J268">
        <f>IF(CODE('Levantamento dutos'!$E268)=80,SUM($B268:$F268),0)</f>
        <v>0</v>
      </c>
      <c r="K268">
        <f>IF(CODE('Levantamento dutos'!$F268)=66,SUM($B268:$F268),0)</f>
        <v>0</v>
      </c>
      <c r="L268">
        <f>IF(CODE('Levantamento dutos'!$F268)=70,SUM($B268:$F268),0)</f>
        <v>0</v>
      </c>
      <c r="M268" s="59">
        <f>IF(CODE('Levantamento dutos'!$E268)=84,SUM($B268:$F268),0)</f>
        <v>0</v>
      </c>
      <c r="N268" s="60">
        <f>IF(CODE('Levantamento dutos'!$G268)=80,IF('Levantamento dutos'!$B268&lt;=200,('Levantamento dutos'!$D268/'Levantamento dutos'!$G$12*Calculos!$G268*2),0),0)</f>
        <v>0</v>
      </c>
      <c r="O268" s="60">
        <f>IF(CODE('Levantamento dutos'!$G268)=80,IF('Levantamento dutos'!$B268&gt;200,('Levantamento dutos'!$D268/'Levantamento dutos'!$G$12*Calculos!$G268*2),0),0)</f>
        <v>0</v>
      </c>
      <c r="P268" s="60">
        <f>IF(CODE('Levantamento dutos'!$G268)=67,('Levantamento dutos'!$D268/'Levantamento dutos'!$G$12*Calculos!$G268*2),0)</f>
        <v>0</v>
      </c>
      <c r="Q268" s="60">
        <f>IF(CODE('Levantamento dutos'!H268)=83,((('Levantamento dutos'!B268/100)+('Levantamento dutos'!$H$12/1000))+(('Levantamento dutos'!C268/100)+('Levantamento dutos'!$H$12)/1000))*2*'Levantamento dutos'!D268,0)</f>
        <v>0</v>
      </c>
      <c r="S268" s="60">
        <f>IF(CODE('Levantamento dutos'!$I268)=83,$Q268,0)</f>
        <v>0</v>
      </c>
      <c r="T268" s="60">
        <f>IF(CODE('Levantamento dutos'!$E268)=76,ROUND((('Levantamento dutos'!$D268/5)*(Calculos!$G268+0.2)*1.2),0),0)</f>
        <v>0</v>
      </c>
      <c r="U268" s="60">
        <f>IF(CODE('Levantamento dutos'!$E268)=73,ROUND((('Levantamento dutos'!$D268/0.5)*(Calculos!$G268+0.2)*1.2),0),0)</f>
        <v>0</v>
      </c>
      <c r="V268" s="60">
        <f>IF(CODE('Levantamento dutos'!$E268)=80,ROUND((('Levantamento dutos'!$D268/0.5)*(Calculos!$G268+0.2)*1.2),0),0)</f>
        <v>0</v>
      </c>
      <c r="W268" s="60">
        <f>IF(CODE('Levantamento dutos'!$E268)=76,'Levantamento dutos'!$D268/0.5*1.5,0)</f>
        <v>0</v>
      </c>
      <c r="X268" s="60">
        <f>IF(CODE('Levantamento dutos'!$E268)=73,'Levantamento dutos'!$D268/0.5*1.5,0)</f>
        <v>0</v>
      </c>
      <c r="Y268" s="60">
        <f>IF(CODE('Levantamento dutos'!$E268)=80,'Levantamento dutos'!$D268/0.5*1.5,0)</f>
        <v>0</v>
      </c>
      <c r="Z268" s="60">
        <f>IF(CODE('Levantamento dutos'!$E268)=76,ROUND(('Levantamento dutos'!$D268)+('Levantamento dutos'!$D268*Calculos!$G268*2)*1.1,0),0)</f>
        <v>0</v>
      </c>
      <c r="AA268" s="60">
        <f>IF(CODE('Levantamento dutos'!$G268)=80,('Levantamento dutos'!$D268/'Levantamento dutos'!$G$12)*8,0)</f>
        <v>0</v>
      </c>
      <c r="AB268" s="60">
        <f>IF(CODE('Levantamento dutos'!$G268)=80,IF('Levantamento dutos'!$B268&gt;30,('Levantamento dutos'!$D268/'Levantamento dutos'!$G$12)*4,0),0)</f>
        <v>0</v>
      </c>
      <c r="AC268" s="60">
        <f>IF('Levantamento dutos'!$B268&gt;220,('Levantamento dutos'!$D268/'Levantamento dutos'!$G$12*Calculos!$G268*2),0)</f>
        <v>0</v>
      </c>
      <c r="AD268" s="60">
        <f>IF(CODE('Levantamento dutos'!$E268)=73,((('Levantamento dutos'!$E$12/1000)+0.02)*'Levantamento dutos'!$D268)*4*1.3,0)</f>
        <v>0</v>
      </c>
      <c r="AE268" s="60">
        <f>IF(CODE('Levantamento dutos'!$E268)=80,((('Levantamento dutos'!$E$12/1000)+0.02)*'Levantamento dutos'!$D268)*4*1.3,0)</f>
        <v>0</v>
      </c>
    </row>
    <row r="269" spans="2:31" x14ac:dyDescent="0.2">
      <c r="B269" s="58">
        <f>IF('Levantamento dutos'!$B269&lt;=Calculos!$Z$3,((('Levantamento dutos'!$B269)/100+('Levantamento dutos'!$C269)/100)*2)*'Levantamento dutos'!$D269,0)</f>
        <v>0</v>
      </c>
      <c r="C269">
        <f>IF('Levantamento dutos'!$B269&gt;Calculos!$Z$3,IF('Levantamento dutos'!$B269&lt;=Calculos!$Z$4,((('Levantamento dutos'!$B269)/100+('Levantamento dutos'!$C269)/100)*2)*'Levantamento dutos'!$D269,0),0)</f>
        <v>0</v>
      </c>
      <c r="D269">
        <f>IF('Levantamento dutos'!$B269&gt;Calculos!$Z$4,IF('Levantamento dutos'!$B269&lt;=Calculos!$Z$5,((('Levantamento dutos'!$B269)/100+('Levantamento dutos'!$C269)/100)*2)*'Levantamento dutos'!$D269,0),0)</f>
        <v>0</v>
      </c>
      <c r="E269">
        <f>IF('Levantamento dutos'!$B269&gt;Calculos!$Z$5,IF('Levantamento dutos'!$B269&lt;=Calculos!$Z$6,((('Levantamento dutos'!$B269)/100+('Levantamento dutos'!$C269)/100)*2)*'Levantamento dutos'!$D269,0),0)</f>
        <v>0</v>
      </c>
      <c r="F269" s="59">
        <f>IF('Levantamento dutos'!$B269&gt;Calculos!$Z$7,((('Levantamento dutos'!$B269)/100+('Levantamento dutos'!$C269)/100)*2)*'Levantamento dutos'!$D269,0)</f>
        <v>0</v>
      </c>
      <c r="G269">
        <f>(('Levantamento dutos'!B269+'Levantamento dutos'!C269)/100)*2</f>
        <v>0</v>
      </c>
      <c r="H269" s="58">
        <f>IF(CODE('Levantamento dutos'!$E269)=76,SUM($B269:$F269),0)</f>
        <v>0</v>
      </c>
      <c r="I269">
        <f>IF(CODE('Levantamento dutos'!$E269)=73,SUM($B269:$F269),0)</f>
        <v>0</v>
      </c>
      <c r="J269">
        <f>IF(CODE('Levantamento dutos'!$E269)=80,SUM($B269:$F269),0)</f>
        <v>0</v>
      </c>
      <c r="K269">
        <f>IF(CODE('Levantamento dutos'!$F269)=66,SUM($B269:$F269),0)</f>
        <v>0</v>
      </c>
      <c r="L269">
        <f>IF(CODE('Levantamento dutos'!$F269)=70,SUM($B269:$F269),0)</f>
        <v>0</v>
      </c>
      <c r="M269" s="59">
        <f>IF(CODE('Levantamento dutos'!$E269)=84,SUM($B269:$F269),0)</f>
        <v>0</v>
      </c>
      <c r="N269" s="60">
        <f>IF(CODE('Levantamento dutos'!$G269)=80,IF('Levantamento dutos'!$B269&lt;=200,('Levantamento dutos'!$D269/'Levantamento dutos'!$G$12*Calculos!$G269*2),0),0)</f>
        <v>0</v>
      </c>
      <c r="O269" s="60">
        <f>IF(CODE('Levantamento dutos'!$G269)=80,IF('Levantamento dutos'!$B269&gt;200,('Levantamento dutos'!$D269/'Levantamento dutos'!$G$12*Calculos!$G269*2),0),0)</f>
        <v>0</v>
      </c>
      <c r="P269" s="60">
        <f>IF(CODE('Levantamento dutos'!$G269)=67,('Levantamento dutos'!$D269/'Levantamento dutos'!$G$12*Calculos!$G269*2),0)</f>
        <v>0</v>
      </c>
      <c r="Q269" s="60">
        <f>IF(CODE('Levantamento dutos'!H269)=83,((('Levantamento dutos'!B269/100)+('Levantamento dutos'!$H$12/1000))+(('Levantamento dutos'!C269/100)+('Levantamento dutos'!$H$12)/1000))*2*'Levantamento dutos'!D269,0)</f>
        <v>0</v>
      </c>
      <c r="S269" s="60">
        <f>IF(CODE('Levantamento dutos'!$I269)=83,$Q269,0)</f>
        <v>0</v>
      </c>
      <c r="T269" s="60">
        <f>IF(CODE('Levantamento dutos'!$E269)=76,ROUND((('Levantamento dutos'!$D269/5)*(Calculos!$G269+0.2)*1.2),0),0)</f>
        <v>0</v>
      </c>
      <c r="U269" s="60">
        <f>IF(CODE('Levantamento dutos'!$E269)=73,ROUND((('Levantamento dutos'!$D269/0.5)*(Calculos!$G269+0.2)*1.2),0),0)</f>
        <v>0</v>
      </c>
      <c r="V269" s="60">
        <f>IF(CODE('Levantamento dutos'!$E269)=80,ROUND((('Levantamento dutos'!$D269/0.5)*(Calculos!$G269+0.2)*1.2),0),0)</f>
        <v>0</v>
      </c>
      <c r="W269" s="60">
        <f>IF(CODE('Levantamento dutos'!$E269)=76,'Levantamento dutos'!$D269/0.5*1.5,0)</f>
        <v>0</v>
      </c>
      <c r="X269" s="60">
        <f>IF(CODE('Levantamento dutos'!$E269)=73,'Levantamento dutos'!$D269/0.5*1.5,0)</f>
        <v>0</v>
      </c>
      <c r="Y269" s="60">
        <f>IF(CODE('Levantamento dutos'!$E269)=80,'Levantamento dutos'!$D269/0.5*1.5,0)</f>
        <v>0</v>
      </c>
      <c r="Z269" s="60">
        <f>IF(CODE('Levantamento dutos'!$E269)=76,ROUND(('Levantamento dutos'!$D269)+('Levantamento dutos'!$D269*Calculos!$G269*2)*1.1,0),0)</f>
        <v>0</v>
      </c>
      <c r="AA269" s="60">
        <f>IF(CODE('Levantamento dutos'!$G269)=80,('Levantamento dutos'!$D269/'Levantamento dutos'!$G$12)*8,0)</f>
        <v>0</v>
      </c>
      <c r="AB269" s="60">
        <f>IF(CODE('Levantamento dutos'!$G269)=80,IF('Levantamento dutos'!$B269&gt;30,('Levantamento dutos'!$D269/'Levantamento dutos'!$G$12)*4,0),0)</f>
        <v>0</v>
      </c>
      <c r="AC269" s="60">
        <f>IF('Levantamento dutos'!$B269&gt;220,('Levantamento dutos'!$D269/'Levantamento dutos'!$G$12*Calculos!$G269*2),0)</f>
        <v>0</v>
      </c>
      <c r="AD269" s="60">
        <f>IF(CODE('Levantamento dutos'!$E269)=73,((('Levantamento dutos'!$E$12/1000)+0.02)*'Levantamento dutos'!$D269)*4*1.3,0)</f>
        <v>0</v>
      </c>
      <c r="AE269" s="60">
        <f>IF(CODE('Levantamento dutos'!$E269)=80,((('Levantamento dutos'!$E$12/1000)+0.02)*'Levantamento dutos'!$D269)*4*1.3,0)</f>
        <v>0</v>
      </c>
    </row>
    <row r="270" spans="2:31" x14ac:dyDescent="0.2">
      <c r="B270" s="58">
        <f>IF('Levantamento dutos'!$B270&lt;=Calculos!$Z$3,((('Levantamento dutos'!$B270)/100+('Levantamento dutos'!$C270)/100)*2)*'Levantamento dutos'!$D270,0)</f>
        <v>0</v>
      </c>
      <c r="C270">
        <f>IF('Levantamento dutos'!$B270&gt;Calculos!$Z$3,IF('Levantamento dutos'!$B270&lt;=Calculos!$Z$4,((('Levantamento dutos'!$B270)/100+('Levantamento dutos'!$C270)/100)*2)*'Levantamento dutos'!$D270,0),0)</f>
        <v>0</v>
      </c>
      <c r="D270">
        <f>IF('Levantamento dutos'!$B270&gt;Calculos!$Z$4,IF('Levantamento dutos'!$B270&lt;=Calculos!$Z$5,((('Levantamento dutos'!$B270)/100+('Levantamento dutos'!$C270)/100)*2)*'Levantamento dutos'!$D270,0),0)</f>
        <v>0</v>
      </c>
      <c r="E270">
        <f>IF('Levantamento dutos'!$B270&gt;Calculos!$Z$5,IF('Levantamento dutos'!$B270&lt;=Calculos!$Z$6,((('Levantamento dutos'!$B270)/100+('Levantamento dutos'!$C270)/100)*2)*'Levantamento dutos'!$D270,0),0)</f>
        <v>0</v>
      </c>
      <c r="F270" s="59">
        <f>IF('Levantamento dutos'!$B270&gt;Calculos!$Z$7,((('Levantamento dutos'!$B270)/100+('Levantamento dutos'!$C270)/100)*2)*'Levantamento dutos'!$D270,0)</f>
        <v>0</v>
      </c>
      <c r="G270">
        <f>(('Levantamento dutos'!B270+'Levantamento dutos'!C270)/100)*2</f>
        <v>0</v>
      </c>
      <c r="H270" s="58">
        <f>IF(CODE('Levantamento dutos'!$E270)=76,SUM($B270:$F270),0)</f>
        <v>0</v>
      </c>
      <c r="I270">
        <f>IF(CODE('Levantamento dutos'!$E270)=73,SUM($B270:$F270),0)</f>
        <v>0</v>
      </c>
      <c r="J270">
        <f>IF(CODE('Levantamento dutos'!$E270)=80,SUM($B270:$F270),0)</f>
        <v>0</v>
      </c>
      <c r="K270">
        <f>IF(CODE('Levantamento dutos'!$F270)=66,SUM($B270:$F270),0)</f>
        <v>0</v>
      </c>
      <c r="L270">
        <f>IF(CODE('Levantamento dutos'!$F270)=70,SUM($B270:$F270),0)</f>
        <v>0</v>
      </c>
      <c r="M270" s="59">
        <f>IF(CODE('Levantamento dutos'!$E270)=84,SUM($B270:$F270),0)</f>
        <v>0</v>
      </c>
      <c r="N270" s="60">
        <f>IF(CODE('Levantamento dutos'!$G270)=80,IF('Levantamento dutos'!$B270&lt;=200,('Levantamento dutos'!$D270/'Levantamento dutos'!$G$12*Calculos!$G270*2),0),0)</f>
        <v>0</v>
      </c>
      <c r="O270" s="60">
        <f>IF(CODE('Levantamento dutos'!$G270)=80,IF('Levantamento dutos'!$B270&gt;200,('Levantamento dutos'!$D270/'Levantamento dutos'!$G$12*Calculos!$G270*2),0),0)</f>
        <v>0</v>
      </c>
      <c r="P270" s="60">
        <f>IF(CODE('Levantamento dutos'!$G270)=67,('Levantamento dutos'!$D270/'Levantamento dutos'!$G$12*Calculos!$G270*2),0)</f>
        <v>0</v>
      </c>
      <c r="Q270" s="60">
        <f>IF(CODE('Levantamento dutos'!H270)=83,((('Levantamento dutos'!B270/100)+('Levantamento dutos'!$H$12/1000))+(('Levantamento dutos'!C270/100)+('Levantamento dutos'!$H$12)/1000))*2*'Levantamento dutos'!D270,0)</f>
        <v>0</v>
      </c>
      <c r="S270" s="60">
        <f>IF(CODE('Levantamento dutos'!$I270)=83,$Q270,0)</f>
        <v>0</v>
      </c>
      <c r="T270" s="60">
        <f>IF(CODE('Levantamento dutos'!$E270)=76,ROUND((('Levantamento dutos'!$D270/5)*(Calculos!$G270+0.2)*1.2),0),0)</f>
        <v>0</v>
      </c>
      <c r="U270" s="60">
        <f>IF(CODE('Levantamento dutos'!$E270)=73,ROUND((('Levantamento dutos'!$D270/0.5)*(Calculos!$G270+0.2)*1.2),0),0)</f>
        <v>0</v>
      </c>
      <c r="V270" s="60">
        <f>IF(CODE('Levantamento dutos'!$E270)=80,ROUND((('Levantamento dutos'!$D270/0.5)*(Calculos!$G270+0.2)*1.2),0),0)</f>
        <v>0</v>
      </c>
      <c r="W270" s="60">
        <f>IF(CODE('Levantamento dutos'!$E270)=76,'Levantamento dutos'!$D270/0.5*1.5,0)</f>
        <v>0</v>
      </c>
      <c r="X270" s="60">
        <f>IF(CODE('Levantamento dutos'!$E270)=73,'Levantamento dutos'!$D270/0.5*1.5,0)</f>
        <v>0</v>
      </c>
      <c r="Y270" s="60">
        <f>IF(CODE('Levantamento dutos'!$E270)=80,'Levantamento dutos'!$D270/0.5*1.5,0)</f>
        <v>0</v>
      </c>
      <c r="Z270" s="60">
        <f>IF(CODE('Levantamento dutos'!$E270)=76,ROUND(('Levantamento dutos'!$D270)+('Levantamento dutos'!$D270*Calculos!$G270*2)*1.1,0),0)</f>
        <v>0</v>
      </c>
      <c r="AA270" s="60">
        <f>IF(CODE('Levantamento dutos'!$G270)=80,('Levantamento dutos'!$D270/'Levantamento dutos'!$G$12)*8,0)</f>
        <v>0</v>
      </c>
      <c r="AB270" s="60">
        <f>IF(CODE('Levantamento dutos'!$G270)=80,IF('Levantamento dutos'!$B270&gt;30,('Levantamento dutos'!$D270/'Levantamento dutos'!$G$12)*4,0),0)</f>
        <v>0</v>
      </c>
      <c r="AC270" s="60">
        <f>IF('Levantamento dutos'!$B270&gt;220,('Levantamento dutos'!$D270/'Levantamento dutos'!$G$12*Calculos!$G270*2),0)</f>
        <v>0</v>
      </c>
      <c r="AD270" s="60">
        <f>IF(CODE('Levantamento dutos'!$E270)=73,((('Levantamento dutos'!$E$12/1000)+0.02)*'Levantamento dutos'!$D270)*4*1.3,0)</f>
        <v>0</v>
      </c>
      <c r="AE270" s="60">
        <f>IF(CODE('Levantamento dutos'!$E270)=80,((('Levantamento dutos'!$E$12/1000)+0.02)*'Levantamento dutos'!$D270)*4*1.3,0)</f>
        <v>0</v>
      </c>
    </row>
    <row r="271" spans="2:31" x14ac:dyDescent="0.2">
      <c r="B271" s="58">
        <f>IF('Levantamento dutos'!$B271&lt;=Calculos!$Z$3,((('Levantamento dutos'!$B271)/100+('Levantamento dutos'!$C271)/100)*2)*'Levantamento dutos'!$D271,0)</f>
        <v>0</v>
      </c>
      <c r="C271">
        <f>IF('Levantamento dutos'!$B271&gt;Calculos!$Z$3,IF('Levantamento dutos'!$B271&lt;=Calculos!$Z$4,((('Levantamento dutos'!$B271)/100+('Levantamento dutos'!$C271)/100)*2)*'Levantamento dutos'!$D271,0),0)</f>
        <v>0</v>
      </c>
      <c r="D271">
        <f>IF('Levantamento dutos'!$B271&gt;Calculos!$Z$4,IF('Levantamento dutos'!$B271&lt;=Calculos!$Z$5,((('Levantamento dutos'!$B271)/100+('Levantamento dutos'!$C271)/100)*2)*'Levantamento dutos'!$D271,0),0)</f>
        <v>0</v>
      </c>
      <c r="E271">
        <f>IF('Levantamento dutos'!$B271&gt;Calculos!$Z$5,IF('Levantamento dutos'!$B271&lt;=Calculos!$Z$6,((('Levantamento dutos'!$B271)/100+('Levantamento dutos'!$C271)/100)*2)*'Levantamento dutos'!$D271,0),0)</f>
        <v>0</v>
      </c>
      <c r="F271" s="59">
        <f>IF('Levantamento dutos'!$B271&gt;Calculos!$Z$7,((('Levantamento dutos'!$B271)/100+('Levantamento dutos'!$C271)/100)*2)*'Levantamento dutos'!$D271,0)</f>
        <v>0</v>
      </c>
      <c r="G271">
        <f>(('Levantamento dutos'!B271+'Levantamento dutos'!C271)/100)*2</f>
        <v>0</v>
      </c>
      <c r="H271" s="58">
        <f>IF(CODE('Levantamento dutos'!$E271)=76,SUM($B271:$F271),0)</f>
        <v>0</v>
      </c>
      <c r="I271">
        <f>IF(CODE('Levantamento dutos'!$E271)=73,SUM($B271:$F271),0)</f>
        <v>0</v>
      </c>
      <c r="J271">
        <f>IF(CODE('Levantamento dutos'!$E271)=80,SUM($B271:$F271),0)</f>
        <v>0</v>
      </c>
      <c r="K271">
        <f>IF(CODE('Levantamento dutos'!$F271)=66,SUM($B271:$F271),0)</f>
        <v>0</v>
      </c>
      <c r="L271">
        <f>IF(CODE('Levantamento dutos'!$F271)=70,SUM($B271:$F271),0)</f>
        <v>0</v>
      </c>
      <c r="M271" s="59">
        <f>IF(CODE('Levantamento dutos'!$E271)=84,SUM($B271:$F271),0)</f>
        <v>0</v>
      </c>
      <c r="N271" s="60">
        <f>IF(CODE('Levantamento dutos'!$G271)=80,IF('Levantamento dutos'!$B271&lt;=200,('Levantamento dutos'!$D271/'Levantamento dutos'!$G$12*Calculos!$G271*2),0),0)</f>
        <v>0</v>
      </c>
      <c r="O271" s="60">
        <f>IF(CODE('Levantamento dutos'!$G271)=80,IF('Levantamento dutos'!$B271&gt;200,('Levantamento dutos'!$D271/'Levantamento dutos'!$G$12*Calculos!$G271*2),0),0)</f>
        <v>0</v>
      </c>
      <c r="P271" s="60">
        <f>IF(CODE('Levantamento dutos'!$G271)=67,('Levantamento dutos'!$D271/'Levantamento dutos'!$G$12*Calculos!$G271*2),0)</f>
        <v>0</v>
      </c>
      <c r="Q271" s="60">
        <f>IF(CODE('Levantamento dutos'!H271)=83,((('Levantamento dutos'!B271/100)+('Levantamento dutos'!$H$12/1000))+(('Levantamento dutos'!C271/100)+('Levantamento dutos'!$H$12)/1000))*2*'Levantamento dutos'!D271,0)</f>
        <v>0</v>
      </c>
      <c r="S271" s="60">
        <f>IF(CODE('Levantamento dutos'!$I271)=83,$Q271,0)</f>
        <v>0</v>
      </c>
      <c r="T271" s="60">
        <f>IF(CODE('Levantamento dutos'!$E271)=76,ROUND((('Levantamento dutos'!$D271/5)*(Calculos!$G271+0.2)*1.2),0),0)</f>
        <v>0</v>
      </c>
      <c r="U271" s="60">
        <f>IF(CODE('Levantamento dutos'!$E271)=73,ROUND((('Levantamento dutos'!$D271/0.5)*(Calculos!$G271+0.2)*1.2),0),0)</f>
        <v>0</v>
      </c>
      <c r="V271" s="60">
        <f>IF(CODE('Levantamento dutos'!$E271)=80,ROUND((('Levantamento dutos'!$D271/0.5)*(Calculos!$G271+0.2)*1.2),0),0)</f>
        <v>0</v>
      </c>
      <c r="W271" s="60">
        <f>IF(CODE('Levantamento dutos'!$E271)=76,'Levantamento dutos'!$D271/0.5*1.5,0)</f>
        <v>0</v>
      </c>
      <c r="X271" s="60">
        <f>IF(CODE('Levantamento dutos'!$E271)=73,'Levantamento dutos'!$D271/0.5*1.5,0)</f>
        <v>0</v>
      </c>
      <c r="Y271" s="60">
        <f>IF(CODE('Levantamento dutos'!$E271)=80,'Levantamento dutos'!$D271/0.5*1.5,0)</f>
        <v>0</v>
      </c>
      <c r="Z271" s="60">
        <f>IF(CODE('Levantamento dutos'!$E271)=76,ROUND(('Levantamento dutos'!$D271)+('Levantamento dutos'!$D271*Calculos!$G271*2)*1.1,0),0)</f>
        <v>0</v>
      </c>
      <c r="AA271" s="60">
        <f>IF(CODE('Levantamento dutos'!$G271)=80,('Levantamento dutos'!$D271/'Levantamento dutos'!$G$12)*8,0)</f>
        <v>0</v>
      </c>
      <c r="AB271" s="60">
        <f>IF(CODE('Levantamento dutos'!$G271)=80,IF('Levantamento dutos'!$B271&gt;30,('Levantamento dutos'!$D271/'Levantamento dutos'!$G$12)*4,0),0)</f>
        <v>0</v>
      </c>
      <c r="AC271" s="60">
        <f>IF('Levantamento dutos'!$B271&gt;220,('Levantamento dutos'!$D271/'Levantamento dutos'!$G$12*Calculos!$G271*2),0)</f>
        <v>0</v>
      </c>
      <c r="AD271" s="60">
        <f>IF(CODE('Levantamento dutos'!$E271)=73,((('Levantamento dutos'!$E$12/1000)+0.02)*'Levantamento dutos'!$D271)*4*1.3,0)</f>
        <v>0</v>
      </c>
      <c r="AE271" s="60">
        <f>IF(CODE('Levantamento dutos'!$E271)=80,((('Levantamento dutos'!$E$12/1000)+0.02)*'Levantamento dutos'!$D271)*4*1.3,0)</f>
        <v>0</v>
      </c>
    </row>
    <row r="272" spans="2:31" x14ac:dyDescent="0.2">
      <c r="B272" s="58">
        <f>IF('Levantamento dutos'!$B272&lt;=Calculos!$Z$3,((('Levantamento dutos'!$B272)/100+('Levantamento dutos'!$C272)/100)*2)*'Levantamento dutos'!$D272,0)</f>
        <v>0</v>
      </c>
      <c r="C272">
        <f>IF('Levantamento dutos'!$B272&gt;Calculos!$Z$3,IF('Levantamento dutos'!$B272&lt;=Calculos!$Z$4,((('Levantamento dutos'!$B272)/100+('Levantamento dutos'!$C272)/100)*2)*'Levantamento dutos'!$D272,0),0)</f>
        <v>0</v>
      </c>
      <c r="D272">
        <f>IF('Levantamento dutos'!$B272&gt;Calculos!$Z$4,IF('Levantamento dutos'!$B272&lt;=Calculos!$Z$5,((('Levantamento dutos'!$B272)/100+('Levantamento dutos'!$C272)/100)*2)*'Levantamento dutos'!$D272,0),0)</f>
        <v>0</v>
      </c>
      <c r="E272">
        <f>IF('Levantamento dutos'!$B272&gt;Calculos!$Z$5,IF('Levantamento dutos'!$B272&lt;=Calculos!$Z$6,((('Levantamento dutos'!$B272)/100+('Levantamento dutos'!$C272)/100)*2)*'Levantamento dutos'!$D272,0),0)</f>
        <v>0</v>
      </c>
      <c r="F272" s="59">
        <f>IF('Levantamento dutos'!$B272&gt;Calculos!$Z$7,((('Levantamento dutos'!$B272)/100+('Levantamento dutos'!$C272)/100)*2)*'Levantamento dutos'!$D272,0)</f>
        <v>0</v>
      </c>
      <c r="G272">
        <f>(('Levantamento dutos'!B272+'Levantamento dutos'!C272)/100)*2</f>
        <v>0</v>
      </c>
      <c r="H272" s="58">
        <f>IF(CODE('Levantamento dutos'!$E272)=76,SUM($B272:$F272),0)</f>
        <v>0</v>
      </c>
      <c r="I272">
        <f>IF(CODE('Levantamento dutos'!$E272)=73,SUM($B272:$F272),0)</f>
        <v>0</v>
      </c>
      <c r="J272">
        <f>IF(CODE('Levantamento dutos'!$E272)=80,SUM($B272:$F272),0)</f>
        <v>0</v>
      </c>
      <c r="K272">
        <f>IF(CODE('Levantamento dutos'!$F272)=66,SUM($B272:$F272),0)</f>
        <v>0</v>
      </c>
      <c r="L272">
        <f>IF(CODE('Levantamento dutos'!$F272)=70,SUM($B272:$F272),0)</f>
        <v>0</v>
      </c>
      <c r="M272" s="59">
        <f>IF(CODE('Levantamento dutos'!$E272)=84,SUM($B272:$F272),0)</f>
        <v>0</v>
      </c>
      <c r="N272" s="60">
        <f>IF(CODE('Levantamento dutos'!$G272)=80,IF('Levantamento dutos'!$B272&lt;=200,('Levantamento dutos'!$D272/'Levantamento dutos'!$G$12*Calculos!$G272*2),0),0)</f>
        <v>0</v>
      </c>
      <c r="O272" s="60">
        <f>IF(CODE('Levantamento dutos'!$G272)=80,IF('Levantamento dutos'!$B272&gt;200,('Levantamento dutos'!$D272/'Levantamento dutos'!$G$12*Calculos!$G272*2),0),0)</f>
        <v>0</v>
      </c>
      <c r="P272" s="60">
        <f>IF(CODE('Levantamento dutos'!$G272)=67,('Levantamento dutos'!$D272/'Levantamento dutos'!$G$12*Calculos!$G272*2),0)</f>
        <v>0</v>
      </c>
      <c r="Q272" s="60">
        <f>IF(CODE('Levantamento dutos'!H272)=83,((('Levantamento dutos'!B272/100)+('Levantamento dutos'!$H$12/1000))+(('Levantamento dutos'!C272/100)+('Levantamento dutos'!$H$12)/1000))*2*'Levantamento dutos'!D272,0)</f>
        <v>0</v>
      </c>
      <c r="S272" s="60">
        <f>IF(CODE('Levantamento dutos'!$I272)=83,$Q272,0)</f>
        <v>0</v>
      </c>
      <c r="T272" s="60">
        <f>IF(CODE('Levantamento dutos'!$E272)=76,ROUND((('Levantamento dutos'!$D272/5)*(Calculos!$G272+0.2)*1.2),0),0)</f>
        <v>0</v>
      </c>
      <c r="U272" s="60">
        <f>IF(CODE('Levantamento dutos'!$E272)=73,ROUND((('Levantamento dutos'!$D272/0.5)*(Calculos!$G272+0.2)*1.2),0),0)</f>
        <v>0</v>
      </c>
      <c r="V272" s="60">
        <f>IF(CODE('Levantamento dutos'!$E272)=80,ROUND((('Levantamento dutos'!$D272/0.5)*(Calculos!$G272+0.2)*1.2),0),0)</f>
        <v>0</v>
      </c>
      <c r="W272" s="60">
        <f>IF(CODE('Levantamento dutos'!$E272)=76,'Levantamento dutos'!$D272/0.5*1.5,0)</f>
        <v>0</v>
      </c>
      <c r="X272" s="60">
        <f>IF(CODE('Levantamento dutos'!$E272)=73,'Levantamento dutos'!$D272/0.5*1.5,0)</f>
        <v>0</v>
      </c>
      <c r="Y272" s="60">
        <f>IF(CODE('Levantamento dutos'!$E272)=80,'Levantamento dutos'!$D272/0.5*1.5,0)</f>
        <v>0</v>
      </c>
      <c r="Z272" s="60">
        <f>IF(CODE('Levantamento dutos'!$E272)=76,ROUND(('Levantamento dutos'!$D272)+('Levantamento dutos'!$D272*Calculos!$G272*2)*1.1,0),0)</f>
        <v>0</v>
      </c>
      <c r="AA272" s="60">
        <f>IF(CODE('Levantamento dutos'!$G272)=80,('Levantamento dutos'!$D272/'Levantamento dutos'!$G$12)*8,0)</f>
        <v>0</v>
      </c>
      <c r="AB272" s="60">
        <f>IF(CODE('Levantamento dutos'!$G272)=80,IF('Levantamento dutos'!$B272&gt;30,('Levantamento dutos'!$D272/'Levantamento dutos'!$G$12)*4,0),0)</f>
        <v>0</v>
      </c>
      <c r="AC272" s="60">
        <f>IF('Levantamento dutos'!$B272&gt;220,('Levantamento dutos'!$D272/'Levantamento dutos'!$G$12*Calculos!$G272*2),0)</f>
        <v>0</v>
      </c>
      <c r="AD272" s="60">
        <f>IF(CODE('Levantamento dutos'!$E272)=73,((('Levantamento dutos'!$E$12/1000)+0.02)*'Levantamento dutos'!$D272)*4*1.3,0)</f>
        <v>0</v>
      </c>
      <c r="AE272" s="60">
        <f>IF(CODE('Levantamento dutos'!$E272)=80,((('Levantamento dutos'!$E$12/1000)+0.02)*'Levantamento dutos'!$D272)*4*1.3,0)</f>
        <v>0</v>
      </c>
    </row>
    <row r="273" spans="2:31" x14ac:dyDescent="0.2">
      <c r="B273" s="58">
        <f>IF('Levantamento dutos'!$B273&lt;=Calculos!$Z$3,((('Levantamento dutos'!$B273)/100+('Levantamento dutos'!$C273)/100)*2)*'Levantamento dutos'!$D273,0)</f>
        <v>0</v>
      </c>
      <c r="C273">
        <f>IF('Levantamento dutos'!$B273&gt;Calculos!$Z$3,IF('Levantamento dutos'!$B273&lt;=Calculos!$Z$4,((('Levantamento dutos'!$B273)/100+('Levantamento dutos'!$C273)/100)*2)*'Levantamento dutos'!$D273,0),0)</f>
        <v>0</v>
      </c>
      <c r="D273">
        <f>IF('Levantamento dutos'!$B273&gt;Calculos!$Z$4,IF('Levantamento dutos'!$B273&lt;=Calculos!$Z$5,((('Levantamento dutos'!$B273)/100+('Levantamento dutos'!$C273)/100)*2)*'Levantamento dutos'!$D273,0),0)</f>
        <v>0</v>
      </c>
      <c r="E273">
        <f>IF('Levantamento dutos'!$B273&gt;Calculos!$Z$5,IF('Levantamento dutos'!$B273&lt;=Calculos!$Z$6,((('Levantamento dutos'!$B273)/100+('Levantamento dutos'!$C273)/100)*2)*'Levantamento dutos'!$D273,0),0)</f>
        <v>0</v>
      </c>
      <c r="F273" s="59">
        <f>IF('Levantamento dutos'!$B273&gt;Calculos!$Z$7,((('Levantamento dutos'!$B273)/100+('Levantamento dutos'!$C273)/100)*2)*'Levantamento dutos'!$D273,0)</f>
        <v>0</v>
      </c>
      <c r="G273">
        <f>(('Levantamento dutos'!B273+'Levantamento dutos'!C273)/100)*2</f>
        <v>0</v>
      </c>
      <c r="H273" s="58">
        <f>IF(CODE('Levantamento dutos'!$E273)=76,SUM($B273:$F273),0)</f>
        <v>0</v>
      </c>
      <c r="I273">
        <f>IF(CODE('Levantamento dutos'!$E273)=73,SUM($B273:$F273),0)</f>
        <v>0</v>
      </c>
      <c r="J273">
        <f>IF(CODE('Levantamento dutos'!$E273)=80,SUM($B273:$F273),0)</f>
        <v>0</v>
      </c>
      <c r="K273">
        <f>IF(CODE('Levantamento dutos'!$F273)=66,SUM($B273:$F273),0)</f>
        <v>0</v>
      </c>
      <c r="L273">
        <f>IF(CODE('Levantamento dutos'!$F273)=70,SUM($B273:$F273),0)</f>
        <v>0</v>
      </c>
      <c r="M273" s="59">
        <f>IF(CODE('Levantamento dutos'!$E273)=84,SUM($B273:$F273),0)</f>
        <v>0</v>
      </c>
      <c r="N273" s="60">
        <f>IF(CODE('Levantamento dutos'!$G273)=80,IF('Levantamento dutos'!$B273&lt;=200,('Levantamento dutos'!$D273/'Levantamento dutos'!$G$12*Calculos!$G273*2),0),0)</f>
        <v>0</v>
      </c>
      <c r="O273" s="60">
        <f>IF(CODE('Levantamento dutos'!$G273)=80,IF('Levantamento dutos'!$B273&gt;200,('Levantamento dutos'!$D273/'Levantamento dutos'!$G$12*Calculos!$G273*2),0),0)</f>
        <v>0</v>
      </c>
      <c r="P273" s="60">
        <f>IF(CODE('Levantamento dutos'!$G273)=67,('Levantamento dutos'!$D273/'Levantamento dutos'!$G$12*Calculos!$G273*2),0)</f>
        <v>0</v>
      </c>
      <c r="Q273" s="60">
        <f>IF(CODE('Levantamento dutos'!H273)=83,((('Levantamento dutos'!B273/100)+('Levantamento dutos'!$H$12/1000))+(('Levantamento dutos'!C273/100)+('Levantamento dutos'!$H$12)/1000))*2*'Levantamento dutos'!D273,0)</f>
        <v>0</v>
      </c>
      <c r="S273" s="60">
        <f>IF(CODE('Levantamento dutos'!$I273)=83,$Q273,0)</f>
        <v>0</v>
      </c>
      <c r="T273" s="60">
        <f>IF(CODE('Levantamento dutos'!$E273)=76,ROUND((('Levantamento dutos'!$D273/5)*(Calculos!$G273+0.2)*1.2),0),0)</f>
        <v>0</v>
      </c>
      <c r="U273" s="60">
        <f>IF(CODE('Levantamento dutos'!$E273)=73,ROUND((('Levantamento dutos'!$D273/0.5)*(Calculos!$G273+0.2)*1.2),0),0)</f>
        <v>0</v>
      </c>
      <c r="V273" s="60">
        <f>IF(CODE('Levantamento dutos'!$E273)=80,ROUND((('Levantamento dutos'!$D273/0.5)*(Calculos!$G273+0.2)*1.2),0),0)</f>
        <v>0</v>
      </c>
      <c r="W273" s="60">
        <f>IF(CODE('Levantamento dutos'!$E273)=76,'Levantamento dutos'!$D273/0.5*1.5,0)</f>
        <v>0</v>
      </c>
      <c r="X273" s="60">
        <f>IF(CODE('Levantamento dutos'!$E273)=73,'Levantamento dutos'!$D273/0.5*1.5,0)</f>
        <v>0</v>
      </c>
      <c r="Y273" s="60">
        <f>IF(CODE('Levantamento dutos'!$E273)=80,'Levantamento dutos'!$D273/0.5*1.5,0)</f>
        <v>0</v>
      </c>
      <c r="Z273" s="60">
        <f>IF(CODE('Levantamento dutos'!$E273)=76,ROUND(('Levantamento dutos'!$D273)+('Levantamento dutos'!$D273*Calculos!$G273*2)*1.1,0),0)</f>
        <v>0</v>
      </c>
      <c r="AA273" s="60">
        <f>IF(CODE('Levantamento dutos'!$G273)=80,('Levantamento dutos'!$D273/'Levantamento dutos'!$G$12)*8,0)</f>
        <v>0</v>
      </c>
      <c r="AB273" s="60">
        <f>IF(CODE('Levantamento dutos'!$G273)=80,IF('Levantamento dutos'!$B273&gt;30,('Levantamento dutos'!$D273/'Levantamento dutos'!$G$12)*4,0),0)</f>
        <v>0</v>
      </c>
      <c r="AC273" s="60">
        <f>IF('Levantamento dutos'!$B273&gt;220,('Levantamento dutos'!$D273/'Levantamento dutos'!$G$12*Calculos!$G273*2),0)</f>
        <v>0</v>
      </c>
      <c r="AD273" s="60">
        <f>IF(CODE('Levantamento dutos'!$E273)=73,((('Levantamento dutos'!$E$12/1000)+0.02)*'Levantamento dutos'!$D273)*4*1.3,0)</f>
        <v>0</v>
      </c>
      <c r="AE273" s="60">
        <f>IF(CODE('Levantamento dutos'!$E273)=80,((('Levantamento dutos'!$E$12/1000)+0.02)*'Levantamento dutos'!$D273)*4*1.3,0)</f>
        <v>0</v>
      </c>
    </row>
    <row r="274" spans="2:31" x14ac:dyDescent="0.2">
      <c r="B274" s="58">
        <f>IF('Levantamento dutos'!$B274&lt;=Calculos!$Z$3,((('Levantamento dutos'!$B274)/100+('Levantamento dutos'!$C274)/100)*2)*'Levantamento dutos'!$D274,0)</f>
        <v>0</v>
      </c>
      <c r="C274">
        <f>IF('Levantamento dutos'!$B274&gt;Calculos!$Z$3,IF('Levantamento dutos'!$B274&lt;=Calculos!$Z$4,((('Levantamento dutos'!$B274)/100+('Levantamento dutos'!$C274)/100)*2)*'Levantamento dutos'!$D274,0),0)</f>
        <v>0</v>
      </c>
      <c r="D274">
        <f>IF('Levantamento dutos'!$B274&gt;Calculos!$Z$4,IF('Levantamento dutos'!$B274&lt;=Calculos!$Z$5,((('Levantamento dutos'!$B274)/100+('Levantamento dutos'!$C274)/100)*2)*'Levantamento dutos'!$D274,0),0)</f>
        <v>0</v>
      </c>
      <c r="E274">
        <f>IF('Levantamento dutos'!$B274&gt;Calculos!$Z$5,IF('Levantamento dutos'!$B274&lt;=Calculos!$Z$6,((('Levantamento dutos'!$B274)/100+('Levantamento dutos'!$C274)/100)*2)*'Levantamento dutos'!$D274,0),0)</f>
        <v>0</v>
      </c>
      <c r="F274" s="59">
        <f>IF('Levantamento dutos'!$B274&gt;Calculos!$Z$7,((('Levantamento dutos'!$B274)/100+('Levantamento dutos'!$C274)/100)*2)*'Levantamento dutos'!$D274,0)</f>
        <v>0</v>
      </c>
      <c r="G274">
        <f>(('Levantamento dutos'!B274+'Levantamento dutos'!C274)/100)*2</f>
        <v>0</v>
      </c>
      <c r="H274" s="58">
        <f>IF(CODE('Levantamento dutos'!$E274)=76,SUM($B274:$F274),0)</f>
        <v>0</v>
      </c>
      <c r="I274">
        <f>IF(CODE('Levantamento dutos'!$E274)=73,SUM($B274:$F274),0)</f>
        <v>0</v>
      </c>
      <c r="J274">
        <f>IF(CODE('Levantamento dutos'!$E274)=80,SUM($B274:$F274),0)</f>
        <v>0</v>
      </c>
      <c r="K274">
        <f>IF(CODE('Levantamento dutos'!$F274)=66,SUM($B274:$F274),0)</f>
        <v>0</v>
      </c>
      <c r="L274">
        <f>IF(CODE('Levantamento dutos'!$F274)=70,SUM($B274:$F274),0)</f>
        <v>0</v>
      </c>
      <c r="M274" s="59">
        <f>IF(CODE('Levantamento dutos'!$E274)=84,SUM($B274:$F274),0)</f>
        <v>0</v>
      </c>
      <c r="N274" s="60">
        <f>IF(CODE('Levantamento dutos'!$G274)=80,IF('Levantamento dutos'!$B274&lt;=200,('Levantamento dutos'!$D274/'Levantamento dutos'!$G$12*Calculos!$G274*2),0),0)</f>
        <v>0</v>
      </c>
      <c r="O274" s="60">
        <f>IF(CODE('Levantamento dutos'!$G274)=80,IF('Levantamento dutos'!$B274&gt;200,('Levantamento dutos'!$D274/'Levantamento dutos'!$G$12*Calculos!$G274*2),0),0)</f>
        <v>0</v>
      </c>
      <c r="P274" s="60">
        <f>IF(CODE('Levantamento dutos'!$G274)=67,('Levantamento dutos'!$D274/'Levantamento dutos'!$G$12*Calculos!$G274*2),0)</f>
        <v>0</v>
      </c>
      <c r="Q274" s="60">
        <f>IF(CODE('Levantamento dutos'!H274)=83,((('Levantamento dutos'!B274/100)+('Levantamento dutos'!$H$12/1000))+(('Levantamento dutos'!C274/100)+('Levantamento dutos'!$H$12)/1000))*2*'Levantamento dutos'!D274,0)</f>
        <v>0</v>
      </c>
      <c r="S274" s="60">
        <f>IF(CODE('Levantamento dutos'!$I274)=83,$Q274,0)</f>
        <v>0</v>
      </c>
      <c r="T274" s="60">
        <f>IF(CODE('Levantamento dutos'!$E274)=76,ROUND((('Levantamento dutos'!$D274/5)*(Calculos!$G274+0.2)*1.2),0),0)</f>
        <v>0</v>
      </c>
      <c r="U274" s="60">
        <f>IF(CODE('Levantamento dutos'!$E274)=73,ROUND((('Levantamento dutos'!$D274/0.5)*(Calculos!$G274+0.2)*1.2),0),0)</f>
        <v>0</v>
      </c>
      <c r="V274" s="60">
        <f>IF(CODE('Levantamento dutos'!$E274)=80,ROUND((('Levantamento dutos'!$D274/0.5)*(Calculos!$G274+0.2)*1.2),0),0)</f>
        <v>0</v>
      </c>
      <c r="W274" s="60">
        <f>IF(CODE('Levantamento dutos'!$E274)=76,'Levantamento dutos'!$D274/0.5*1.5,0)</f>
        <v>0</v>
      </c>
      <c r="X274" s="60">
        <f>IF(CODE('Levantamento dutos'!$E274)=73,'Levantamento dutos'!$D274/0.5*1.5,0)</f>
        <v>0</v>
      </c>
      <c r="Y274" s="60">
        <f>IF(CODE('Levantamento dutos'!$E274)=80,'Levantamento dutos'!$D274/0.5*1.5,0)</f>
        <v>0</v>
      </c>
      <c r="Z274" s="60">
        <f>IF(CODE('Levantamento dutos'!$E274)=76,ROUND(('Levantamento dutos'!$D274)+('Levantamento dutos'!$D274*Calculos!$G274*2)*1.1,0),0)</f>
        <v>0</v>
      </c>
      <c r="AA274" s="60">
        <f>IF(CODE('Levantamento dutos'!$G274)=80,('Levantamento dutos'!$D274/'Levantamento dutos'!$G$12)*8,0)</f>
        <v>0</v>
      </c>
      <c r="AB274" s="60">
        <f>IF(CODE('Levantamento dutos'!$G274)=80,IF('Levantamento dutos'!$B274&gt;30,('Levantamento dutos'!$D274/'Levantamento dutos'!$G$12)*4,0),0)</f>
        <v>0</v>
      </c>
      <c r="AC274" s="60">
        <f>IF('Levantamento dutos'!$B274&gt;220,('Levantamento dutos'!$D274/'Levantamento dutos'!$G$12*Calculos!$G274*2),0)</f>
        <v>0</v>
      </c>
      <c r="AD274" s="60">
        <f>IF(CODE('Levantamento dutos'!$E274)=73,((('Levantamento dutos'!$E$12/1000)+0.02)*'Levantamento dutos'!$D274)*4*1.3,0)</f>
        <v>0</v>
      </c>
      <c r="AE274" s="60">
        <f>IF(CODE('Levantamento dutos'!$E274)=80,((('Levantamento dutos'!$E$12/1000)+0.02)*'Levantamento dutos'!$D274)*4*1.3,0)</f>
        <v>0</v>
      </c>
    </row>
    <row r="275" spans="2:31" x14ac:dyDescent="0.2">
      <c r="B275" s="58">
        <f>IF('Levantamento dutos'!$B275&lt;=Calculos!$Z$3,((('Levantamento dutos'!$B275)/100+('Levantamento dutos'!$C275)/100)*2)*'Levantamento dutos'!$D275,0)</f>
        <v>0</v>
      </c>
      <c r="C275">
        <f>IF('Levantamento dutos'!$B275&gt;Calculos!$Z$3,IF('Levantamento dutos'!$B275&lt;=Calculos!$Z$4,((('Levantamento dutos'!$B275)/100+('Levantamento dutos'!$C275)/100)*2)*'Levantamento dutos'!$D275,0),0)</f>
        <v>0</v>
      </c>
      <c r="D275">
        <f>IF('Levantamento dutos'!$B275&gt;Calculos!$Z$4,IF('Levantamento dutos'!$B275&lt;=Calculos!$Z$5,((('Levantamento dutos'!$B275)/100+('Levantamento dutos'!$C275)/100)*2)*'Levantamento dutos'!$D275,0),0)</f>
        <v>0</v>
      </c>
      <c r="E275">
        <f>IF('Levantamento dutos'!$B275&gt;Calculos!$Z$5,IF('Levantamento dutos'!$B275&lt;=Calculos!$Z$6,((('Levantamento dutos'!$B275)/100+('Levantamento dutos'!$C275)/100)*2)*'Levantamento dutos'!$D275,0),0)</f>
        <v>0</v>
      </c>
      <c r="F275" s="59">
        <f>IF('Levantamento dutos'!$B275&gt;Calculos!$Z$7,((('Levantamento dutos'!$B275)/100+('Levantamento dutos'!$C275)/100)*2)*'Levantamento dutos'!$D275,0)</f>
        <v>0</v>
      </c>
      <c r="G275">
        <f>(('Levantamento dutos'!B275+'Levantamento dutos'!C275)/100)*2</f>
        <v>0</v>
      </c>
      <c r="H275" s="58">
        <f>IF(CODE('Levantamento dutos'!$E275)=76,SUM($B275:$F275),0)</f>
        <v>0</v>
      </c>
      <c r="I275">
        <f>IF(CODE('Levantamento dutos'!$E275)=73,SUM($B275:$F275),0)</f>
        <v>0</v>
      </c>
      <c r="J275">
        <f>IF(CODE('Levantamento dutos'!$E275)=80,SUM($B275:$F275),0)</f>
        <v>0</v>
      </c>
      <c r="K275">
        <f>IF(CODE('Levantamento dutos'!$F275)=66,SUM($B275:$F275),0)</f>
        <v>0</v>
      </c>
      <c r="L275">
        <f>IF(CODE('Levantamento dutos'!$F275)=70,SUM($B275:$F275),0)</f>
        <v>0</v>
      </c>
      <c r="M275" s="59">
        <f>IF(CODE('Levantamento dutos'!$E275)=84,SUM($B275:$F275),0)</f>
        <v>0</v>
      </c>
      <c r="N275" s="60">
        <f>IF(CODE('Levantamento dutos'!$G275)=80,IF('Levantamento dutos'!$B275&lt;=200,('Levantamento dutos'!$D275/'Levantamento dutos'!$G$12*Calculos!$G275*2),0),0)</f>
        <v>0</v>
      </c>
      <c r="O275" s="60">
        <f>IF(CODE('Levantamento dutos'!$G275)=80,IF('Levantamento dutos'!$B275&gt;200,('Levantamento dutos'!$D275/'Levantamento dutos'!$G$12*Calculos!$G275*2),0),0)</f>
        <v>0</v>
      </c>
      <c r="P275" s="60">
        <f>IF(CODE('Levantamento dutos'!$G275)=67,('Levantamento dutos'!$D275/'Levantamento dutos'!$G$12*Calculos!$G275*2),0)</f>
        <v>0</v>
      </c>
      <c r="Q275" s="60">
        <f>IF(CODE('Levantamento dutos'!H275)=83,((('Levantamento dutos'!B275/100)+('Levantamento dutos'!$H$12/1000))+(('Levantamento dutos'!C275/100)+('Levantamento dutos'!$H$12)/1000))*2*'Levantamento dutos'!D275,0)</f>
        <v>0</v>
      </c>
      <c r="S275" s="60">
        <f>IF(CODE('Levantamento dutos'!$I275)=83,$Q275,0)</f>
        <v>0</v>
      </c>
      <c r="T275" s="60">
        <f>IF(CODE('Levantamento dutos'!$E275)=76,ROUND((('Levantamento dutos'!$D275/5)*(Calculos!$G275+0.2)*1.2),0),0)</f>
        <v>0</v>
      </c>
      <c r="U275" s="60">
        <f>IF(CODE('Levantamento dutos'!$E275)=73,ROUND((('Levantamento dutos'!$D275/0.5)*(Calculos!$G275+0.2)*1.2),0),0)</f>
        <v>0</v>
      </c>
      <c r="V275" s="60">
        <f>IF(CODE('Levantamento dutos'!$E275)=80,ROUND((('Levantamento dutos'!$D275/0.5)*(Calculos!$G275+0.2)*1.2),0),0)</f>
        <v>0</v>
      </c>
      <c r="W275" s="60">
        <f>IF(CODE('Levantamento dutos'!$E275)=76,'Levantamento dutos'!$D275/0.5*1.5,0)</f>
        <v>0</v>
      </c>
      <c r="X275" s="60">
        <f>IF(CODE('Levantamento dutos'!$E275)=73,'Levantamento dutos'!$D275/0.5*1.5,0)</f>
        <v>0</v>
      </c>
      <c r="Y275" s="60">
        <f>IF(CODE('Levantamento dutos'!$E275)=80,'Levantamento dutos'!$D275/0.5*1.5,0)</f>
        <v>0</v>
      </c>
      <c r="Z275" s="60">
        <f>IF(CODE('Levantamento dutos'!$E275)=76,ROUND(('Levantamento dutos'!$D275)+('Levantamento dutos'!$D275*Calculos!$G275*2)*1.1,0),0)</f>
        <v>0</v>
      </c>
      <c r="AA275" s="60">
        <f>IF(CODE('Levantamento dutos'!$G275)=80,('Levantamento dutos'!$D275/'Levantamento dutos'!$G$12)*8,0)</f>
        <v>0</v>
      </c>
      <c r="AB275" s="60">
        <f>IF(CODE('Levantamento dutos'!$G275)=80,IF('Levantamento dutos'!$B275&gt;30,('Levantamento dutos'!$D275/'Levantamento dutos'!$G$12)*4,0),0)</f>
        <v>0</v>
      </c>
      <c r="AC275" s="60">
        <f>IF('Levantamento dutos'!$B275&gt;220,('Levantamento dutos'!$D275/'Levantamento dutos'!$G$12*Calculos!$G275*2),0)</f>
        <v>0</v>
      </c>
      <c r="AD275" s="60">
        <f>IF(CODE('Levantamento dutos'!$E275)=73,((('Levantamento dutos'!$E$12/1000)+0.02)*'Levantamento dutos'!$D275)*4*1.3,0)</f>
        <v>0</v>
      </c>
      <c r="AE275" s="60">
        <f>IF(CODE('Levantamento dutos'!$E275)=80,((('Levantamento dutos'!$E$12/1000)+0.02)*'Levantamento dutos'!$D275)*4*1.3,0)</f>
        <v>0</v>
      </c>
    </row>
    <row r="276" spans="2:31" x14ac:dyDescent="0.2">
      <c r="B276" s="58">
        <f>IF('Levantamento dutos'!$B276&lt;=Calculos!$Z$3,((('Levantamento dutos'!$B276)/100+('Levantamento dutos'!$C276)/100)*2)*'Levantamento dutos'!$D276,0)</f>
        <v>0</v>
      </c>
      <c r="C276">
        <f>IF('Levantamento dutos'!$B276&gt;Calculos!$Z$3,IF('Levantamento dutos'!$B276&lt;=Calculos!$Z$4,((('Levantamento dutos'!$B276)/100+('Levantamento dutos'!$C276)/100)*2)*'Levantamento dutos'!$D276,0),0)</f>
        <v>0</v>
      </c>
      <c r="D276">
        <f>IF('Levantamento dutos'!$B276&gt;Calculos!$Z$4,IF('Levantamento dutos'!$B276&lt;=Calculos!$Z$5,((('Levantamento dutos'!$B276)/100+('Levantamento dutos'!$C276)/100)*2)*'Levantamento dutos'!$D276,0),0)</f>
        <v>0</v>
      </c>
      <c r="E276">
        <f>IF('Levantamento dutos'!$B276&gt;Calculos!$Z$5,IF('Levantamento dutos'!$B276&lt;=Calculos!$Z$6,((('Levantamento dutos'!$B276)/100+('Levantamento dutos'!$C276)/100)*2)*'Levantamento dutos'!$D276,0),0)</f>
        <v>0</v>
      </c>
      <c r="F276" s="59">
        <f>IF('Levantamento dutos'!$B276&gt;Calculos!$Z$7,((('Levantamento dutos'!$B276)/100+('Levantamento dutos'!$C276)/100)*2)*'Levantamento dutos'!$D276,0)</f>
        <v>0</v>
      </c>
      <c r="G276">
        <f>(('Levantamento dutos'!B276+'Levantamento dutos'!C276)/100)*2</f>
        <v>0</v>
      </c>
      <c r="H276" s="58">
        <f>IF(CODE('Levantamento dutos'!$E276)=76,SUM($B276:$F276),0)</f>
        <v>0</v>
      </c>
      <c r="I276">
        <f>IF(CODE('Levantamento dutos'!$E276)=73,SUM($B276:$F276),0)</f>
        <v>0</v>
      </c>
      <c r="J276">
        <f>IF(CODE('Levantamento dutos'!$E276)=80,SUM($B276:$F276),0)</f>
        <v>0</v>
      </c>
      <c r="K276">
        <f>IF(CODE('Levantamento dutos'!$F276)=66,SUM($B276:$F276),0)</f>
        <v>0</v>
      </c>
      <c r="L276">
        <f>IF(CODE('Levantamento dutos'!$F276)=70,SUM($B276:$F276),0)</f>
        <v>0</v>
      </c>
      <c r="M276" s="59">
        <f>IF(CODE('Levantamento dutos'!$E276)=84,SUM($B276:$F276),0)</f>
        <v>0</v>
      </c>
      <c r="N276" s="60">
        <f>IF(CODE('Levantamento dutos'!$G276)=80,IF('Levantamento dutos'!$B276&lt;=200,('Levantamento dutos'!$D276/'Levantamento dutos'!$G$12*Calculos!$G276*2),0),0)</f>
        <v>0</v>
      </c>
      <c r="O276" s="60">
        <f>IF(CODE('Levantamento dutos'!$G276)=80,IF('Levantamento dutos'!$B276&gt;200,('Levantamento dutos'!$D276/'Levantamento dutos'!$G$12*Calculos!$G276*2),0),0)</f>
        <v>0</v>
      </c>
      <c r="P276" s="60">
        <f>IF(CODE('Levantamento dutos'!$G276)=67,('Levantamento dutos'!$D276/'Levantamento dutos'!$G$12*Calculos!$G276*2),0)</f>
        <v>0</v>
      </c>
      <c r="Q276" s="60">
        <f>IF(CODE('Levantamento dutos'!H276)=83,((('Levantamento dutos'!B276/100)+('Levantamento dutos'!$H$12/1000))+(('Levantamento dutos'!C276/100)+('Levantamento dutos'!$H$12)/1000))*2*'Levantamento dutos'!D276,0)</f>
        <v>0</v>
      </c>
      <c r="S276" s="60">
        <f>IF(CODE('Levantamento dutos'!$I276)=83,$Q276,0)</f>
        <v>0</v>
      </c>
      <c r="T276" s="60">
        <f>IF(CODE('Levantamento dutos'!$E276)=76,ROUND((('Levantamento dutos'!$D276/5)*(Calculos!$G276+0.2)*1.2),0),0)</f>
        <v>0</v>
      </c>
      <c r="U276" s="60">
        <f>IF(CODE('Levantamento dutos'!$E276)=73,ROUND((('Levantamento dutos'!$D276/0.5)*(Calculos!$G276+0.2)*1.2),0),0)</f>
        <v>0</v>
      </c>
      <c r="V276" s="60">
        <f>IF(CODE('Levantamento dutos'!$E276)=80,ROUND((('Levantamento dutos'!$D276/0.5)*(Calculos!$G276+0.2)*1.2),0),0)</f>
        <v>0</v>
      </c>
      <c r="W276" s="60">
        <f>IF(CODE('Levantamento dutos'!$E276)=76,'Levantamento dutos'!$D276/0.5*1.5,0)</f>
        <v>0</v>
      </c>
      <c r="X276" s="60">
        <f>IF(CODE('Levantamento dutos'!$E276)=73,'Levantamento dutos'!$D276/0.5*1.5,0)</f>
        <v>0</v>
      </c>
      <c r="Y276" s="60">
        <f>IF(CODE('Levantamento dutos'!$E276)=80,'Levantamento dutos'!$D276/0.5*1.5,0)</f>
        <v>0</v>
      </c>
      <c r="Z276" s="60">
        <f>IF(CODE('Levantamento dutos'!$E276)=76,ROUND(('Levantamento dutos'!$D276)+('Levantamento dutos'!$D276*Calculos!$G276*2)*1.1,0),0)</f>
        <v>0</v>
      </c>
      <c r="AA276" s="60">
        <f>IF(CODE('Levantamento dutos'!$G276)=80,('Levantamento dutos'!$D276/'Levantamento dutos'!$G$12)*8,0)</f>
        <v>0</v>
      </c>
      <c r="AB276" s="60">
        <f>IF(CODE('Levantamento dutos'!$G276)=80,IF('Levantamento dutos'!$B276&gt;30,('Levantamento dutos'!$D276/'Levantamento dutos'!$G$12)*4,0),0)</f>
        <v>0</v>
      </c>
      <c r="AC276" s="60">
        <f>IF('Levantamento dutos'!$B276&gt;220,('Levantamento dutos'!$D276/'Levantamento dutos'!$G$12*Calculos!$G276*2),0)</f>
        <v>0</v>
      </c>
      <c r="AD276" s="60">
        <f>IF(CODE('Levantamento dutos'!$E276)=73,((('Levantamento dutos'!$E$12/1000)+0.02)*'Levantamento dutos'!$D276)*4*1.3,0)</f>
        <v>0</v>
      </c>
      <c r="AE276" s="60">
        <f>IF(CODE('Levantamento dutos'!$E276)=80,((('Levantamento dutos'!$E$12/1000)+0.02)*'Levantamento dutos'!$D276)*4*1.3,0)</f>
        <v>0</v>
      </c>
    </row>
    <row r="277" spans="2:31" x14ac:dyDescent="0.2">
      <c r="B277" s="58">
        <f>IF('Levantamento dutos'!$B277&lt;=Calculos!$Z$3,((('Levantamento dutos'!$B277)/100+('Levantamento dutos'!$C277)/100)*2)*'Levantamento dutos'!$D277,0)</f>
        <v>0</v>
      </c>
      <c r="C277">
        <f>IF('Levantamento dutos'!$B277&gt;Calculos!$Z$3,IF('Levantamento dutos'!$B277&lt;=Calculos!$Z$4,((('Levantamento dutos'!$B277)/100+('Levantamento dutos'!$C277)/100)*2)*'Levantamento dutos'!$D277,0),0)</f>
        <v>0</v>
      </c>
      <c r="D277">
        <f>IF('Levantamento dutos'!$B277&gt;Calculos!$Z$4,IF('Levantamento dutos'!$B277&lt;=Calculos!$Z$5,((('Levantamento dutos'!$B277)/100+('Levantamento dutos'!$C277)/100)*2)*'Levantamento dutos'!$D277,0),0)</f>
        <v>0</v>
      </c>
      <c r="E277">
        <f>IF('Levantamento dutos'!$B277&gt;Calculos!$Z$5,IF('Levantamento dutos'!$B277&lt;=Calculos!$Z$6,((('Levantamento dutos'!$B277)/100+('Levantamento dutos'!$C277)/100)*2)*'Levantamento dutos'!$D277,0),0)</f>
        <v>0</v>
      </c>
      <c r="F277" s="59">
        <f>IF('Levantamento dutos'!$B277&gt;Calculos!$Z$7,((('Levantamento dutos'!$B277)/100+('Levantamento dutos'!$C277)/100)*2)*'Levantamento dutos'!$D277,0)</f>
        <v>0</v>
      </c>
      <c r="G277">
        <f>(('Levantamento dutos'!B277+'Levantamento dutos'!C277)/100)*2</f>
        <v>0</v>
      </c>
      <c r="H277" s="58">
        <f>IF(CODE('Levantamento dutos'!$E277)=76,SUM($B277:$F277),0)</f>
        <v>0</v>
      </c>
      <c r="I277">
        <f>IF(CODE('Levantamento dutos'!$E277)=73,SUM($B277:$F277),0)</f>
        <v>0</v>
      </c>
      <c r="J277">
        <f>IF(CODE('Levantamento dutos'!$E277)=80,SUM($B277:$F277),0)</f>
        <v>0</v>
      </c>
      <c r="K277">
        <f>IF(CODE('Levantamento dutos'!$F277)=66,SUM($B277:$F277),0)</f>
        <v>0</v>
      </c>
      <c r="L277">
        <f>IF(CODE('Levantamento dutos'!$F277)=70,SUM($B277:$F277),0)</f>
        <v>0</v>
      </c>
      <c r="M277" s="59">
        <f>IF(CODE('Levantamento dutos'!$E277)=84,SUM($B277:$F277),0)</f>
        <v>0</v>
      </c>
      <c r="N277" s="60">
        <f>IF(CODE('Levantamento dutos'!$G277)=80,IF('Levantamento dutos'!$B277&lt;=200,('Levantamento dutos'!$D277/'Levantamento dutos'!$G$12*Calculos!$G277*2),0),0)</f>
        <v>0</v>
      </c>
      <c r="O277" s="60">
        <f>IF(CODE('Levantamento dutos'!$G277)=80,IF('Levantamento dutos'!$B277&gt;200,('Levantamento dutos'!$D277/'Levantamento dutos'!$G$12*Calculos!$G277*2),0),0)</f>
        <v>0</v>
      </c>
      <c r="P277" s="60">
        <f>IF(CODE('Levantamento dutos'!$G277)=67,('Levantamento dutos'!$D277/'Levantamento dutos'!$G$12*Calculos!$G277*2),0)</f>
        <v>0</v>
      </c>
      <c r="Q277" s="60">
        <f>IF(CODE('Levantamento dutos'!H277)=83,((('Levantamento dutos'!B277/100)+('Levantamento dutos'!$H$12/1000))+(('Levantamento dutos'!C277/100)+('Levantamento dutos'!$H$12)/1000))*2*'Levantamento dutos'!D277,0)</f>
        <v>0</v>
      </c>
      <c r="S277" s="60">
        <f>IF(CODE('Levantamento dutos'!$I277)=83,$Q277,0)</f>
        <v>0</v>
      </c>
      <c r="T277" s="60">
        <f>IF(CODE('Levantamento dutos'!$E277)=76,ROUND((('Levantamento dutos'!$D277/5)*(Calculos!$G277+0.2)*1.2),0),0)</f>
        <v>0</v>
      </c>
      <c r="U277" s="60">
        <f>IF(CODE('Levantamento dutos'!$E277)=73,ROUND((('Levantamento dutos'!$D277/0.5)*(Calculos!$G277+0.2)*1.2),0),0)</f>
        <v>0</v>
      </c>
      <c r="V277" s="60">
        <f>IF(CODE('Levantamento dutos'!$E277)=80,ROUND((('Levantamento dutos'!$D277/0.5)*(Calculos!$G277+0.2)*1.2),0),0)</f>
        <v>0</v>
      </c>
      <c r="W277" s="60">
        <f>IF(CODE('Levantamento dutos'!$E277)=76,'Levantamento dutos'!$D277/0.5*1.5,0)</f>
        <v>0</v>
      </c>
      <c r="X277" s="60">
        <f>IF(CODE('Levantamento dutos'!$E277)=73,'Levantamento dutos'!$D277/0.5*1.5,0)</f>
        <v>0</v>
      </c>
      <c r="Y277" s="60">
        <f>IF(CODE('Levantamento dutos'!$E277)=80,'Levantamento dutos'!$D277/0.5*1.5,0)</f>
        <v>0</v>
      </c>
      <c r="Z277" s="60">
        <f>IF(CODE('Levantamento dutos'!$E277)=76,ROUND(('Levantamento dutos'!$D277)+('Levantamento dutos'!$D277*Calculos!$G277*2)*1.1,0),0)</f>
        <v>0</v>
      </c>
      <c r="AA277" s="60">
        <f>IF(CODE('Levantamento dutos'!$G277)=80,('Levantamento dutos'!$D277/'Levantamento dutos'!$G$12)*8,0)</f>
        <v>0</v>
      </c>
      <c r="AB277" s="60">
        <f>IF(CODE('Levantamento dutos'!$G277)=80,IF('Levantamento dutos'!$B277&gt;30,('Levantamento dutos'!$D277/'Levantamento dutos'!$G$12)*4,0),0)</f>
        <v>0</v>
      </c>
      <c r="AC277" s="60">
        <f>IF('Levantamento dutos'!$B277&gt;220,('Levantamento dutos'!$D277/'Levantamento dutos'!$G$12*Calculos!$G277*2),0)</f>
        <v>0</v>
      </c>
      <c r="AD277" s="60">
        <f>IF(CODE('Levantamento dutos'!$E277)=73,((('Levantamento dutos'!$E$12/1000)+0.02)*'Levantamento dutos'!$D277)*4*1.3,0)</f>
        <v>0</v>
      </c>
      <c r="AE277" s="60">
        <f>IF(CODE('Levantamento dutos'!$E277)=80,((('Levantamento dutos'!$E$12/1000)+0.02)*'Levantamento dutos'!$D277)*4*1.3,0)</f>
        <v>0</v>
      </c>
    </row>
    <row r="278" spans="2:31" x14ac:dyDescent="0.2">
      <c r="B278" s="58">
        <f>IF('Levantamento dutos'!$B278&lt;=Calculos!$Z$3,((('Levantamento dutos'!$B278)/100+('Levantamento dutos'!$C278)/100)*2)*'Levantamento dutos'!$D278,0)</f>
        <v>0</v>
      </c>
      <c r="C278">
        <f>IF('Levantamento dutos'!$B278&gt;Calculos!$Z$3,IF('Levantamento dutos'!$B278&lt;=Calculos!$Z$4,((('Levantamento dutos'!$B278)/100+('Levantamento dutos'!$C278)/100)*2)*'Levantamento dutos'!$D278,0),0)</f>
        <v>0</v>
      </c>
      <c r="D278">
        <f>IF('Levantamento dutos'!$B278&gt;Calculos!$Z$4,IF('Levantamento dutos'!$B278&lt;=Calculos!$Z$5,((('Levantamento dutos'!$B278)/100+('Levantamento dutos'!$C278)/100)*2)*'Levantamento dutos'!$D278,0),0)</f>
        <v>0</v>
      </c>
      <c r="E278">
        <f>IF('Levantamento dutos'!$B278&gt;Calculos!$Z$5,IF('Levantamento dutos'!$B278&lt;=Calculos!$Z$6,((('Levantamento dutos'!$B278)/100+('Levantamento dutos'!$C278)/100)*2)*'Levantamento dutos'!$D278,0),0)</f>
        <v>0</v>
      </c>
      <c r="F278" s="59">
        <f>IF('Levantamento dutos'!$B278&gt;Calculos!$Z$7,((('Levantamento dutos'!$B278)/100+('Levantamento dutos'!$C278)/100)*2)*'Levantamento dutos'!$D278,0)</f>
        <v>0</v>
      </c>
      <c r="G278">
        <f>(('Levantamento dutos'!B278+'Levantamento dutos'!C278)/100)*2</f>
        <v>0</v>
      </c>
      <c r="H278" s="58">
        <f>IF(CODE('Levantamento dutos'!$E278)=76,SUM($B278:$F278),0)</f>
        <v>0</v>
      </c>
      <c r="I278">
        <f>IF(CODE('Levantamento dutos'!$E278)=73,SUM($B278:$F278),0)</f>
        <v>0</v>
      </c>
      <c r="J278">
        <f>IF(CODE('Levantamento dutos'!$E278)=80,SUM($B278:$F278),0)</f>
        <v>0</v>
      </c>
      <c r="K278">
        <f>IF(CODE('Levantamento dutos'!$F278)=66,SUM($B278:$F278),0)</f>
        <v>0</v>
      </c>
      <c r="L278">
        <f>IF(CODE('Levantamento dutos'!$F278)=70,SUM($B278:$F278),0)</f>
        <v>0</v>
      </c>
      <c r="M278" s="59">
        <f>IF(CODE('Levantamento dutos'!$E278)=84,SUM($B278:$F278),0)</f>
        <v>0</v>
      </c>
      <c r="N278" s="60">
        <f>IF(CODE('Levantamento dutos'!$G278)=80,IF('Levantamento dutos'!$B278&lt;=200,('Levantamento dutos'!$D278/'Levantamento dutos'!$G$12*Calculos!$G278*2),0),0)</f>
        <v>0</v>
      </c>
      <c r="O278" s="60">
        <f>IF(CODE('Levantamento dutos'!$G278)=80,IF('Levantamento dutos'!$B278&gt;200,('Levantamento dutos'!$D278/'Levantamento dutos'!$G$12*Calculos!$G278*2),0),0)</f>
        <v>0</v>
      </c>
      <c r="P278" s="60">
        <f>IF(CODE('Levantamento dutos'!$G278)=67,('Levantamento dutos'!$D278/'Levantamento dutos'!$G$12*Calculos!$G278*2),0)</f>
        <v>0</v>
      </c>
      <c r="Q278" s="60">
        <f>IF(CODE('Levantamento dutos'!H278)=83,((('Levantamento dutos'!B278/100)+('Levantamento dutos'!$H$12/1000))+(('Levantamento dutos'!C278/100)+('Levantamento dutos'!$H$12)/1000))*2*'Levantamento dutos'!D278,0)</f>
        <v>0</v>
      </c>
      <c r="S278" s="60">
        <f>IF(CODE('Levantamento dutos'!$I278)=83,$Q278,0)</f>
        <v>0</v>
      </c>
      <c r="T278" s="60">
        <f>IF(CODE('Levantamento dutos'!$E278)=76,ROUND((('Levantamento dutos'!$D278/5)*(Calculos!$G278+0.2)*1.2),0),0)</f>
        <v>0</v>
      </c>
      <c r="U278" s="60">
        <f>IF(CODE('Levantamento dutos'!$E278)=73,ROUND((('Levantamento dutos'!$D278/0.5)*(Calculos!$G278+0.2)*1.2),0),0)</f>
        <v>0</v>
      </c>
      <c r="V278" s="60">
        <f>IF(CODE('Levantamento dutos'!$E278)=80,ROUND((('Levantamento dutos'!$D278/0.5)*(Calculos!$G278+0.2)*1.2),0),0)</f>
        <v>0</v>
      </c>
      <c r="W278" s="60">
        <f>IF(CODE('Levantamento dutos'!$E278)=76,'Levantamento dutos'!$D278/0.5*1.5,0)</f>
        <v>0</v>
      </c>
      <c r="X278" s="60">
        <f>IF(CODE('Levantamento dutos'!$E278)=73,'Levantamento dutos'!$D278/0.5*1.5,0)</f>
        <v>0</v>
      </c>
      <c r="Y278" s="60">
        <f>IF(CODE('Levantamento dutos'!$E278)=80,'Levantamento dutos'!$D278/0.5*1.5,0)</f>
        <v>0</v>
      </c>
      <c r="Z278" s="60">
        <f>IF(CODE('Levantamento dutos'!$E278)=76,ROUND(('Levantamento dutos'!$D278)+('Levantamento dutos'!$D278*Calculos!$G278*2)*1.1,0),0)</f>
        <v>0</v>
      </c>
      <c r="AA278" s="60">
        <f>IF(CODE('Levantamento dutos'!$G278)=80,('Levantamento dutos'!$D278/'Levantamento dutos'!$G$12)*8,0)</f>
        <v>0</v>
      </c>
      <c r="AB278" s="60">
        <f>IF(CODE('Levantamento dutos'!$G278)=80,IF('Levantamento dutos'!$B278&gt;30,('Levantamento dutos'!$D278/'Levantamento dutos'!$G$12)*4,0),0)</f>
        <v>0</v>
      </c>
      <c r="AC278" s="60">
        <f>IF('Levantamento dutos'!$B278&gt;220,('Levantamento dutos'!$D278/'Levantamento dutos'!$G$12*Calculos!$G278*2),0)</f>
        <v>0</v>
      </c>
      <c r="AD278" s="60">
        <f>IF(CODE('Levantamento dutos'!$E278)=73,((('Levantamento dutos'!$E$12/1000)+0.02)*'Levantamento dutos'!$D278)*4*1.3,0)</f>
        <v>0</v>
      </c>
      <c r="AE278" s="60">
        <f>IF(CODE('Levantamento dutos'!$E278)=80,((('Levantamento dutos'!$E$12/1000)+0.02)*'Levantamento dutos'!$D278)*4*1.3,0)</f>
        <v>0</v>
      </c>
    </row>
    <row r="279" spans="2:31" x14ac:dyDescent="0.2">
      <c r="B279" s="58">
        <f>IF('Levantamento dutos'!$B279&lt;=Calculos!$Z$3,((('Levantamento dutos'!$B279)/100+('Levantamento dutos'!$C279)/100)*2)*'Levantamento dutos'!$D279,0)</f>
        <v>0</v>
      </c>
      <c r="C279">
        <f>IF('Levantamento dutos'!$B279&gt;Calculos!$Z$3,IF('Levantamento dutos'!$B279&lt;=Calculos!$Z$4,((('Levantamento dutos'!$B279)/100+('Levantamento dutos'!$C279)/100)*2)*'Levantamento dutos'!$D279,0),0)</f>
        <v>0</v>
      </c>
      <c r="D279">
        <f>IF('Levantamento dutos'!$B279&gt;Calculos!$Z$4,IF('Levantamento dutos'!$B279&lt;=Calculos!$Z$5,((('Levantamento dutos'!$B279)/100+('Levantamento dutos'!$C279)/100)*2)*'Levantamento dutos'!$D279,0),0)</f>
        <v>0</v>
      </c>
      <c r="E279">
        <f>IF('Levantamento dutos'!$B279&gt;Calculos!$Z$5,IF('Levantamento dutos'!$B279&lt;=Calculos!$Z$6,((('Levantamento dutos'!$B279)/100+('Levantamento dutos'!$C279)/100)*2)*'Levantamento dutos'!$D279,0),0)</f>
        <v>0</v>
      </c>
      <c r="F279" s="59">
        <f>IF('Levantamento dutos'!$B279&gt;Calculos!$Z$7,((('Levantamento dutos'!$B279)/100+('Levantamento dutos'!$C279)/100)*2)*'Levantamento dutos'!$D279,0)</f>
        <v>0</v>
      </c>
      <c r="G279">
        <f>(('Levantamento dutos'!B279+'Levantamento dutos'!C279)/100)*2</f>
        <v>0</v>
      </c>
      <c r="H279" s="58">
        <f>IF(CODE('Levantamento dutos'!$E279)=76,SUM($B279:$F279),0)</f>
        <v>0</v>
      </c>
      <c r="I279">
        <f>IF(CODE('Levantamento dutos'!$E279)=73,SUM($B279:$F279),0)</f>
        <v>0</v>
      </c>
      <c r="J279">
        <f>IF(CODE('Levantamento dutos'!$E279)=80,SUM($B279:$F279),0)</f>
        <v>0</v>
      </c>
      <c r="K279">
        <f>IF(CODE('Levantamento dutos'!$F279)=66,SUM($B279:$F279),0)</f>
        <v>0</v>
      </c>
      <c r="L279">
        <f>IF(CODE('Levantamento dutos'!$F279)=70,SUM($B279:$F279),0)</f>
        <v>0</v>
      </c>
      <c r="M279" s="59">
        <f>IF(CODE('Levantamento dutos'!$E279)=84,SUM($B279:$F279),0)</f>
        <v>0</v>
      </c>
      <c r="N279" s="60">
        <f>IF(CODE('Levantamento dutos'!$G279)=80,IF('Levantamento dutos'!$B279&lt;=200,('Levantamento dutos'!$D279/'Levantamento dutos'!$G$12*Calculos!$G279*2),0),0)</f>
        <v>0</v>
      </c>
      <c r="O279" s="60">
        <f>IF(CODE('Levantamento dutos'!$G279)=80,IF('Levantamento dutos'!$B279&gt;200,('Levantamento dutos'!$D279/'Levantamento dutos'!$G$12*Calculos!$G279*2),0),0)</f>
        <v>0</v>
      </c>
      <c r="P279" s="60">
        <f>IF(CODE('Levantamento dutos'!$G279)=67,('Levantamento dutos'!$D279/'Levantamento dutos'!$G$12*Calculos!$G279*2),0)</f>
        <v>0</v>
      </c>
      <c r="Q279" s="60">
        <f>IF(CODE('Levantamento dutos'!H279)=83,((('Levantamento dutos'!B279/100)+('Levantamento dutos'!$H$12/1000))+(('Levantamento dutos'!C279/100)+('Levantamento dutos'!$H$12)/1000))*2*'Levantamento dutos'!D279,0)</f>
        <v>0</v>
      </c>
      <c r="S279" s="60">
        <f>IF(CODE('Levantamento dutos'!$I279)=83,$Q279,0)</f>
        <v>0</v>
      </c>
      <c r="T279" s="60">
        <f>IF(CODE('Levantamento dutos'!$E279)=76,ROUND((('Levantamento dutos'!$D279/5)*(Calculos!$G279+0.2)*1.2),0),0)</f>
        <v>0</v>
      </c>
      <c r="U279" s="60">
        <f>IF(CODE('Levantamento dutos'!$E279)=73,ROUND((('Levantamento dutos'!$D279/0.5)*(Calculos!$G279+0.2)*1.2),0),0)</f>
        <v>0</v>
      </c>
      <c r="V279" s="60">
        <f>IF(CODE('Levantamento dutos'!$E279)=80,ROUND((('Levantamento dutos'!$D279/0.5)*(Calculos!$G279+0.2)*1.2),0),0)</f>
        <v>0</v>
      </c>
      <c r="W279" s="60">
        <f>IF(CODE('Levantamento dutos'!$E279)=76,'Levantamento dutos'!$D279/0.5*1.5,0)</f>
        <v>0</v>
      </c>
      <c r="X279" s="60">
        <f>IF(CODE('Levantamento dutos'!$E279)=73,'Levantamento dutos'!$D279/0.5*1.5,0)</f>
        <v>0</v>
      </c>
      <c r="Y279" s="60">
        <f>IF(CODE('Levantamento dutos'!$E279)=80,'Levantamento dutos'!$D279/0.5*1.5,0)</f>
        <v>0</v>
      </c>
      <c r="Z279" s="60">
        <f>IF(CODE('Levantamento dutos'!$E279)=76,ROUND(('Levantamento dutos'!$D279)+('Levantamento dutos'!$D279*Calculos!$G279*2)*1.1,0),0)</f>
        <v>0</v>
      </c>
      <c r="AA279" s="60">
        <f>IF(CODE('Levantamento dutos'!$G279)=80,('Levantamento dutos'!$D279/'Levantamento dutos'!$G$12)*8,0)</f>
        <v>0</v>
      </c>
      <c r="AB279" s="60">
        <f>IF(CODE('Levantamento dutos'!$G279)=80,IF('Levantamento dutos'!$B279&gt;30,('Levantamento dutos'!$D279/'Levantamento dutos'!$G$12)*4,0),0)</f>
        <v>0</v>
      </c>
      <c r="AC279" s="60">
        <f>IF('Levantamento dutos'!$B279&gt;220,('Levantamento dutos'!$D279/'Levantamento dutos'!$G$12*Calculos!$G279*2),0)</f>
        <v>0</v>
      </c>
      <c r="AD279" s="60">
        <f>IF(CODE('Levantamento dutos'!$E279)=73,((('Levantamento dutos'!$E$12/1000)+0.02)*'Levantamento dutos'!$D279)*4*1.3,0)</f>
        <v>0</v>
      </c>
      <c r="AE279" s="60">
        <f>IF(CODE('Levantamento dutos'!$E279)=80,((('Levantamento dutos'!$E$12/1000)+0.02)*'Levantamento dutos'!$D279)*4*1.3,0)</f>
        <v>0</v>
      </c>
    </row>
    <row r="280" spans="2:31" x14ac:dyDescent="0.2">
      <c r="B280" s="58">
        <f>IF('Levantamento dutos'!$B280&lt;=Calculos!$Z$3,((('Levantamento dutos'!$B280)/100+('Levantamento dutos'!$C280)/100)*2)*'Levantamento dutos'!$D280,0)</f>
        <v>0</v>
      </c>
      <c r="C280">
        <f>IF('Levantamento dutos'!$B280&gt;Calculos!$Z$3,IF('Levantamento dutos'!$B280&lt;=Calculos!$Z$4,((('Levantamento dutos'!$B280)/100+('Levantamento dutos'!$C280)/100)*2)*'Levantamento dutos'!$D280,0),0)</f>
        <v>0</v>
      </c>
      <c r="D280">
        <f>IF('Levantamento dutos'!$B280&gt;Calculos!$Z$4,IF('Levantamento dutos'!$B280&lt;=Calculos!$Z$5,((('Levantamento dutos'!$B280)/100+('Levantamento dutos'!$C280)/100)*2)*'Levantamento dutos'!$D280,0),0)</f>
        <v>0</v>
      </c>
      <c r="E280">
        <f>IF('Levantamento dutos'!$B280&gt;Calculos!$Z$5,IF('Levantamento dutos'!$B280&lt;=Calculos!$Z$6,((('Levantamento dutos'!$B280)/100+('Levantamento dutos'!$C280)/100)*2)*'Levantamento dutos'!$D280,0),0)</f>
        <v>0</v>
      </c>
      <c r="F280" s="59">
        <f>IF('Levantamento dutos'!$B280&gt;Calculos!$Z$7,((('Levantamento dutos'!$B280)/100+('Levantamento dutos'!$C280)/100)*2)*'Levantamento dutos'!$D280,0)</f>
        <v>0</v>
      </c>
      <c r="G280">
        <f>(('Levantamento dutos'!B280+'Levantamento dutos'!C280)/100)*2</f>
        <v>0</v>
      </c>
      <c r="H280" s="58">
        <f>IF(CODE('Levantamento dutos'!$E280)=76,SUM($B280:$F280),0)</f>
        <v>0</v>
      </c>
      <c r="I280">
        <f>IF(CODE('Levantamento dutos'!$E280)=73,SUM($B280:$F280),0)</f>
        <v>0</v>
      </c>
      <c r="J280">
        <f>IF(CODE('Levantamento dutos'!$E280)=80,SUM($B280:$F280),0)</f>
        <v>0</v>
      </c>
      <c r="K280">
        <f>IF(CODE('Levantamento dutos'!$F280)=66,SUM($B280:$F280),0)</f>
        <v>0</v>
      </c>
      <c r="L280">
        <f>IF(CODE('Levantamento dutos'!$F280)=70,SUM($B280:$F280),0)</f>
        <v>0</v>
      </c>
      <c r="M280" s="59">
        <f>IF(CODE('Levantamento dutos'!$E280)=84,SUM($B280:$F280),0)</f>
        <v>0</v>
      </c>
      <c r="N280" s="60">
        <f>IF(CODE('Levantamento dutos'!$G280)=80,IF('Levantamento dutos'!$B280&lt;=200,('Levantamento dutos'!$D280/'Levantamento dutos'!$G$12*Calculos!$G280*2),0),0)</f>
        <v>0</v>
      </c>
      <c r="O280" s="60">
        <f>IF(CODE('Levantamento dutos'!$G280)=80,IF('Levantamento dutos'!$B280&gt;200,('Levantamento dutos'!$D280/'Levantamento dutos'!$G$12*Calculos!$G280*2),0),0)</f>
        <v>0</v>
      </c>
      <c r="P280" s="60">
        <f>IF(CODE('Levantamento dutos'!$G280)=67,('Levantamento dutos'!$D280/'Levantamento dutos'!$G$12*Calculos!$G280*2),0)</f>
        <v>0</v>
      </c>
      <c r="Q280" s="60">
        <f>IF(CODE('Levantamento dutos'!H280)=83,((('Levantamento dutos'!B280/100)+('Levantamento dutos'!$H$12/1000))+(('Levantamento dutos'!C280/100)+('Levantamento dutos'!$H$12)/1000))*2*'Levantamento dutos'!D280,0)</f>
        <v>0</v>
      </c>
      <c r="S280" s="60">
        <f>IF(CODE('Levantamento dutos'!$I280)=83,$Q280,0)</f>
        <v>0</v>
      </c>
      <c r="T280" s="60">
        <f>IF(CODE('Levantamento dutos'!$E280)=76,ROUND((('Levantamento dutos'!$D280/5)*(Calculos!$G280+0.2)*1.2),0),0)</f>
        <v>0</v>
      </c>
      <c r="U280" s="60">
        <f>IF(CODE('Levantamento dutos'!$E280)=73,ROUND((('Levantamento dutos'!$D280/0.5)*(Calculos!$G280+0.2)*1.2),0),0)</f>
        <v>0</v>
      </c>
      <c r="V280" s="60">
        <f>IF(CODE('Levantamento dutos'!$E280)=80,ROUND((('Levantamento dutos'!$D280/0.5)*(Calculos!$G280+0.2)*1.2),0),0)</f>
        <v>0</v>
      </c>
      <c r="W280" s="60">
        <f>IF(CODE('Levantamento dutos'!$E280)=76,'Levantamento dutos'!$D280/0.5*1.5,0)</f>
        <v>0</v>
      </c>
      <c r="X280" s="60">
        <f>IF(CODE('Levantamento dutos'!$E280)=73,'Levantamento dutos'!$D280/0.5*1.5,0)</f>
        <v>0</v>
      </c>
      <c r="Y280" s="60">
        <f>IF(CODE('Levantamento dutos'!$E280)=80,'Levantamento dutos'!$D280/0.5*1.5,0)</f>
        <v>0</v>
      </c>
      <c r="Z280" s="60">
        <f>IF(CODE('Levantamento dutos'!$E280)=76,ROUND(('Levantamento dutos'!$D280)+('Levantamento dutos'!$D280*Calculos!$G280*2)*1.1,0),0)</f>
        <v>0</v>
      </c>
      <c r="AA280" s="60">
        <f>IF(CODE('Levantamento dutos'!$G280)=80,('Levantamento dutos'!$D280/'Levantamento dutos'!$G$12)*8,0)</f>
        <v>0</v>
      </c>
      <c r="AB280" s="60">
        <f>IF(CODE('Levantamento dutos'!$G280)=80,IF('Levantamento dutos'!$B280&gt;30,('Levantamento dutos'!$D280/'Levantamento dutos'!$G$12)*4,0),0)</f>
        <v>0</v>
      </c>
      <c r="AC280" s="60">
        <f>IF('Levantamento dutos'!$B280&gt;220,('Levantamento dutos'!$D280/'Levantamento dutos'!$G$12*Calculos!$G280*2),0)</f>
        <v>0</v>
      </c>
      <c r="AD280" s="60">
        <f>IF(CODE('Levantamento dutos'!$E280)=73,((('Levantamento dutos'!$E$12/1000)+0.02)*'Levantamento dutos'!$D280)*4*1.3,0)</f>
        <v>0</v>
      </c>
      <c r="AE280" s="60">
        <f>IF(CODE('Levantamento dutos'!$E280)=80,((('Levantamento dutos'!$E$12/1000)+0.02)*'Levantamento dutos'!$D280)*4*1.3,0)</f>
        <v>0</v>
      </c>
    </row>
    <row r="281" spans="2:31" x14ac:dyDescent="0.2">
      <c r="B281" s="58">
        <f>IF('Levantamento dutos'!$B281&lt;=Calculos!$Z$3,((('Levantamento dutos'!$B281)/100+('Levantamento dutos'!$C281)/100)*2)*'Levantamento dutos'!$D281,0)</f>
        <v>0</v>
      </c>
      <c r="C281">
        <f>IF('Levantamento dutos'!$B281&gt;Calculos!$Z$3,IF('Levantamento dutos'!$B281&lt;=Calculos!$Z$4,((('Levantamento dutos'!$B281)/100+('Levantamento dutos'!$C281)/100)*2)*'Levantamento dutos'!$D281,0),0)</f>
        <v>0</v>
      </c>
      <c r="D281">
        <f>IF('Levantamento dutos'!$B281&gt;Calculos!$Z$4,IF('Levantamento dutos'!$B281&lt;=Calculos!$Z$5,((('Levantamento dutos'!$B281)/100+('Levantamento dutos'!$C281)/100)*2)*'Levantamento dutos'!$D281,0),0)</f>
        <v>0</v>
      </c>
      <c r="E281">
        <f>IF('Levantamento dutos'!$B281&gt;Calculos!$Z$5,IF('Levantamento dutos'!$B281&lt;=Calculos!$Z$6,((('Levantamento dutos'!$B281)/100+('Levantamento dutos'!$C281)/100)*2)*'Levantamento dutos'!$D281,0),0)</f>
        <v>0</v>
      </c>
      <c r="F281" s="59">
        <f>IF('Levantamento dutos'!$B281&gt;Calculos!$Z$7,((('Levantamento dutos'!$B281)/100+('Levantamento dutos'!$C281)/100)*2)*'Levantamento dutos'!$D281,0)</f>
        <v>0</v>
      </c>
      <c r="G281">
        <f>(('Levantamento dutos'!B281+'Levantamento dutos'!C281)/100)*2</f>
        <v>0</v>
      </c>
      <c r="H281" s="58">
        <f>IF(CODE('Levantamento dutos'!$E281)=76,SUM($B281:$F281),0)</f>
        <v>0</v>
      </c>
      <c r="I281">
        <f>IF(CODE('Levantamento dutos'!$E281)=73,SUM($B281:$F281),0)</f>
        <v>0</v>
      </c>
      <c r="J281">
        <f>IF(CODE('Levantamento dutos'!$E281)=80,SUM($B281:$F281),0)</f>
        <v>0</v>
      </c>
      <c r="K281">
        <f>IF(CODE('Levantamento dutos'!$F281)=66,SUM($B281:$F281),0)</f>
        <v>0</v>
      </c>
      <c r="L281">
        <f>IF(CODE('Levantamento dutos'!$F281)=70,SUM($B281:$F281),0)</f>
        <v>0</v>
      </c>
      <c r="M281" s="59">
        <f>IF(CODE('Levantamento dutos'!$E281)=84,SUM($B281:$F281),0)</f>
        <v>0</v>
      </c>
      <c r="N281" s="60">
        <f>IF(CODE('Levantamento dutos'!$G281)=80,IF('Levantamento dutos'!$B281&lt;=200,('Levantamento dutos'!$D281/'Levantamento dutos'!$G$12*Calculos!$G281*2),0),0)</f>
        <v>0</v>
      </c>
      <c r="O281" s="60">
        <f>IF(CODE('Levantamento dutos'!$G281)=80,IF('Levantamento dutos'!$B281&gt;200,('Levantamento dutos'!$D281/'Levantamento dutos'!$G$12*Calculos!$G281*2),0),0)</f>
        <v>0</v>
      </c>
      <c r="P281" s="60">
        <f>IF(CODE('Levantamento dutos'!$G281)=67,('Levantamento dutos'!$D281/'Levantamento dutos'!$G$12*Calculos!$G281*2),0)</f>
        <v>0</v>
      </c>
      <c r="Q281" s="60">
        <f>IF(CODE('Levantamento dutos'!H281)=83,((('Levantamento dutos'!B281/100)+('Levantamento dutos'!$H$12/1000))+(('Levantamento dutos'!C281/100)+('Levantamento dutos'!$H$12)/1000))*2*'Levantamento dutos'!D281,0)</f>
        <v>0</v>
      </c>
      <c r="S281" s="60">
        <f>IF(CODE('Levantamento dutos'!$I281)=83,$Q281,0)</f>
        <v>0</v>
      </c>
      <c r="T281" s="60">
        <f>IF(CODE('Levantamento dutos'!$E281)=76,ROUND((('Levantamento dutos'!$D281/5)*(Calculos!$G281+0.2)*1.2),0),0)</f>
        <v>0</v>
      </c>
      <c r="U281" s="60">
        <f>IF(CODE('Levantamento dutos'!$E281)=73,ROUND((('Levantamento dutos'!$D281/0.5)*(Calculos!$G281+0.2)*1.2),0),0)</f>
        <v>0</v>
      </c>
      <c r="V281" s="60">
        <f>IF(CODE('Levantamento dutos'!$E281)=80,ROUND((('Levantamento dutos'!$D281/0.5)*(Calculos!$G281+0.2)*1.2),0),0)</f>
        <v>0</v>
      </c>
      <c r="W281" s="60">
        <f>IF(CODE('Levantamento dutos'!$E281)=76,'Levantamento dutos'!$D281/0.5*1.5,0)</f>
        <v>0</v>
      </c>
      <c r="X281" s="60">
        <f>IF(CODE('Levantamento dutos'!$E281)=73,'Levantamento dutos'!$D281/0.5*1.5,0)</f>
        <v>0</v>
      </c>
      <c r="Y281" s="60">
        <f>IF(CODE('Levantamento dutos'!$E281)=80,'Levantamento dutos'!$D281/0.5*1.5,0)</f>
        <v>0</v>
      </c>
      <c r="Z281" s="60">
        <f>IF(CODE('Levantamento dutos'!$E281)=76,ROUND(('Levantamento dutos'!$D281)+('Levantamento dutos'!$D281*Calculos!$G281*2)*1.1,0),0)</f>
        <v>0</v>
      </c>
      <c r="AA281" s="60">
        <f>IF(CODE('Levantamento dutos'!$G281)=80,('Levantamento dutos'!$D281/'Levantamento dutos'!$G$12)*8,0)</f>
        <v>0</v>
      </c>
      <c r="AB281" s="60">
        <f>IF(CODE('Levantamento dutos'!$G281)=80,IF('Levantamento dutos'!$B281&gt;30,('Levantamento dutos'!$D281/'Levantamento dutos'!$G$12)*4,0),0)</f>
        <v>0</v>
      </c>
      <c r="AC281" s="60">
        <f>IF('Levantamento dutos'!$B281&gt;220,('Levantamento dutos'!$D281/'Levantamento dutos'!$G$12*Calculos!$G281*2),0)</f>
        <v>0</v>
      </c>
      <c r="AD281" s="60">
        <f>IF(CODE('Levantamento dutos'!$E281)=73,((('Levantamento dutos'!$E$12/1000)+0.02)*'Levantamento dutos'!$D281)*4*1.3,0)</f>
        <v>0</v>
      </c>
      <c r="AE281" s="60">
        <f>IF(CODE('Levantamento dutos'!$E281)=80,((('Levantamento dutos'!$E$12/1000)+0.02)*'Levantamento dutos'!$D281)*4*1.3,0)</f>
        <v>0</v>
      </c>
    </row>
    <row r="282" spans="2:31" x14ac:dyDescent="0.2">
      <c r="B282" s="58">
        <f>IF('Levantamento dutos'!$B282&lt;=Calculos!$Z$3,((('Levantamento dutos'!$B282)/100+('Levantamento dutos'!$C282)/100)*2)*'Levantamento dutos'!$D282,0)</f>
        <v>0</v>
      </c>
      <c r="C282">
        <f>IF('Levantamento dutos'!$B282&gt;Calculos!$Z$3,IF('Levantamento dutos'!$B282&lt;=Calculos!$Z$4,((('Levantamento dutos'!$B282)/100+('Levantamento dutos'!$C282)/100)*2)*'Levantamento dutos'!$D282,0),0)</f>
        <v>0</v>
      </c>
      <c r="D282">
        <f>IF('Levantamento dutos'!$B282&gt;Calculos!$Z$4,IF('Levantamento dutos'!$B282&lt;=Calculos!$Z$5,((('Levantamento dutos'!$B282)/100+('Levantamento dutos'!$C282)/100)*2)*'Levantamento dutos'!$D282,0),0)</f>
        <v>0</v>
      </c>
      <c r="E282">
        <f>IF('Levantamento dutos'!$B282&gt;Calculos!$Z$5,IF('Levantamento dutos'!$B282&lt;=Calculos!$Z$6,((('Levantamento dutos'!$B282)/100+('Levantamento dutos'!$C282)/100)*2)*'Levantamento dutos'!$D282,0),0)</f>
        <v>0</v>
      </c>
      <c r="F282" s="59">
        <f>IF('Levantamento dutos'!$B282&gt;Calculos!$Z$7,((('Levantamento dutos'!$B282)/100+('Levantamento dutos'!$C282)/100)*2)*'Levantamento dutos'!$D282,0)</f>
        <v>0</v>
      </c>
      <c r="G282">
        <f>(('Levantamento dutos'!B282+'Levantamento dutos'!C282)/100)*2</f>
        <v>0</v>
      </c>
      <c r="H282" s="58">
        <f>IF(CODE('Levantamento dutos'!$E282)=76,SUM($B282:$F282),0)</f>
        <v>0</v>
      </c>
      <c r="I282">
        <f>IF(CODE('Levantamento dutos'!$E282)=73,SUM($B282:$F282),0)</f>
        <v>0</v>
      </c>
      <c r="J282">
        <f>IF(CODE('Levantamento dutos'!$E282)=80,SUM($B282:$F282),0)</f>
        <v>0</v>
      </c>
      <c r="K282">
        <f>IF(CODE('Levantamento dutos'!$F282)=66,SUM($B282:$F282),0)</f>
        <v>0</v>
      </c>
      <c r="L282">
        <f>IF(CODE('Levantamento dutos'!$F282)=70,SUM($B282:$F282),0)</f>
        <v>0</v>
      </c>
      <c r="M282" s="59">
        <f>IF(CODE('Levantamento dutos'!$E282)=84,SUM($B282:$F282),0)</f>
        <v>0</v>
      </c>
      <c r="N282" s="60">
        <f>IF(CODE('Levantamento dutos'!$G282)=80,IF('Levantamento dutos'!$B282&lt;=200,('Levantamento dutos'!$D282/'Levantamento dutos'!$G$12*Calculos!$G282*2),0),0)</f>
        <v>0</v>
      </c>
      <c r="O282" s="60">
        <f>IF(CODE('Levantamento dutos'!$G282)=80,IF('Levantamento dutos'!$B282&gt;200,('Levantamento dutos'!$D282/'Levantamento dutos'!$G$12*Calculos!$G282*2),0),0)</f>
        <v>0</v>
      </c>
      <c r="P282" s="60">
        <f>IF(CODE('Levantamento dutos'!$G282)=67,('Levantamento dutos'!$D282/'Levantamento dutos'!$G$12*Calculos!$G282*2),0)</f>
        <v>0</v>
      </c>
      <c r="Q282" s="60">
        <f>IF(CODE('Levantamento dutos'!H282)=83,((('Levantamento dutos'!B282/100)+('Levantamento dutos'!$H$12/1000))+(('Levantamento dutos'!C282/100)+('Levantamento dutos'!$H$12)/1000))*2*'Levantamento dutos'!D282,0)</f>
        <v>0</v>
      </c>
      <c r="S282" s="60">
        <f>IF(CODE('Levantamento dutos'!$I282)=83,$Q282,0)</f>
        <v>0</v>
      </c>
      <c r="T282" s="60">
        <f>IF(CODE('Levantamento dutos'!$E282)=76,ROUND((('Levantamento dutos'!$D282/5)*(Calculos!$G282+0.2)*1.2),0),0)</f>
        <v>0</v>
      </c>
      <c r="U282" s="60">
        <f>IF(CODE('Levantamento dutos'!$E282)=73,ROUND((('Levantamento dutos'!$D282/0.5)*(Calculos!$G282+0.2)*1.2),0),0)</f>
        <v>0</v>
      </c>
      <c r="V282" s="60">
        <f>IF(CODE('Levantamento dutos'!$E282)=80,ROUND((('Levantamento dutos'!$D282/0.5)*(Calculos!$G282+0.2)*1.2),0),0)</f>
        <v>0</v>
      </c>
      <c r="W282" s="60">
        <f>IF(CODE('Levantamento dutos'!$E282)=76,'Levantamento dutos'!$D282/0.5*1.5,0)</f>
        <v>0</v>
      </c>
      <c r="X282" s="60">
        <f>IF(CODE('Levantamento dutos'!$E282)=73,'Levantamento dutos'!$D282/0.5*1.5,0)</f>
        <v>0</v>
      </c>
      <c r="Y282" s="60">
        <f>IF(CODE('Levantamento dutos'!$E282)=80,'Levantamento dutos'!$D282/0.5*1.5,0)</f>
        <v>0</v>
      </c>
      <c r="Z282" s="60">
        <f>IF(CODE('Levantamento dutos'!$E282)=76,ROUND(('Levantamento dutos'!$D282)+('Levantamento dutos'!$D282*Calculos!$G282*2)*1.1,0),0)</f>
        <v>0</v>
      </c>
      <c r="AA282" s="60">
        <f>IF(CODE('Levantamento dutos'!$G282)=80,('Levantamento dutos'!$D282/'Levantamento dutos'!$G$12)*8,0)</f>
        <v>0</v>
      </c>
      <c r="AB282" s="60">
        <f>IF(CODE('Levantamento dutos'!$G282)=80,IF('Levantamento dutos'!$B282&gt;30,('Levantamento dutos'!$D282/'Levantamento dutos'!$G$12)*4,0),0)</f>
        <v>0</v>
      </c>
      <c r="AC282" s="60">
        <f>IF('Levantamento dutos'!$B282&gt;220,('Levantamento dutos'!$D282/'Levantamento dutos'!$G$12*Calculos!$G282*2),0)</f>
        <v>0</v>
      </c>
      <c r="AD282" s="60">
        <f>IF(CODE('Levantamento dutos'!$E282)=73,((('Levantamento dutos'!$E$12/1000)+0.02)*'Levantamento dutos'!$D282)*4*1.3,0)</f>
        <v>0</v>
      </c>
      <c r="AE282" s="60">
        <f>IF(CODE('Levantamento dutos'!$E282)=80,((('Levantamento dutos'!$E$12/1000)+0.02)*'Levantamento dutos'!$D282)*4*1.3,0)</f>
        <v>0</v>
      </c>
    </row>
    <row r="283" spans="2:31" x14ac:dyDescent="0.2">
      <c r="B283" s="58">
        <f>IF('Levantamento dutos'!$B283&lt;=Calculos!$Z$3,((('Levantamento dutos'!$B283)/100+('Levantamento dutos'!$C283)/100)*2)*'Levantamento dutos'!$D283,0)</f>
        <v>0</v>
      </c>
      <c r="C283">
        <f>IF('Levantamento dutos'!$B283&gt;Calculos!$Z$3,IF('Levantamento dutos'!$B283&lt;=Calculos!$Z$4,((('Levantamento dutos'!$B283)/100+('Levantamento dutos'!$C283)/100)*2)*'Levantamento dutos'!$D283,0),0)</f>
        <v>0</v>
      </c>
      <c r="D283">
        <f>IF('Levantamento dutos'!$B283&gt;Calculos!$Z$4,IF('Levantamento dutos'!$B283&lt;=Calculos!$Z$5,((('Levantamento dutos'!$B283)/100+('Levantamento dutos'!$C283)/100)*2)*'Levantamento dutos'!$D283,0),0)</f>
        <v>0</v>
      </c>
      <c r="E283">
        <f>IF('Levantamento dutos'!$B283&gt;Calculos!$Z$5,IF('Levantamento dutos'!$B283&lt;=Calculos!$Z$6,((('Levantamento dutos'!$B283)/100+('Levantamento dutos'!$C283)/100)*2)*'Levantamento dutos'!$D283,0),0)</f>
        <v>0</v>
      </c>
      <c r="F283" s="59">
        <f>IF('Levantamento dutos'!$B283&gt;Calculos!$Z$7,((('Levantamento dutos'!$B283)/100+('Levantamento dutos'!$C283)/100)*2)*'Levantamento dutos'!$D283,0)</f>
        <v>0</v>
      </c>
      <c r="G283">
        <f>(('Levantamento dutos'!B283+'Levantamento dutos'!C283)/100)*2</f>
        <v>0</v>
      </c>
      <c r="H283" s="58">
        <f>IF(CODE('Levantamento dutos'!$E283)=76,SUM($B283:$F283),0)</f>
        <v>0</v>
      </c>
      <c r="I283">
        <f>IF(CODE('Levantamento dutos'!$E283)=73,SUM($B283:$F283),0)</f>
        <v>0</v>
      </c>
      <c r="J283">
        <f>IF(CODE('Levantamento dutos'!$E283)=80,SUM($B283:$F283),0)</f>
        <v>0</v>
      </c>
      <c r="K283">
        <f>IF(CODE('Levantamento dutos'!$F283)=66,SUM($B283:$F283),0)</f>
        <v>0</v>
      </c>
      <c r="L283">
        <f>IF(CODE('Levantamento dutos'!$F283)=70,SUM($B283:$F283),0)</f>
        <v>0</v>
      </c>
      <c r="M283" s="59">
        <f>IF(CODE('Levantamento dutos'!$E283)=84,SUM($B283:$F283),0)</f>
        <v>0</v>
      </c>
      <c r="N283" s="60">
        <f>IF(CODE('Levantamento dutos'!$G283)=80,IF('Levantamento dutos'!$B283&lt;=200,('Levantamento dutos'!$D283/'Levantamento dutos'!$G$12*Calculos!$G283*2),0),0)</f>
        <v>0</v>
      </c>
      <c r="O283" s="60">
        <f>IF(CODE('Levantamento dutos'!$G283)=80,IF('Levantamento dutos'!$B283&gt;200,('Levantamento dutos'!$D283/'Levantamento dutos'!$G$12*Calculos!$G283*2),0),0)</f>
        <v>0</v>
      </c>
      <c r="P283" s="60">
        <f>IF(CODE('Levantamento dutos'!$G283)=67,('Levantamento dutos'!$D283/'Levantamento dutos'!$G$12*Calculos!$G283*2),0)</f>
        <v>0</v>
      </c>
      <c r="Q283" s="60">
        <f>IF(CODE('Levantamento dutos'!H283)=83,((('Levantamento dutos'!B283/100)+('Levantamento dutos'!$H$12/1000))+(('Levantamento dutos'!C283/100)+('Levantamento dutos'!$H$12)/1000))*2*'Levantamento dutos'!D283,0)</f>
        <v>0</v>
      </c>
      <c r="S283" s="60">
        <f>IF(CODE('Levantamento dutos'!$I283)=83,$Q283,0)</f>
        <v>0</v>
      </c>
      <c r="T283" s="60">
        <f>IF(CODE('Levantamento dutos'!$E283)=76,ROUND((('Levantamento dutos'!$D283/5)*(Calculos!$G283+0.2)*1.2),0),0)</f>
        <v>0</v>
      </c>
      <c r="U283" s="60">
        <f>IF(CODE('Levantamento dutos'!$E283)=73,ROUND((('Levantamento dutos'!$D283/0.5)*(Calculos!$G283+0.2)*1.2),0),0)</f>
        <v>0</v>
      </c>
      <c r="V283" s="60">
        <f>IF(CODE('Levantamento dutos'!$E283)=80,ROUND((('Levantamento dutos'!$D283/0.5)*(Calculos!$G283+0.2)*1.2),0),0)</f>
        <v>0</v>
      </c>
      <c r="W283" s="60">
        <f>IF(CODE('Levantamento dutos'!$E283)=76,'Levantamento dutos'!$D283/0.5*1.5,0)</f>
        <v>0</v>
      </c>
      <c r="X283" s="60">
        <f>IF(CODE('Levantamento dutos'!$E283)=73,'Levantamento dutos'!$D283/0.5*1.5,0)</f>
        <v>0</v>
      </c>
      <c r="Y283" s="60">
        <f>IF(CODE('Levantamento dutos'!$E283)=80,'Levantamento dutos'!$D283/0.5*1.5,0)</f>
        <v>0</v>
      </c>
      <c r="Z283" s="60">
        <f>IF(CODE('Levantamento dutos'!$E283)=76,ROUND(('Levantamento dutos'!$D283)+('Levantamento dutos'!$D283*Calculos!$G283*2)*1.1,0),0)</f>
        <v>0</v>
      </c>
      <c r="AA283" s="60">
        <f>IF(CODE('Levantamento dutos'!$G283)=80,('Levantamento dutos'!$D283/'Levantamento dutos'!$G$12)*8,0)</f>
        <v>0</v>
      </c>
      <c r="AB283" s="60">
        <f>IF(CODE('Levantamento dutos'!$G283)=80,IF('Levantamento dutos'!$B283&gt;30,('Levantamento dutos'!$D283/'Levantamento dutos'!$G$12)*4,0),0)</f>
        <v>0</v>
      </c>
      <c r="AC283" s="60">
        <f>IF('Levantamento dutos'!$B283&gt;220,('Levantamento dutos'!$D283/'Levantamento dutos'!$G$12*Calculos!$G283*2),0)</f>
        <v>0</v>
      </c>
      <c r="AD283" s="60">
        <f>IF(CODE('Levantamento dutos'!$E283)=73,((('Levantamento dutos'!$E$12/1000)+0.02)*'Levantamento dutos'!$D283)*4*1.3,0)</f>
        <v>0</v>
      </c>
      <c r="AE283" s="60">
        <f>IF(CODE('Levantamento dutos'!$E283)=80,((('Levantamento dutos'!$E$12/1000)+0.02)*'Levantamento dutos'!$D283)*4*1.3,0)</f>
        <v>0</v>
      </c>
    </row>
    <row r="284" spans="2:31" x14ac:dyDescent="0.2">
      <c r="B284" s="58">
        <f>IF('Levantamento dutos'!$B284&lt;=Calculos!$Z$3,((('Levantamento dutos'!$B284)/100+('Levantamento dutos'!$C284)/100)*2)*'Levantamento dutos'!$D284,0)</f>
        <v>0</v>
      </c>
      <c r="C284">
        <f>IF('Levantamento dutos'!$B284&gt;Calculos!$Z$3,IF('Levantamento dutos'!$B284&lt;=Calculos!$Z$4,((('Levantamento dutos'!$B284)/100+('Levantamento dutos'!$C284)/100)*2)*'Levantamento dutos'!$D284,0),0)</f>
        <v>0</v>
      </c>
      <c r="D284">
        <f>IF('Levantamento dutos'!$B284&gt;Calculos!$Z$4,IF('Levantamento dutos'!$B284&lt;=Calculos!$Z$5,((('Levantamento dutos'!$B284)/100+('Levantamento dutos'!$C284)/100)*2)*'Levantamento dutos'!$D284,0),0)</f>
        <v>0</v>
      </c>
      <c r="E284">
        <f>IF('Levantamento dutos'!$B284&gt;Calculos!$Z$5,IF('Levantamento dutos'!$B284&lt;=Calculos!$Z$6,((('Levantamento dutos'!$B284)/100+('Levantamento dutos'!$C284)/100)*2)*'Levantamento dutos'!$D284,0),0)</f>
        <v>0</v>
      </c>
      <c r="F284" s="59">
        <f>IF('Levantamento dutos'!$B284&gt;Calculos!$Z$7,((('Levantamento dutos'!$B284)/100+('Levantamento dutos'!$C284)/100)*2)*'Levantamento dutos'!$D284,0)</f>
        <v>0</v>
      </c>
      <c r="G284">
        <f>(('Levantamento dutos'!B284+'Levantamento dutos'!C284)/100)*2</f>
        <v>0</v>
      </c>
      <c r="H284" s="58">
        <f>IF(CODE('Levantamento dutos'!$E284)=76,SUM($B284:$F284),0)</f>
        <v>0</v>
      </c>
      <c r="I284">
        <f>IF(CODE('Levantamento dutos'!$E284)=73,SUM($B284:$F284),0)</f>
        <v>0</v>
      </c>
      <c r="J284">
        <f>IF(CODE('Levantamento dutos'!$E284)=80,SUM($B284:$F284),0)</f>
        <v>0</v>
      </c>
      <c r="K284">
        <f>IF(CODE('Levantamento dutos'!$F284)=66,SUM($B284:$F284),0)</f>
        <v>0</v>
      </c>
      <c r="L284">
        <f>IF(CODE('Levantamento dutos'!$F284)=70,SUM($B284:$F284),0)</f>
        <v>0</v>
      </c>
      <c r="M284" s="59">
        <f>IF(CODE('Levantamento dutos'!$E284)=84,SUM($B284:$F284),0)</f>
        <v>0</v>
      </c>
      <c r="N284" s="60">
        <f>IF(CODE('Levantamento dutos'!$G284)=80,IF('Levantamento dutos'!$B284&lt;=200,('Levantamento dutos'!$D284/'Levantamento dutos'!$G$12*Calculos!$G284*2),0),0)</f>
        <v>0</v>
      </c>
      <c r="O284" s="60">
        <f>IF(CODE('Levantamento dutos'!$G284)=80,IF('Levantamento dutos'!$B284&gt;200,('Levantamento dutos'!$D284/'Levantamento dutos'!$G$12*Calculos!$G284*2),0),0)</f>
        <v>0</v>
      </c>
      <c r="P284" s="60">
        <f>IF(CODE('Levantamento dutos'!$G284)=67,('Levantamento dutos'!$D284/'Levantamento dutos'!$G$12*Calculos!$G284*2),0)</f>
        <v>0</v>
      </c>
      <c r="Q284" s="60">
        <f>IF(CODE('Levantamento dutos'!H284)=83,((('Levantamento dutos'!B284/100)+('Levantamento dutos'!$H$12/1000))+(('Levantamento dutos'!C284/100)+('Levantamento dutos'!$H$12)/1000))*2*'Levantamento dutos'!D284,0)</f>
        <v>0</v>
      </c>
      <c r="S284" s="60">
        <f>IF(CODE('Levantamento dutos'!$I284)=83,$Q284,0)</f>
        <v>0</v>
      </c>
      <c r="T284" s="60">
        <f>IF(CODE('Levantamento dutos'!$E284)=76,ROUND((('Levantamento dutos'!$D284/5)*(Calculos!$G284+0.2)*1.2),0),0)</f>
        <v>0</v>
      </c>
      <c r="U284" s="60">
        <f>IF(CODE('Levantamento dutos'!$E284)=73,ROUND((('Levantamento dutos'!$D284/0.5)*(Calculos!$G284+0.2)*1.2),0),0)</f>
        <v>0</v>
      </c>
      <c r="V284" s="60">
        <f>IF(CODE('Levantamento dutos'!$E284)=80,ROUND((('Levantamento dutos'!$D284/0.5)*(Calculos!$G284+0.2)*1.2),0),0)</f>
        <v>0</v>
      </c>
      <c r="W284" s="60">
        <f>IF(CODE('Levantamento dutos'!$E284)=76,'Levantamento dutos'!$D284/0.5*1.5,0)</f>
        <v>0</v>
      </c>
      <c r="X284" s="60">
        <f>IF(CODE('Levantamento dutos'!$E284)=73,'Levantamento dutos'!$D284/0.5*1.5,0)</f>
        <v>0</v>
      </c>
      <c r="Y284" s="60">
        <f>IF(CODE('Levantamento dutos'!$E284)=80,'Levantamento dutos'!$D284/0.5*1.5,0)</f>
        <v>0</v>
      </c>
      <c r="Z284" s="60">
        <f>IF(CODE('Levantamento dutos'!$E284)=76,ROUND(('Levantamento dutos'!$D284)+('Levantamento dutos'!$D284*Calculos!$G284*2)*1.1,0),0)</f>
        <v>0</v>
      </c>
      <c r="AA284" s="60">
        <f>IF(CODE('Levantamento dutos'!$G284)=80,('Levantamento dutos'!$D284/'Levantamento dutos'!$G$12)*8,0)</f>
        <v>0</v>
      </c>
      <c r="AB284" s="60">
        <f>IF(CODE('Levantamento dutos'!$G284)=80,IF('Levantamento dutos'!$B284&gt;30,('Levantamento dutos'!$D284/'Levantamento dutos'!$G$12)*4,0),0)</f>
        <v>0</v>
      </c>
      <c r="AC284" s="60">
        <f>IF('Levantamento dutos'!$B284&gt;220,('Levantamento dutos'!$D284/'Levantamento dutos'!$G$12*Calculos!$G284*2),0)</f>
        <v>0</v>
      </c>
      <c r="AD284" s="60">
        <f>IF(CODE('Levantamento dutos'!$E284)=73,((('Levantamento dutos'!$E$12/1000)+0.02)*'Levantamento dutos'!$D284)*4*1.3,0)</f>
        <v>0</v>
      </c>
      <c r="AE284" s="60">
        <f>IF(CODE('Levantamento dutos'!$E284)=80,((('Levantamento dutos'!$E$12/1000)+0.02)*'Levantamento dutos'!$D284)*4*1.3,0)</f>
        <v>0</v>
      </c>
    </row>
    <row r="285" spans="2:31" x14ac:dyDescent="0.2">
      <c r="B285" s="58">
        <f>IF('Levantamento dutos'!$B285&lt;=Calculos!$Z$3,((('Levantamento dutos'!$B285)/100+('Levantamento dutos'!$C285)/100)*2)*'Levantamento dutos'!$D285,0)</f>
        <v>0</v>
      </c>
      <c r="C285">
        <f>IF('Levantamento dutos'!$B285&gt;Calculos!$Z$3,IF('Levantamento dutos'!$B285&lt;=Calculos!$Z$4,((('Levantamento dutos'!$B285)/100+('Levantamento dutos'!$C285)/100)*2)*'Levantamento dutos'!$D285,0),0)</f>
        <v>0</v>
      </c>
      <c r="D285">
        <f>IF('Levantamento dutos'!$B285&gt;Calculos!$Z$4,IF('Levantamento dutos'!$B285&lt;=Calculos!$Z$5,((('Levantamento dutos'!$B285)/100+('Levantamento dutos'!$C285)/100)*2)*'Levantamento dutos'!$D285,0),0)</f>
        <v>0</v>
      </c>
      <c r="E285">
        <f>IF('Levantamento dutos'!$B285&gt;Calculos!$Z$5,IF('Levantamento dutos'!$B285&lt;=Calculos!$Z$6,((('Levantamento dutos'!$B285)/100+('Levantamento dutos'!$C285)/100)*2)*'Levantamento dutos'!$D285,0),0)</f>
        <v>0</v>
      </c>
      <c r="F285" s="59">
        <f>IF('Levantamento dutos'!$B285&gt;Calculos!$Z$7,((('Levantamento dutos'!$B285)/100+('Levantamento dutos'!$C285)/100)*2)*'Levantamento dutos'!$D285,0)</f>
        <v>0</v>
      </c>
      <c r="G285">
        <f>(('Levantamento dutos'!B285+'Levantamento dutos'!C285)/100)*2</f>
        <v>0</v>
      </c>
      <c r="H285" s="58">
        <f>IF(CODE('Levantamento dutos'!$E285)=76,SUM($B285:$F285),0)</f>
        <v>0</v>
      </c>
      <c r="I285">
        <f>IF(CODE('Levantamento dutos'!$E285)=73,SUM($B285:$F285),0)</f>
        <v>0</v>
      </c>
      <c r="J285">
        <f>IF(CODE('Levantamento dutos'!$E285)=80,SUM($B285:$F285),0)</f>
        <v>0</v>
      </c>
      <c r="K285">
        <f>IF(CODE('Levantamento dutos'!$F285)=66,SUM($B285:$F285),0)</f>
        <v>0</v>
      </c>
      <c r="L285">
        <f>IF(CODE('Levantamento dutos'!$F285)=70,SUM($B285:$F285),0)</f>
        <v>0</v>
      </c>
      <c r="M285" s="59">
        <f>IF(CODE('Levantamento dutos'!$E285)=84,SUM($B285:$F285),0)</f>
        <v>0</v>
      </c>
      <c r="N285" s="60">
        <f>IF(CODE('Levantamento dutos'!$G285)=80,IF('Levantamento dutos'!$B285&lt;=200,('Levantamento dutos'!$D285/'Levantamento dutos'!$G$12*Calculos!$G285*2),0),0)</f>
        <v>0</v>
      </c>
      <c r="O285" s="60">
        <f>IF(CODE('Levantamento dutos'!$G285)=80,IF('Levantamento dutos'!$B285&gt;200,('Levantamento dutos'!$D285/'Levantamento dutos'!$G$12*Calculos!$G285*2),0),0)</f>
        <v>0</v>
      </c>
      <c r="P285" s="60">
        <f>IF(CODE('Levantamento dutos'!$G285)=67,('Levantamento dutos'!$D285/'Levantamento dutos'!$G$12*Calculos!$G285*2),0)</f>
        <v>0</v>
      </c>
      <c r="Q285" s="60">
        <f>IF(CODE('Levantamento dutos'!H285)=83,((('Levantamento dutos'!B285/100)+('Levantamento dutos'!$H$12/1000))+(('Levantamento dutos'!C285/100)+('Levantamento dutos'!$H$12)/1000))*2*'Levantamento dutos'!D285,0)</f>
        <v>0</v>
      </c>
      <c r="S285" s="60">
        <f>IF(CODE('Levantamento dutos'!$I285)=83,$Q285,0)</f>
        <v>0</v>
      </c>
      <c r="T285" s="60">
        <f>IF(CODE('Levantamento dutos'!$E285)=76,ROUND((('Levantamento dutos'!$D285/5)*(Calculos!$G285+0.2)*1.2),0),0)</f>
        <v>0</v>
      </c>
      <c r="U285" s="60">
        <f>IF(CODE('Levantamento dutos'!$E285)=73,ROUND((('Levantamento dutos'!$D285/0.5)*(Calculos!$G285+0.2)*1.2),0),0)</f>
        <v>0</v>
      </c>
      <c r="V285" s="60">
        <f>IF(CODE('Levantamento dutos'!$E285)=80,ROUND((('Levantamento dutos'!$D285/0.5)*(Calculos!$G285+0.2)*1.2),0),0)</f>
        <v>0</v>
      </c>
      <c r="W285" s="60">
        <f>IF(CODE('Levantamento dutos'!$E285)=76,'Levantamento dutos'!$D285/0.5*1.5,0)</f>
        <v>0</v>
      </c>
      <c r="X285" s="60">
        <f>IF(CODE('Levantamento dutos'!$E285)=73,'Levantamento dutos'!$D285/0.5*1.5,0)</f>
        <v>0</v>
      </c>
      <c r="Y285" s="60">
        <f>IF(CODE('Levantamento dutos'!$E285)=80,'Levantamento dutos'!$D285/0.5*1.5,0)</f>
        <v>0</v>
      </c>
      <c r="Z285" s="60">
        <f>IF(CODE('Levantamento dutos'!$E285)=76,ROUND(('Levantamento dutos'!$D285)+('Levantamento dutos'!$D285*Calculos!$G285*2)*1.1,0),0)</f>
        <v>0</v>
      </c>
      <c r="AA285" s="60">
        <f>IF(CODE('Levantamento dutos'!$G285)=80,('Levantamento dutos'!$D285/'Levantamento dutos'!$G$12)*8,0)</f>
        <v>0</v>
      </c>
      <c r="AB285" s="60">
        <f>IF(CODE('Levantamento dutos'!$G285)=80,IF('Levantamento dutos'!$B285&gt;30,('Levantamento dutos'!$D285/'Levantamento dutos'!$G$12)*4,0),0)</f>
        <v>0</v>
      </c>
      <c r="AC285" s="60">
        <f>IF('Levantamento dutos'!$B285&gt;220,('Levantamento dutos'!$D285/'Levantamento dutos'!$G$12*Calculos!$G285*2),0)</f>
        <v>0</v>
      </c>
      <c r="AD285" s="60">
        <f>IF(CODE('Levantamento dutos'!$E285)=73,((('Levantamento dutos'!$E$12/1000)+0.02)*'Levantamento dutos'!$D285)*4*1.3,0)</f>
        <v>0</v>
      </c>
      <c r="AE285" s="60">
        <f>IF(CODE('Levantamento dutos'!$E285)=80,((('Levantamento dutos'!$E$12/1000)+0.02)*'Levantamento dutos'!$D285)*4*1.3,0)</f>
        <v>0</v>
      </c>
    </row>
    <row r="286" spans="2:31" x14ac:dyDescent="0.2">
      <c r="B286" s="58">
        <f>IF('Levantamento dutos'!$B286&lt;=Calculos!$Z$3,((('Levantamento dutos'!$B286)/100+('Levantamento dutos'!$C286)/100)*2)*'Levantamento dutos'!$D286,0)</f>
        <v>0</v>
      </c>
      <c r="C286">
        <f>IF('Levantamento dutos'!$B286&gt;Calculos!$Z$3,IF('Levantamento dutos'!$B286&lt;=Calculos!$Z$4,((('Levantamento dutos'!$B286)/100+('Levantamento dutos'!$C286)/100)*2)*'Levantamento dutos'!$D286,0),0)</f>
        <v>0</v>
      </c>
      <c r="D286">
        <f>IF('Levantamento dutos'!$B286&gt;Calculos!$Z$4,IF('Levantamento dutos'!$B286&lt;=Calculos!$Z$5,((('Levantamento dutos'!$B286)/100+('Levantamento dutos'!$C286)/100)*2)*'Levantamento dutos'!$D286,0),0)</f>
        <v>0</v>
      </c>
      <c r="E286">
        <f>IF('Levantamento dutos'!$B286&gt;Calculos!$Z$5,IF('Levantamento dutos'!$B286&lt;=Calculos!$Z$6,((('Levantamento dutos'!$B286)/100+('Levantamento dutos'!$C286)/100)*2)*'Levantamento dutos'!$D286,0),0)</f>
        <v>0</v>
      </c>
      <c r="F286" s="59">
        <f>IF('Levantamento dutos'!$B286&gt;Calculos!$Z$7,((('Levantamento dutos'!$B286)/100+('Levantamento dutos'!$C286)/100)*2)*'Levantamento dutos'!$D286,0)</f>
        <v>0</v>
      </c>
      <c r="G286">
        <f>(('Levantamento dutos'!B286+'Levantamento dutos'!C286)/100)*2</f>
        <v>0</v>
      </c>
      <c r="H286" s="58">
        <f>IF(CODE('Levantamento dutos'!$E286)=76,SUM($B286:$F286),0)</f>
        <v>0</v>
      </c>
      <c r="I286">
        <f>IF(CODE('Levantamento dutos'!$E286)=73,SUM($B286:$F286),0)</f>
        <v>0</v>
      </c>
      <c r="J286">
        <f>IF(CODE('Levantamento dutos'!$E286)=80,SUM($B286:$F286),0)</f>
        <v>0</v>
      </c>
      <c r="K286">
        <f>IF(CODE('Levantamento dutos'!$F286)=66,SUM($B286:$F286),0)</f>
        <v>0</v>
      </c>
      <c r="L286">
        <f>IF(CODE('Levantamento dutos'!$F286)=70,SUM($B286:$F286),0)</f>
        <v>0</v>
      </c>
      <c r="M286" s="59">
        <f>IF(CODE('Levantamento dutos'!$E286)=84,SUM($B286:$F286),0)</f>
        <v>0</v>
      </c>
      <c r="N286" s="60">
        <f>IF(CODE('Levantamento dutos'!$G286)=80,IF('Levantamento dutos'!$B286&lt;=200,('Levantamento dutos'!$D286/'Levantamento dutos'!$G$12*Calculos!$G286*2),0),0)</f>
        <v>0</v>
      </c>
      <c r="O286" s="60">
        <f>IF(CODE('Levantamento dutos'!$G286)=80,IF('Levantamento dutos'!$B286&gt;200,('Levantamento dutos'!$D286/'Levantamento dutos'!$G$12*Calculos!$G286*2),0),0)</f>
        <v>0</v>
      </c>
      <c r="P286" s="60">
        <f>IF(CODE('Levantamento dutos'!$G286)=67,('Levantamento dutos'!$D286/'Levantamento dutos'!$G$12*Calculos!$G286*2),0)</f>
        <v>0</v>
      </c>
      <c r="Q286" s="60">
        <f>IF(CODE('Levantamento dutos'!H286)=83,((('Levantamento dutos'!B286/100)+('Levantamento dutos'!$H$12/1000))+(('Levantamento dutos'!C286/100)+('Levantamento dutos'!$H$12)/1000))*2*'Levantamento dutos'!D286,0)</f>
        <v>0</v>
      </c>
      <c r="S286" s="60">
        <f>IF(CODE('Levantamento dutos'!$I286)=83,$Q286,0)</f>
        <v>0</v>
      </c>
      <c r="T286" s="60">
        <f>IF(CODE('Levantamento dutos'!$E286)=76,ROUND((('Levantamento dutos'!$D286/5)*(Calculos!$G286+0.2)*1.2),0),0)</f>
        <v>0</v>
      </c>
      <c r="U286" s="60">
        <f>IF(CODE('Levantamento dutos'!$E286)=73,ROUND((('Levantamento dutos'!$D286/0.5)*(Calculos!$G286+0.2)*1.2),0),0)</f>
        <v>0</v>
      </c>
      <c r="V286" s="60">
        <f>IF(CODE('Levantamento dutos'!$E286)=80,ROUND((('Levantamento dutos'!$D286/0.5)*(Calculos!$G286+0.2)*1.2),0),0)</f>
        <v>0</v>
      </c>
      <c r="W286" s="60">
        <f>IF(CODE('Levantamento dutos'!$E286)=76,'Levantamento dutos'!$D286/0.5*1.5,0)</f>
        <v>0</v>
      </c>
      <c r="X286" s="60">
        <f>IF(CODE('Levantamento dutos'!$E286)=73,'Levantamento dutos'!$D286/0.5*1.5,0)</f>
        <v>0</v>
      </c>
      <c r="Y286" s="60">
        <f>IF(CODE('Levantamento dutos'!$E286)=80,'Levantamento dutos'!$D286/0.5*1.5,0)</f>
        <v>0</v>
      </c>
      <c r="Z286" s="60">
        <f>IF(CODE('Levantamento dutos'!$E286)=76,ROUND(('Levantamento dutos'!$D286)+('Levantamento dutos'!$D286*Calculos!$G286*2)*1.1,0),0)</f>
        <v>0</v>
      </c>
      <c r="AA286" s="60">
        <f>IF(CODE('Levantamento dutos'!$G286)=80,('Levantamento dutos'!$D286/'Levantamento dutos'!$G$12)*8,0)</f>
        <v>0</v>
      </c>
      <c r="AB286" s="60">
        <f>IF(CODE('Levantamento dutos'!$G286)=80,IF('Levantamento dutos'!$B286&gt;30,('Levantamento dutos'!$D286/'Levantamento dutos'!$G$12)*4,0),0)</f>
        <v>0</v>
      </c>
      <c r="AC286" s="60">
        <f>IF('Levantamento dutos'!$B286&gt;220,('Levantamento dutos'!$D286/'Levantamento dutos'!$G$12*Calculos!$G286*2),0)</f>
        <v>0</v>
      </c>
      <c r="AD286" s="60">
        <f>IF(CODE('Levantamento dutos'!$E286)=73,((('Levantamento dutos'!$E$12/1000)+0.02)*'Levantamento dutos'!$D286)*4*1.3,0)</f>
        <v>0</v>
      </c>
      <c r="AE286" s="60">
        <f>IF(CODE('Levantamento dutos'!$E286)=80,((('Levantamento dutos'!$E$12/1000)+0.02)*'Levantamento dutos'!$D286)*4*1.3,0)</f>
        <v>0</v>
      </c>
    </row>
    <row r="287" spans="2:31" x14ac:dyDescent="0.2">
      <c r="B287" s="58">
        <f>IF('Levantamento dutos'!$B287&lt;=Calculos!$Z$3,((('Levantamento dutos'!$B287)/100+('Levantamento dutos'!$C287)/100)*2)*'Levantamento dutos'!$D287,0)</f>
        <v>0</v>
      </c>
      <c r="C287">
        <f>IF('Levantamento dutos'!$B287&gt;Calculos!$Z$3,IF('Levantamento dutos'!$B287&lt;=Calculos!$Z$4,((('Levantamento dutos'!$B287)/100+('Levantamento dutos'!$C287)/100)*2)*'Levantamento dutos'!$D287,0),0)</f>
        <v>0</v>
      </c>
      <c r="D287">
        <f>IF('Levantamento dutos'!$B287&gt;Calculos!$Z$4,IF('Levantamento dutos'!$B287&lt;=Calculos!$Z$5,((('Levantamento dutos'!$B287)/100+('Levantamento dutos'!$C287)/100)*2)*'Levantamento dutos'!$D287,0),0)</f>
        <v>0</v>
      </c>
      <c r="E287">
        <f>IF('Levantamento dutos'!$B287&gt;Calculos!$Z$5,IF('Levantamento dutos'!$B287&lt;=Calculos!$Z$6,((('Levantamento dutos'!$B287)/100+('Levantamento dutos'!$C287)/100)*2)*'Levantamento dutos'!$D287,0),0)</f>
        <v>0</v>
      </c>
      <c r="F287" s="59">
        <f>IF('Levantamento dutos'!$B287&gt;Calculos!$Z$7,((('Levantamento dutos'!$B287)/100+('Levantamento dutos'!$C287)/100)*2)*'Levantamento dutos'!$D287,0)</f>
        <v>0</v>
      </c>
      <c r="G287">
        <f>(('Levantamento dutos'!B287+'Levantamento dutos'!C287)/100)*2</f>
        <v>0</v>
      </c>
      <c r="H287" s="58">
        <f>IF(CODE('Levantamento dutos'!$E287)=76,SUM($B287:$F287),0)</f>
        <v>0</v>
      </c>
      <c r="I287">
        <f>IF(CODE('Levantamento dutos'!$E287)=73,SUM($B287:$F287),0)</f>
        <v>0</v>
      </c>
      <c r="J287">
        <f>IF(CODE('Levantamento dutos'!$E287)=80,SUM($B287:$F287),0)</f>
        <v>0</v>
      </c>
      <c r="K287">
        <f>IF(CODE('Levantamento dutos'!$F287)=66,SUM($B287:$F287),0)</f>
        <v>0</v>
      </c>
      <c r="L287">
        <f>IF(CODE('Levantamento dutos'!$F287)=70,SUM($B287:$F287),0)</f>
        <v>0</v>
      </c>
      <c r="M287" s="59">
        <f>IF(CODE('Levantamento dutos'!$E287)=84,SUM($B287:$F287),0)</f>
        <v>0</v>
      </c>
      <c r="N287" s="60">
        <f>IF(CODE('Levantamento dutos'!$G287)=80,IF('Levantamento dutos'!$B287&lt;=200,('Levantamento dutos'!$D287/'Levantamento dutos'!$G$12*Calculos!$G287*2),0),0)</f>
        <v>0</v>
      </c>
      <c r="O287" s="60">
        <f>IF(CODE('Levantamento dutos'!$G287)=80,IF('Levantamento dutos'!$B287&gt;200,('Levantamento dutos'!$D287/'Levantamento dutos'!$G$12*Calculos!$G287*2),0),0)</f>
        <v>0</v>
      </c>
      <c r="P287" s="60">
        <f>IF(CODE('Levantamento dutos'!$G287)=67,('Levantamento dutos'!$D287/'Levantamento dutos'!$G$12*Calculos!$G287*2),0)</f>
        <v>0</v>
      </c>
      <c r="Q287" s="60">
        <f>IF(CODE('Levantamento dutos'!H287)=83,((('Levantamento dutos'!B287/100)+('Levantamento dutos'!$H$12/1000))+(('Levantamento dutos'!C287/100)+('Levantamento dutos'!$H$12)/1000))*2*'Levantamento dutos'!D287,0)</f>
        <v>0</v>
      </c>
      <c r="S287" s="60">
        <f>IF(CODE('Levantamento dutos'!$I287)=83,$Q287,0)</f>
        <v>0</v>
      </c>
      <c r="T287" s="60">
        <f>IF(CODE('Levantamento dutos'!$E287)=76,ROUND((('Levantamento dutos'!$D287/5)*(Calculos!$G287+0.2)*1.2),0),0)</f>
        <v>0</v>
      </c>
      <c r="U287" s="60">
        <f>IF(CODE('Levantamento dutos'!$E287)=73,ROUND((('Levantamento dutos'!$D287/0.5)*(Calculos!$G287+0.2)*1.2),0),0)</f>
        <v>0</v>
      </c>
      <c r="V287" s="60">
        <f>IF(CODE('Levantamento dutos'!$E287)=80,ROUND((('Levantamento dutos'!$D287/0.5)*(Calculos!$G287+0.2)*1.2),0),0)</f>
        <v>0</v>
      </c>
      <c r="W287" s="60">
        <f>IF(CODE('Levantamento dutos'!$E287)=76,'Levantamento dutos'!$D287/0.5*1.5,0)</f>
        <v>0</v>
      </c>
      <c r="X287" s="60">
        <f>IF(CODE('Levantamento dutos'!$E287)=73,'Levantamento dutos'!$D287/0.5*1.5,0)</f>
        <v>0</v>
      </c>
      <c r="Y287" s="60">
        <f>IF(CODE('Levantamento dutos'!$E287)=80,'Levantamento dutos'!$D287/0.5*1.5,0)</f>
        <v>0</v>
      </c>
      <c r="Z287" s="60">
        <f>IF(CODE('Levantamento dutos'!$E287)=76,ROUND(('Levantamento dutos'!$D287)+('Levantamento dutos'!$D287*Calculos!$G287*2)*1.1,0),0)</f>
        <v>0</v>
      </c>
      <c r="AA287" s="60">
        <f>IF(CODE('Levantamento dutos'!$G287)=80,('Levantamento dutos'!$D287/'Levantamento dutos'!$G$12)*8,0)</f>
        <v>0</v>
      </c>
      <c r="AB287" s="60">
        <f>IF(CODE('Levantamento dutos'!$G287)=80,IF('Levantamento dutos'!$B287&gt;30,('Levantamento dutos'!$D287/'Levantamento dutos'!$G$12)*4,0),0)</f>
        <v>0</v>
      </c>
      <c r="AC287" s="60">
        <f>IF('Levantamento dutos'!$B287&gt;220,('Levantamento dutos'!$D287/'Levantamento dutos'!$G$12*Calculos!$G287*2),0)</f>
        <v>0</v>
      </c>
      <c r="AD287" s="60">
        <f>IF(CODE('Levantamento dutos'!$E287)=73,((('Levantamento dutos'!$E$12/1000)+0.02)*'Levantamento dutos'!$D287)*4*1.3,0)</f>
        <v>0</v>
      </c>
      <c r="AE287" s="60">
        <f>IF(CODE('Levantamento dutos'!$E287)=80,((('Levantamento dutos'!$E$12/1000)+0.02)*'Levantamento dutos'!$D287)*4*1.3,0)</f>
        <v>0</v>
      </c>
    </row>
    <row r="288" spans="2:31" x14ac:dyDescent="0.2">
      <c r="B288" s="58">
        <f>IF('Levantamento dutos'!$B288&lt;=Calculos!$Z$3,((('Levantamento dutos'!$B288)/100+('Levantamento dutos'!$C288)/100)*2)*'Levantamento dutos'!$D288,0)</f>
        <v>0</v>
      </c>
      <c r="C288">
        <f>IF('Levantamento dutos'!$B288&gt;Calculos!$Z$3,IF('Levantamento dutos'!$B288&lt;=Calculos!$Z$4,((('Levantamento dutos'!$B288)/100+('Levantamento dutos'!$C288)/100)*2)*'Levantamento dutos'!$D288,0),0)</f>
        <v>0</v>
      </c>
      <c r="D288">
        <f>IF('Levantamento dutos'!$B288&gt;Calculos!$Z$4,IF('Levantamento dutos'!$B288&lt;=Calculos!$Z$5,((('Levantamento dutos'!$B288)/100+('Levantamento dutos'!$C288)/100)*2)*'Levantamento dutos'!$D288,0),0)</f>
        <v>0</v>
      </c>
      <c r="E288">
        <f>IF('Levantamento dutos'!$B288&gt;Calculos!$Z$5,IF('Levantamento dutos'!$B288&lt;=Calculos!$Z$6,((('Levantamento dutos'!$B288)/100+('Levantamento dutos'!$C288)/100)*2)*'Levantamento dutos'!$D288,0),0)</f>
        <v>0</v>
      </c>
      <c r="F288" s="59">
        <f>IF('Levantamento dutos'!$B288&gt;Calculos!$Z$7,((('Levantamento dutos'!$B288)/100+('Levantamento dutos'!$C288)/100)*2)*'Levantamento dutos'!$D288,0)</f>
        <v>0</v>
      </c>
      <c r="G288">
        <f>(('Levantamento dutos'!B288+'Levantamento dutos'!C288)/100)*2</f>
        <v>0</v>
      </c>
      <c r="H288" s="58">
        <f>IF(CODE('Levantamento dutos'!$E288)=76,SUM($B288:$F288),0)</f>
        <v>0</v>
      </c>
      <c r="I288">
        <f>IF(CODE('Levantamento dutos'!$E288)=73,SUM($B288:$F288),0)</f>
        <v>0</v>
      </c>
      <c r="J288">
        <f>IF(CODE('Levantamento dutos'!$E288)=80,SUM($B288:$F288),0)</f>
        <v>0</v>
      </c>
      <c r="K288">
        <f>IF(CODE('Levantamento dutos'!$F288)=66,SUM($B288:$F288),0)</f>
        <v>0</v>
      </c>
      <c r="L288">
        <f>IF(CODE('Levantamento dutos'!$F288)=70,SUM($B288:$F288),0)</f>
        <v>0</v>
      </c>
      <c r="M288" s="59">
        <f>IF(CODE('Levantamento dutos'!$E288)=84,SUM($B288:$F288),0)</f>
        <v>0</v>
      </c>
      <c r="N288" s="60">
        <f>IF(CODE('Levantamento dutos'!$G288)=80,IF('Levantamento dutos'!$B288&lt;=200,('Levantamento dutos'!$D288/'Levantamento dutos'!$G$12*Calculos!$G288*2),0),0)</f>
        <v>0</v>
      </c>
      <c r="O288" s="60">
        <f>IF(CODE('Levantamento dutos'!$G288)=80,IF('Levantamento dutos'!$B288&gt;200,('Levantamento dutos'!$D288/'Levantamento dutos'!$G$12*Calculos!$G288*2),0),0)</f>
        <v>0</v>
      </c>
      <c r="P288" s="60">
        <f>IF(CODE('Levantamento dutos'!$G288)=67,('Levantamento dutos'!$D288/'Levantamento dutos'!$G$12*Calculos!$G288*2),0)</f>
        <v>0</v>
      </c>
      <c r="Q288" s="60">
        <f>IF(CODE('Levantamento dutos'!H288)=83,((('Levantamento dutos'!B288/100)+('Levantamento dutos'!$H$12/1000))+(('Levantamento dutos'!C288/100)+('Levantamento dutos'!$H$12)/1000))*2*'Levantamento dutos'!D288,0)</f>
        <v>0</v>
      </c>
      <c r="S288" s="60">
        <f>IF(CODE('Levantamento dutos'!$I288)=83,$Q288,0)</f>
        <v>0</v>
      </c>
      <c r="T288" s="60">
        <f>IF(CODE('Levantamento dutos'!$E288)=76,ROUND((('Levantamento dutos'!$D288/5)*(Calculos!$G288+0.2)*1.2),0),0)</f>
        <v>0</v>
      </c>
      <c r="U288" s="60">
        <f>IF(CODE('Levantamento dutos'!$E288)=73,ROUND((('Levantamento dutos'!$D288/0.5)*(Calculos!$G288+0.2)*1.2),0),0)</f>
        <v>0</v>
      </c>
      <c r="V288" s="60">
        <f>IF(CODE('Levantamento dutos'!$E288)=80,ROUND((('Levantamento dutos'!$D288/0.5)*(Calculos!$G288+0.2)*1.2),0),0)</f>
        <v>0</v>
      </c>
      <c r="W288" s="60">
        <f>IF(CODE('Levantamento dutos'!$E288)=76,'Levantamento dutos'!$D288/0.5*1.5,0)</f>
        <v>0</v>
      </c>
      <c r="X288" s="60">
        <f>IF(CODE('Levantamento dutos'!$E288)=73,'Levantamento dutos'!$D288/0.5*1.5,0)</f>
        <v>0</v>
      </c>
      <c r="Y288" s="60">
        <f>IF(CODE('Levantamento dutos'!$E288)=80,'Levantamento dutos'!$D288/0.5*1.5,0)</f>
        <v>0</v>
      </c>
      <c r="Z288" s="60">
        <f>IF(CODE('Levantamento dutos'!$E288)=76,ROUND(('Levantamento dutos'!$D288)+('Levantamento dutos'!$D288*Calculos!$G288*2)*1.1,0),0)</f>
        <v>0</v>
      </c>
      <c r="AA288" s="60">
        <f>IF(CODE('Levantamento dutos'!$G288)=80,('Levantamento dutos'!$D288/'Levantamento dutos'!$G$12)*8,0)</f>
        <v>0</v>
      </c>
      <c r="AB288" s="60">
        <f>IF(CODE('Levantamento dutos'!$G288)=80,IF('Levantamento dutos'!$B288&gt;30,('Levantamento dutos'!$D288/'Levantamento dutos'!$G$12)*4,0),0)</f>
        <v>0</v>
      </c>
      <c r="AC288" s="60">
        <f>IF('Levantamento dutos'!$B288&gt;220,('Levantamento dutos'!$D288/'Levantamento dutos'!$G$12*Calculos!$G288*2),0)</f>
        <v>0</v>
      </c>
      <c r="AD288" s="60">
        <f>IF(CODE('Levantamento dutos'!$E288)=73,((('Levantamento dutos'!$E$12/1000)+0.02)*'Levantamento dutos'!$D288)*4*1.3,0)</f>
        <v>0</v>
      </c>
      <c r="AE288" s="60">
        <f>IF(CODE('Levantamento dutos'!$E288)=80,((('Levantamento dutos'!$E$12/1000)+0.02)*'Levantamento dutos'!$D288)*4*1.3,0)</f>
        <v>0</v>
      </c>
    </row>
    <row r="289" spans="2:31" x14ac:dyDescent="0.2">
      <c r="B289" s="58">
        <f>IF('Levantamento dutos'!$B289&lt;=Calculos!$Z$3,((('Levantamento dutos'!$B289)/100+('Levantamento dutos'!$C289)/100)*2)*'Levantamento dutos'!$D289,0)</f>
        <v>0</v>
      </c>
      <c r="C289">
        <f>IF('Levantamento dutos'!$B289&gt;Calculos!$Z$3,IF('Levantamento dutos'!$B289&lt;=Calculos!$Z$4,((('Levantamento dutos'!$B289)/100+('Levantamento dutos'!$C289)/100)*2)*'Levantamento dutos'!$D289,0),0)</f>
        <v>0</v>
      </c>
      <c r="D289">
        <f>IF('Levantamento dutos'!$B289&gt;Calculos!$Z$4,IF('Levantamento dutos'!$B289&lt;=Calculos!$Z$5,((('Levantamento dutos'!$B289)/100+('Levantamento dutos'!$C289)/100)*2)*'Levantamento dutos'!$D289,0),0)</f>
        <v>0</v>
      </c>
      <c r="E289">
        <f>IF('Levantamento dutos'!$B289&gt;Calculos!$Z$5,IF('Levantamento dutos'!$B289&lt;=Calculos!$Z$6,((('Levantamento dutos'!$B289)/100+('Levantamento dutos'!$C289)/100)*2)*'Levantamento dutos'!$D289,0),0)</f>
        <v>0</v>
      </c>
      <c r="F289" s="59">
        <f>IF('Levantamento dutos'!$B289&gt;Calculos!$Z$7,((('Levantamento dutos'!$B289)/100+('Levantamento dutos'!$C289)/100)*2)*'Levantamento dutos'!$D289,0)</f>
        <v>0</v>
      </c>
      <c r="G289">
        <f>(('Levantamento dutos'!B289+'Levantamento dutos'!C289)/100)*2</f>
        <v>0</v>
      </c>
      <c r="H289" s="58">
        <f>IF(CODE('Levantamento dutos'!$E289)=76,SUM($B289:$F289),0)</f>
        <v>0</v>
      </c>
      <c r="I289">
        <f>IF(CODE('Levantamento dutos'!$E289)=73,SUM($B289:$F289),0)</f>
        <v>0</v>
      </c>
      <c r="J289">
        <f>IF(CODE('Levantamento dutos'!$E289)=80,SUM($B289:$F289),0)</f>
        <v>0</v>
      </c>
      <c r="K289">
        <f>IF(CODE('Levantamento dutos'!$F289)=66,SUM($B289:$F289),0)</f>
        <v>0</v>
      </c>
      <c r="L289">
        <f>IF(CODE('Levantamento dutos'!$F289)=70,SUM($B289:$F289),0)</f>
        <v>0</v>
      </c>
      <c r="M289" s="59">
        <f>IF(CODE('Levantamento dutos'!$E289)=84,SUM($B289:$F289),0)</f>
        <v>0</v>
      </c>
      <c r="N289" s="60">
        <f>IF(CODE('Levantamento dutos'!$G289)=80,IF('Levantamento dutos'!$B289&lt;=200,('Levantamento dutos'!$D289/'Levantamento dutos'!$G$12*Calculos!$G289*2),0),0)</f>
        <v>0</v>
      </c>
      <c r="O289" s="60">
        <f>IF(CODE('Levantamento dutos'!$G289)=80,IF('Levantamento dutos'!$B289&gt;200,('Levantamento dutos'!$D289/'Levantamento dutos'!$G$12*Calculos!$G289*2),0),0)</f>
        <v>0</v>
      </c>
      <c r="P289" s="60">
        <f>IF(CODE('Levantamento dutos'!$G289)=67,('Levantamento dutos'!$D289/'Levantamento dutos'!$G$12*Calculos!$G289*2),0)</f>
        <v>0</v>
      </c>
      <c r="Q289" s="60">
        <f>IF(CODE('Levantamento dutos'!H289)=83,((('Levantamento dutos'!B289/100)+('Levantamento dutos'!$H$12/1000))+(('Levantamento dutos'!C289/100)+('Levantamento dutos'!$H$12)/1000))*2*'Levantamento dutos'!D289,0)</f>
        <v>0</v>
      </c>
      <c r="S289" s="60">
        <f>IF(CODE('Levantamento dutos'!$I289)=83,$Q289,0)</f>
        <v>0</v>
      </c>
      <c r="T289" s="60">
        <f>IF(CODE('Levantamento dutos'!$E289)=76,ROUND((('Levantamento dutos'!$D289/5)*(Calculos!$G289+0.2)*1.2),0),0)</f>
        <v>0</v>
      </c>
      <c r="U289" s="60">
        <f>IF(CODE('Levantamento dutos'!$E289)=73,ROUND((('Levantamento dutos'!$D289/0.5)*(Calculos!$G289+0.2)*1.2),0),0)</f>
        <v>0</v>
      </c>
      <c r="V289" s="60">
        <f>IF(CODE('Levantamento dutos'!$E289)=80,ROUND((('Levantamento dutos'!$D289/0.5)*(Calculos!$G289+0.2)*1.2),0),0)</f>
        <v>0</v>
      </c>
      <c r="W289" s="60">
        <f>IF(CODE('Levantamento dutos'!$E289)=76,'Levantamento dutos'!$D289/0.5*1.5,0)</f>
        <v>0</v>
      </c>
      <c r="X289" s="60">
        <f>IF(CODE('Levantamento dutos'!$E289)=73,'Levantamento dutos'!$D289/0.5*1.5,0)</f>
        <v>0</v>
      </c>
      <c r="Y289" s="60">
        <f>IF(CODE('Levantamento dutos'!$E289)=80,'Levantamento dutos'!$D289/0.5*1.5,0)</f>
        <v>0</v>
      </c>
      <c r="Z289" s="60">
        <f>IF(CODE('Levantamento dutos'!$E289)=76,ROUND(('Levantamento dutos'!$D289)+('Levantamento dutos'!$D289*Calculos!$G289*2)*1.1,0),0)</f>
        <v>0</v>
      </c>
      <c r="AA289" s="60">
        <f>IF(CODE('Levantamento dutos'!$G289)=80,('Levantamento dutos'!$D289/'Levantamento dutos'!$G$12)*8,0)</f>
        <v>0</v>
      </c>
      <c r="AB289" s="60">
        <f>IF(CODE('Levantamento dutos'!$G289)=80,IF('Levantamento dutos'!$B289&gt;30,('Levantamento dutos'!$D289/'Levantamento dutos'!$G$12)*4,0),0)</f>
        <v>0</v>
      </c>
      <c r="AC289" s="60">
        <f>IF('Levantamento dutos'!$B289&gt;220,('Levantamento dutos'!$D289/'Levantamento dutos'!$G$12*Calculos!$G289*2),0)</f>
        <v>0</v>
      </c>
      <c r="AD289" s="60">
        <f>IF(CODE('Levantamento dutos'!$E289)=73,((('Levantamento dutos'!$E$12/1000)+0.02)*'Levantamento dutos'!$D289)*4*1.3,0)</f>
        <v>0</v>
      </c>
      <c r="AE289" s="60">
        <f>IF(CODE('Levantamento dutos'!$E289)=80,((('Levantamento dutos'!$E$12/1000)+0.02)*'Levantamento dutos'!$D289)*4*1.3,0)</f>
        <v>0</v>
      </c>
    </row>
    <row r="290" spans="2:31" x14ac:dyDescent="0.2">
      <c r="B290" s="58">
        <f>IF('Levantamento dutos'!$B290&lt;=Calculos!$Z$3,((('Levantamento dutos'!$B290)/100+('Levantamento dutos'!$C290)/100)*2)*'Levantamento dutos'!$D290,0)</f>
        <v>0</v>
      </c>
      <c r="C290">
        <f>IF('Levantamento dutos'!$B290&gt;Calculos!$Z$3,IF('Levantamento dutos'!$B290&lt;=Calculos!$Z$4,((('Levantamento dutos'!$B290)/100+('Levantamento dutos'!$C290)/100)*2)*'Levantamento dutos'!$D290,0),0)</f>
        <v>0</v>
      </c>
      <c r="D290">
        <f>IF('Levantamento dutos'!$B290&gt;Calculos!$Z$4,IF('Levantamento dutos'!$B290&lt;=Calculos!$Z$5,((('Levantamento dutos'!$B290)/100+('Levantamento dutos'!$C290)/100)*2)*'Levantamento dutos'!$D290,0),0)</f>
        <v>0</v>
      </c>
      <c r="E290">
        <f>IF('Levantamento dutos'!$B290&gt;Calculos!$Z$5,IF('Levantamento dutos'!$B290&lt;=Calculos!$Z$6,((('Levantamento dutos'!$B290)/100+('Levantamento dutos'!$C290)/100)*2)*'Levantamento dutos'!$D290,0),0)</f>
        <v>0</v>
      </c>
      <c r="F290" s="59">
        <f>IF('Levantamento dutos'!$B290&gt;Calculos!$Z$7,((('Levantamento dutos'!$B290)/100+('Levantamento dutos'!$C290)/100)*2)*'Levantamento dutos'!$D290,0)</f>
        <v>0</v>
      </c>
      <c r="G290">
        <f>(('Levantamento dutos'!B290+'Levantamento dutos'!C290)/100)*2</f>
        <v>0</v>
      </c>
      <c r="H290" s="58">
        <f>IF(CODE('Levantamento dutos'!$E290)=76,SUM($B290:$F290),0)</f>
        <v>0</v>
      </c>
      <c r="I290">
        <f>IF(CODE('Levantamento dutos'!$E290)=73,SUM($B290:$F290),0)</f>
        <v>0</v>
      </c>
      <c r="J290">
        <f>IF(CODE('Levantamento dutos'!$E290)=80,SUM($B290:$F290),0)</f>
        <v>0</v>
      </c>
      <c r="K290">
        <f>IF(CODE('Levantamento dutos'!$F290)=66,SUM($B290:$F290),0)</f>
        <v>0</v>
      </c>
      <c r="L290">
        <f>IF(CODE('Levantamento dutos'!$F290)=70,SUM($B290:$F290),0)</f>
        <v>0</v>
      </c>
      <c r="M290" s="59">
        <f>IF(CODE('Levantamento dutos'!$E290)=84,SUM($B290:$F290),0)</f>
        <v>0</v>
      </c>
      <c r="N290" s="60">
        <f>IF(CODE('Levantamento dutos'!$G290)=80,IF('Levantamento dutos'!$B290&lt;=200,('Levantamento dutos'!$D290/'Levantamento dutos'!$G$12*Calculos!$G290*2),0),0)</f>
        <v>0</v>
      </c>
      <c r="O290" s="60">
        <f>IF(CODE('Levantamento dutos'!$G290)=80,IF('Levantamento dutos'!$B290&gt;200,('Levantamento dutos'!$D290/'Levantamento dutos'!$G$12*Calculos!$G290*2),0),0)</f>
        <v>0</v>
      </c>
      <c r="P290" s="60">
        <f>IF(CODE('Levantamento dutos'!$G290)=67,('Levantamento dutos'!$D290/'Levantamento dutos'!$G$12*Calculos!$G290*2),0)</f>
        <v>0</v>
      </c>
      <c r="Q290" s="60">
        <f>IF(CODE('Levantamento dutos'!H290)=83,((('Levantamento dutos'!B290/100)+('Levantamento dutos'!$H$12/1000))+(('Levantamento dutos'!C290/100)+('Levantamento dutos'!$H$12)/1000))*2*'Levantamento dutos'!D290,0)</f>
        <v>0</v>
      </c>
      <c r="S290" s="60">
        <f>IF(CODE('Levantamento dutos'!$I290)=83,$Q290,0)</f>
        <v>0</v>
      </c>
      <c r="T290" s="60">
        <f>IF(CODE('Levantamento dutos'!$E290)=76,ROUND((('Levantamento dutos'!$D290/5)*(Calculos!$G290+0.2)*1.2),0),0)</f>
        <v>0</v>
      </c>
      <c r="U290" s="60">
        <f>IF(CODE('Levantamento dutos'!$E290)=73,ROUND((('Levantamento dutos'!$D290/0.5)*(Calculos!$G290+0.2)*1.2),0),0)</f>
        <v>0</v>
      </c>
      <c r="V290" s="60">
        <f>IF(CODE('Levantamento dutos'!$E290)=80,ROUND((('Levantamento dutos'!$D290/0.5)*(Calculos!$G290+0.2)*1.2),0),0)</f>
        <v>0</v>
      </c>
      <c r="W290" s="60">
        <f>IF(CODE('Levantamento dutos'!$E290)=76,'Levantamento dutos'!$D290/0.5*1.5,0)</f>
        <v>0</v>
      </c>
      <c r="X290" s="60">
        <f>IF(CODE('Levantamento dutos'!$E290)=73,'Levantamento dutos'!$D290/0.5*1.5,0)</f>
        <v>0</v>
      </c>
      <c r="Y290" s="60">
        <f>IF(CODE('Levantamento dutos'!$E290)=80,'Levantamento dutos'!$D290/0.5*1.5,0)</f>
        <v>0</v>
      </c>
      <c r="Z290" s="60">
        <f>IF(CODE('Levantamento dutos'!$E290)=76,ROUND(('Levantamento dutos'!$D290)+('Levantamento dutos'!$D290*Calculos!$G290*2)*1.1,0),0)</f>
        <v>0</v>
      </c>
      <c r="AA290" s="60">
        <f>IF(CODE('Levantamento dutos'!$G290)=80,('Levantamento dutos'!$D290/'Levantamento dutos'!$G$12)*8,0)</f>
        <v>0</v>
      </c>
      <c r="AB290" s="60">
        <f>IF(CODE('Levantamento dutos'!$G290)=80,IF('Levantamento dutos'!$B290&gt;30,('Levantamento dutos'!$D290/'Levantamento dutos'!$G$12)*4,0),0)</f>
        <v>0</v>
      </c>
      <c r="AC290" s="60">
        <f>IF('Levantamento dutos'!$B290&gt;220,('Levantamento dutos'!$D290/'Levantamento dutos'!$G$12*Calculos!$G290*2),0)</f>
        <v>0</v>
      </c>
      <c r="AD290" s="60">
        <f>IF(CODE('Levantamento dutos'!$E290)=73,((('Levantamento dutos'!$E$12/1000)+0.02)*'Levantamento dutos'!$D290)*4*1.3,0)</f>
        <v>0</v>
      </c>
      <c r="AE290" s="60">
        <f>IF(CODE('Levantamento dutos'!$E290)=80,((('Levantamento dutos'!$E$12/1000)+0.02)*'Levantamento dutos'!$D290)*4*1.3,0)</f>
        <v>0</v>
      </c>
    </row>
    <row r="291" spans="2:31" x14ac:dyDescent="0.2">
      <c r="B291" s="58">
        <f>IF('Levantamento dutos'!$B291&lt;=Calculos!$Z$3,((('Levantamento dutos'!$B291)/100+('Levantamento dutos'!$C291)/100)*2)*'Levantamento dutos'!$D291,0)</f>
        <v>0</v>
      </c>
      <c r="C291">
        <f>IF('Levantamento dutos'!$B291&gt;Calculos!$Z$3,IF('Levantamento dutos'!$B291&lt;=Calculos!$Z$4,((('Levantamento dutos'!$B291)/100+('Levantamento dutos'!$C291)/100)*2)*'Levantamento dutos'!$D291,0),0)</f>
        <v>0</v>
      </c>
      <c r="D291">
        <f>IF('Levantamento dutos'!$B291&gt;Calculos!$Z$4,IF('Levantamento dutos'!$B291&lt;=Calculos!$Z$5,((('Levantamento dutos'!$B291)/100+('Levantamento dutos'!$C291)/100)*2)*'Levantamento dutos'!$D291,0),0)</f>
        <v>0</v>
      </c>
      <c r="E291">
        <f>IF('Levantamento dutos'!$B291&gt;Calculos!$Z$5,IF('Levantamento dutos'!$B291&lt;=Calculos!$Z$6,((('Levantamento dutos'!$B291)/100+('Levantamento dutos'!$C291)/100)*2)*'Levantamento dutos'!$D291,0),0)</f>
        <v>0</v>
      </c>
      <c r="F291" s="59">
        <f>IF('Levantamento dutos'!$B291&gt;Calculos!$Z$7,((('Levantamento dutos'!$B291)/100+('Levantamento dutos'!$C291)/100)*2)*'Levantamento dutos'!$D291,0)</f>
        <v>0</v>
      </c>
      <c r="G291">
        <f>(('Levantamento dutos'!B291+'Levantamento dutos'!C291)/100)*2</f>
        <v>0</v>
      </c>
      <c r="H291" s="58">
        <f>IF(CODE('Levantamento dutos'!$E291)=76,SUM($B291:$F291),0)</f>
        <v>0</v>
      </c>
      <c r="I291">
        <f>IF(CODE('Levantamento dutos'!$E291)=73,SUM($B291:$F291),0)</f>
        <v>0</v>
      </c>
      <c r="J291">
        <f>IF(CODE('Levantamento dutos'!$E291)=80,SUM($B291:$F291),0)</f>
        <v>0</v>
      </c>
      <c r="K291">
        <f>IF(CODE('Levantamento dutos'!$F291)=66,SUM($B291:$F291),0)</f>
        <v>0</v>
      </c>
      <c r="L291">
        <f>IF(CODE('Levantamento dutos'!$F291)=70,SUM($B291:$F291),0)</f>
        <v>0</v>
      </c>
      <c r="M291" s="59">
        <f>IF(CODE('Levantamento dutos'!$E291)=84,SUM($B291:$F291),0)</f>
        <v>0</v>
      </c>
      <c r="N291" s="60">
        <f>IF(CODE('Levantamento dutos'!$G291)=80,IF('Levantamento dutos'!$B291&lt;=200,('Levantamento dutos'!$D291/'Levantamento dutos'!$G$12*Calculos!$G291*2),0),0)</f>
        <v>0</v>
      </c>
      <c r="O291" s="60">
        <f>IF(CODE('Levantamento dutos'!$G291)=80,IF('Levantamento dutos'!$B291&gt;200,('Levantamento dutos'!$D291/'Levantamento dutos'!$G$12*Calculos!$G291*2),0),0)</f>
        <v>0</v>
      </c>
      <c r="P291" s="60">
        <f>IF(CODE('Levantamento dutos'!$G291)=67,('Levantamento dutos'!$D291/'Levantamento dutos'!$G$12*Calculos!$G291*2),0)</f>
        <v>0</v>
      </c>
      <c r="Q291" s="60">
        <f>IF(CODE('Levantamento dutos'!H291)=83,((('Levantamento dutos'!B291/100)+('Levantamento dutos'!$H$12/1000))+(('Levantamento dutos'!C291/100)+('Levantamento dutos'!$H$12)/1000))*2*'Levantamento dutos'!D291,0)</f>
        <v>0</v>
      </c>
      <c r="S291" s="60">
        <f>IF(CODE('Levantamento dutos'!$I291)=83,$Q291,0)</f>
        <v>0</v>
      </c>
      <c r="T291" s="60">
        <f>IF(CODE('Levantamento dutos'!$E291)=76,ROUND((('Levantamento dutos'!$D291/5)*(Calculos!$G291+0.2)*1.2),0),0)</f>
        <v>0</v>
      </c>
      <c r="U291" s="60">
        <f>IF(CODE('Levantamento dutos'!$E291)=73,ROUND((('Levantamento dutos'!$D291/0.5)*(Calculos!$G291+0.2)*1.2),0),0)</f>
        <v>0</v>
      </c>
      <c r="V291" s="60">
        <f>IF(CODE('Levantamento dutos'!$E291)=80,ROUND((('Levantamento dutos'!$D291/0.5)*(Calculos!$G291+0.2)*1.2),0),0)</f>
        <v>0</v>
      </c>
      <c r="W291" s="60">
        <f>IF(CODE('Levantamento dutos'!$E291)=76,'Levantamento dutos'!$D291/0.5*1.5,0)</f>
        <v>0</v>
      </c>
      <c r="X291" s="60">
        <f>IF(CODE('Levantamento dutos'!$E291)=73,'Levantamento dutos'!$D291/0.5*1.5,0)</f>
        <v>0</v>
      </c>
      <c r="Y291" s="60">
        <f>IF(CODE('Levantamento dutos'!$E291)=80,'Levantamento dutos'!$D291/0.5*1.5,0)</f>
        <v>0</v>
      </c>
      <c r="Z291" s="60">
        <f>IF(CODE('Levantamento dutos'!$E291)=76,ROUND(('Levantamento dutos'!$D291)+('Levantamento dutos'!$D291*Calculos!$G291*2)*1.1,0),0)</f>
        <v>0</v>
      </c>
      <c r="AA291" s="60">
        <f>IF(CODE('Levantamento dutos'!$G291)=80,('Levantamento dutos'!$D291/'Levantamento dutos'!$G$12)*8,0)</f>
        <v>0</v>
      </c>
      <c r="AB291" s="60">
        <f>IF(CODE('Levantamento dutos'!$G291)=80,IF('Levantamento dutos'!$B291&gt;30,('Levantamento dutos'!$D291/'Levantamento dutos'!$G$12)*4,0),0)</f>
        <v>0</v>
      </c>
      <c r="AC291" s="60">
        <f>IF('Levantamento dutos'!$B291&gt;220,('Levantamento dutos'!$D291/'Levantamento dutos'!$G$12*Calculos!$G291*2),0)</f>
        <v>0</v>
      </c>
      <c r="AD291" s="60">
        <f>IF(CODE('Levantamento dutos'!$E291)=73,((('Levantamento dutos'!$E$12/1000)+0.02)*'Levantamento dutos'!$D291)*4*1.3,0)</f>
        <v>0</v>
      </c>
      <c r="AE291" s="60">
        <f>IF(CODE('Levantamento dutos'!$E291)=80,((('Levantamento dutos'!$E$12/1000)+0.02)*'Levantamento dutos'!$D291)*4*1.3,0)</f>
        <v>0</v>
      </c>
    </row>
    <row r="292" spans="2:31" x14ac:dyDescent="0.2">
      <c r="B292" s="58">
        <f>IF('Levantamento dutos'!$B292&lt;=Calculos!$Z$3,((('Levantamento dutos'!$B292)/100+('Levantamento dutos'!$C292)/100)*2)*'Levantamento dutos'!$D292,0)</f>
        <v>0</v>
      </c>
      <c r="C292">
        <f>IF('Levantamento dutos'!$B292&gt;Calculos!$Z$3,IF('Levantamento dutos'!$B292&lt;=Calculos!$Z$4,((('Levantamento dutos'!$B292)/100+('Levantamento dutos'!$C292)/100)*2)*'Levantamento dutos'!$D292,0),0)</f>
        <v>0</v>
      </c>
      <c r="D292">
        <f>IF('Levantamento dutos'!$B292&gt;Calculos!$Z$4,IF('Levantamento dutos'!$B292&lt;=Calculos!$Z$5,((('Levantamento dutos'!$B292)/100+('Levantamento dutos'!$C292)/100)*2)*'Levantamento dutos'!$D292,0),0)</f>
        <v>0</v>
      </c>
      <c r="E292">
        <f>IF('Levantamento dutos'!$B292&gt;Calculos!$Z$5,IF('Levantamento dutos'!$B292&lt;=Calculos!$Z$6,((('Levantamento dutos'!$B292)/100+('Levantamento dutos'!$C292)/100)*2)*'Levantamento dutos'!$D292,0),0)</f>
        <v>0</v>
      </c>
      <c r="F292" s="59">
        <f>IF('Levantamento dutos'!$B292&gt;Calculos!$Z$7,((('Levantamento dutos'!$B292)/100+('Levantamento dutos'!$C292)/100)*2)*'Levantamento dutos'!$D292,0)</f>
        <v>0</v>
      </c>
      <c r="G292">
        <f>(('Levantamento dutos'!B292+'Levantamento dutos'!C292)/100)*2</f>
        <v>0</v>
      </c>
      <c r="H292" s="58">
        <f>IF(CODE('Levantamento dutos'!$E292)=76,SUM($B292:$F292),0)</f>
        <v>0</v>
      </c>
      <c r="I292">
        <f>IF(CODE('Levantamento dutos'!$E292)=73,SUM($B292:$F292),0)</f>
        <v>0</v>
      </c>
      <c r="J292">
        <f>IF(CODE('Levantamento dutos'!$E292)=80,SUM($B292:$F292),0)</f>
        <v>0</v>
      </c>
      <c r="K292">
        <f>IF(CODE('Levantamento dutos'!$F292)=66,SUM($B292:$F292),0)</f>
        <v>0</v>
      </c>
      <c r="L292">
        <f>IF(CODE('Levantamento dutos'!$F292)=70,SUM($B292:$F292),0)</f>
        <v>0</v>
      </c>
      <c r="M292" s="59">
        <f>IF(CODE('Levantamento dutos'!$E292)=84,SUM($B292:$F292),0)</f>
        <v>0</v>
      </c>
      <c r="N292" s="60">
        <f>IF(CODE('Levantamento dutos'!$G292)=80,IF('Levantamento dutos'!$B292&lt;=200,('Levantamento dutos'!$D292/'Levantamento dutos'!$G$12*Calculos!$G292*2),0),0)</f>
        <v>0</v>
      </c>
      <c r="O292" s="60">
        <f>IF(CODE('Levantamento dutos'!$G292)=80,IF('Levantamento dutos'!$B292&gt;200,('Levantamento dutos'!$D292/'Levantamento dutos'!$G$12*Calculos!$G292*2),0),0)</f>
        <v>0</v>
      </c>
      <c r="P292" s="60">
        <f>IF(CODE('Levantamento dutos'!$G292)=67,('Levantamento dutos'!$D292/'Levantamento dutos'!$G$12*Calculos!$G292*2),0)</f>
        <v>0</v>
      </c>
      <c r="Q292" s="60">
        <f>IF(CODE('Levantamento dutos'!H292)=83,((('Levantamento dutos'!B292/100)+('Levantamento dutos'!$H$12/1000))+(('Levantamento dutos'!C292/100)+('Levantamento dutos'!$H$12)/1000))*2*'Levantamento dutos'!D292,0)</f>
        <v>0</v>
      </c>
      <c r="S292" s="60">
        <f>IF(CODE('Levantamento dutos'!$I292)=83,$Q292,0)</f>
        <v>0</v>
      </c>
      <c r="T292" s="60">
        <f>IF(CODE('Levantamento dutos'!$E292)=76,ROUND((('Levantamento dutos'!$D292/5)*(Calculos!$G292+0.2)*1.2),0),0)</f>
        <v>0</v>
      </c>
      <c r="U292" s="60">
        <f>IF(CODE('Levantamento dutos'!$E292)=73,ROUND((('Levantamento dutos'!$D292/0.5)*(Calculos!$G292+0.2)*1.2),0),0)</f>
        <v>0</v>
      </c>
      <c r="V292" s="60">
        <f>IF(CODE('Levantamento dutos'!$E292)=80,ROUND((('Levantamento dutos'!$D292/0.5)*(Calculos!$G292+0.2)*1.2),0),0)</f>
        <v>0</v>
      </c>
      <c r="W292" s="60">
        <f>IF(CODE('Levantamento dutos'!$E292)=76,'Levantamento dutos'!$D292/0.5*1.5,0)</f>
        <v>0</v>
      </c>
      <c r="X292" s="60">
        <f>IF(CODE('Levantamento dutos'!$E292)=73,'Levantamento dutos'!$D292/0.5*1.5,0)</f>
        <v>0</v>
      </c>
      <c r="Y292" s="60">
        <f>IF(CODE('Levantamento dutos'!$E292)=80,'Levantamento dutos'!$D292/0.5*1.5,0)</f>
        <v>0</v>
      </c>
      <c r="Z292" s="60">
        <f>IF(CODE('Levantamento dutos'!$E292)=76,ROUND(('Levantamento dutos'!$D292)+('Levantamento dutos'!$D292*Calculos!$G292*2)*1.1,0),0)</f>
        <v>0</v>
      </c>
      <c r="AA292" s="60">
        <f>IF(CODE('Levantamento dutos'!$G292)=80,('Levantamento dutos'!$D292/'Levantamento dutos'!$G$12)*8,0)</f>
        <v>0</v>
      </c>
      <c r="AB292" s="60">
        <f>IF(CODE('Levantamento dutos'!$G292)=80,IF('Levantamento dutos'!$B292&gt;30,('Levantamento dutos'!$D292/'Levantamento dutos'!$G$12)*4,0),0)</f>
        <v>0</v>
      </c>
      <c r="AC292" s="60">
        <f>IF('Levantamento dutos'!$B292&gt;220,('Levantamento dutos'!$D292/'Levantamento dutos'!$G$12*Calculos!$G292*2),0)</f>
        <v>0</v>
      </c>
      <c r="AD292" s="60">
        <f>IF(CODE('Levantamento dutos'!$E292)=73,((('Levantamento dutos'!$E$12/1000)+0.02)*'Levantamento dutos'!$D292)*4*1.3,0)</f>
        <v>0</v>
      </c>
      <c r="AE292" s="60">
        <f>IF(CODE('Levantamento dutos'!$E292)=80,((('Levantamento dutos'!$E$12/1000)+0.02)*'Levantamento dutos'!$D292)*4*1.3,0)</f>
        <v>0</v>
      </c>
    </row>
    <row r="293" spans="2:31" x14ac:dyDescent="0.2">
      <c r="B293" s="58">
        <f>IF('Levantamento dutos'!$B293&lt;=Calculos!$Z$3,((('Levantamento dutos'!$B293)/100+('Levantamento dutos'!$C293)/100)*2)*'Levantamento dutos'!$D293,0)</f>
        <v>0</v>
      </c>
      <c r="C293">
        <f>IF('Levantamento dutos'!$B293&gt;Calculos!$Z$3,IF('Levantamento dutos'!$B293&lt;=Calculos!$Z$4,((('Levantamento dutos'!$B293)/100+('Levantamento dutos'!$C293)/100)*2)*'Levantamento dutos'!$D293,0),0)</f>
        <v>0</v>
      </c>
      <c r="D293">
        <f>IF('Levantamento dutos'!$B293&gt;Calculos!$Z$4,IF('Levantamento dutos'!$B293&lt;=Calculos!$Z$5,((('Levantamento dutos'!$B293)/100+('Levantamento dutos'!$C293)/100)*2)*'Levantamento dutos'!$D293,0),0)</f>
        <v>0</v>
      </c>
      <c r="E293">
        <f>IF('Levantamento dutos'!$B293&gt;Calculos!$Z$5,IF('Levantamento dutos'!$B293&lt;=Calculos!$Z$6,((('Levantamento dutos'!$B293)/100+('Levantamento dutos'!$C293)/100)*2)*'Levantamento dutos'!$D293,0),0)</f>
        <v>0</v>
      </c>
      <c r="F293" s="59">
        <f>IF('Levantamento dutos'!$B293&gt;Calculos!$Z$7,((('Levantamento dutos'!$B293)/100+('Levantamento dutos'!$C293)/100)*2)*'Levantamento dutos'!$D293,0)</f>
        <v>0</v>
      </c>
      <c r="G293">
        <f>(('Levantamento dutos'!B293+'Levantamento dutos'!C293)/100)*2</f>
        <v>0</v>
      </c>
      <c r="H293" s="58">
        <f>IF(CODE('Levantamento dutos'!$E293)=76,SUM($B293:$F293),0)</f>
        <v>0</v>
      </c>
      <c r="I293">
        <f>IF(CODE('Levantamento dutos'!$E293)=73,SUM($B293:$F293),0)</f>
        <v>0</v>
      </c>
      <c r="J293">
        <f>IF(CODE('Levantamento dutos'!$E293)=80,SUM($B293:$F293),0)</f>
        <v>0</v>
      </c>
      <c r="K293">
        <f>IF(CODE('Levantamento dutos'!$F293)=66,SUM($B293:$F293),0)</f>
        <v>0</v>
      </c>
      <c r="L293">
        <f>IF(CODE('Levantamento dutos'!$F293)=70,SUM($B293:$F293),0)</f>
        <v>0</v>
      </c>
      <c r="M293" s="59">
        <f>IF(CODE('Levantamento dutos'!$E293)=84,SUM($B293:$F293),0)</f>
        <v>0</v>
      </c>
      <c r="N293" s="60">
        <f>IF(CODE('Levantamento dutos'!$G293)=80,IF('Levantamento dutos'!$B293&lt;=200,('Levantamento dutos'!$D293/'Levantamento dutos'!$G$12*Calculos!$G293*2),0),0)</f>
        <v>0</v>
      </c>
      <c r="O293" s="60">
        <f>IF(CODE('Levantamento dutos'!$G293)=80,IF('Levantamento dutos'!$B293&gt;200,('Levantamento dutos'!$D293/'Levantamento dutos'!$G$12*Calculos!$G293*2),0),0)</f>
        <v>0</v>
      </c>
      <c r="P293" s="60">
        <f>IF(CODE('Levantamento dutos'!$G293)=67,('Levantamento dutos'!$D293/'Levantamento dutos'!$G$12*Calculos!$G293*2),0)</f>
        <v>0</v>
      </c>
      <c r="Q293" s="60">
        <f>IF(CODE('Levantamento dutos'!H293)=83,((('Levantamento dutos'!B293/100)+('Levantamento dutos'!$H$12/1000))+(('Levantamento dutos'!C293/100)+('Levantamento dutos'!$H$12)/1000))*2*'Levantamento dutos'!D293,0)</f>
        <v>0</v>
      </c>
      <c r="S293" s="60">
        <f>IF(CODE('Levantamento dutos'!$I293)=83,$Q293,0)</f>
        <v>0</v>
      </c>
      <c r="T293" s="60">
        <f>IF(CODE('Levantamento dutos'!$E293)=76,ROUND((('Levantamento dutos'!$D293/5)*(Calculos!$G293+0.2)*1.2),0),0)</f>
        <v>0</v>
      </c>
      <c r="U293" s="60">
        <f>IF(CODE('Levantamento dutos'!$E293)=73,ROUND((('Levantamento dutos'!$D293/0.5)*(Calculos!$G293+0.2)*1.2),0),0)</f>
        <v>0</v>
      </c>
      <c r="V293" s="60">
        <f>IF(CODE('Levantamento dutos'!$E293)=80,ROUND((('Levantamento dutos'!$D293/0.5)*(Calculos!$G293+0.2)*1.2),0),0)</f>
        <v>0</v>
      </c>
      <c r="W293" s="60">
        <f>IF(CODE('Levantamento dutos'!$E293)=76,'Levantamento dutos'!$D293/0.5*1.5,0)</f>
        <v>0</v>
      </c>
      <c r="X293" s="60">
        <f>IF(CODE('Levantamento dutos'!$E293)=73,'Levantamento dutos'!$D293/0.5*1.5,0)</f>
        <v>0</v>
      </c>
      <c r="Y293" s="60">
        <f>IF(CODE('Levantamento dutos'!$E293)=80,'Levantamento dutos'!$D293/0.5*1.5,0)</f>
        <v>0</v>
      </c>
      <c r="Z293" s="60">
        <f>IF(CODE('Levantamento dutos'!$E293)=76,ROUND(('Levantamento dutos'!$D293)+('Levantamento dutos'!$D293*Calculos!$G293*2)*1.1,0),0)</f>
        <v>0</v>
      </c>
      <c r="AA293" s="60">
        <f>IF(CODE('Levantamento dutos'!$G293)=80,('Levantamento dutos'!$D293/'Levantamento dutos'!$G$12)*8,0)</f>
        <v>0</v>
      </c>
      <c r="AB293" s="60">
        <f>IF(CODE('Levantamento dutos'!$G293)=80,IF('Levantamento dutos'!$B293&gt;30,('Levantamento dutos'!$D293/'Levantamento dutos'!$G$12)*4,0),0)</f>
        <v>0</v>
      </c>
      <c r="AC293" s="60">
        <f>IF('Levantamento dutos'!$B293&gt;220,('Levantamento dutos'!$D293/'Levantamento dutos'!$G$12*Calculos!$G293*2),0)</f>
        <v>0</v>
      </c>
      <c r="AD293" s="60">
        <f>IF(CODE('Levantamento dutos'!$E293)=73,((('Levantamento dutos'!$E$12/1000)+0.02)*'Levantamento dutos'!$D293)*4*1.3,0)</f>
        <v>0</v>
      </c>
      <c r="AE293" s="60">
        <f>IF(CODE('Levantamento dutos'!$E293)=80,((('Levantamento dutos'!$E$12/1000)+0.02)*'Levantamento dutos'!$D293)*4*1.3,0)</f>
        <v>0</v>
      </c>
    </row>
    <row r="294" spans="2:31" x14ac:dyDescent="0.2">
      <c r="B294" s="58">
        <f>IF('Levantamento dutos'!$B294&lt;=Calculos!$Z$3,((('Levantamento dutos'!$B294)/100+('Levantamento dutos'!$C294)/100)*2)*'Levantamento dutos'!$D294,0)</f>
        <v>0</v>
      </c>
      <c r="C294">
        <f>IF('Levantamento dutos'!$B294&gt;Calculos!$Z$3,IF('Levantamento dutos'!$B294&lt;=Calculos!$Z$4,((('Levantamento dutos'!$B294)/100+('Levantamento dutos'!$C294)/100)*2)*'Levantamento dutos'!$D294,0),0)</f>
        <v>0</v>
      </c>
      <c r="D294">
        <f>IF('Levantamento dutos'!$B294&gt;Calculos!$Z$4,IF('Levantamento dutos'!$B294&lt;=Calculos!$Z$5,((('Levantamento dutos'!$B294)/100+('Levantamento dutos'!$C294)/100)*2)*'Levantamento dutos'!$D294,0),0)</f>
        <v>0</v>
      </c>
      <c r="E294">
        <f>IF('Levantamento dutos'!$B294&gt;Calculos!$Z$5,IF('Levantamento dutos'!$B294&lt;=Calculos!$Z$6,((('Levantamento dutos'!$B294)/100+('Levantamento dutos'!$C294)/100)*2)*'Levantamento dutos'!$D294,0),0)</f>
        <v>0</v>
      </c>
      <c r="F294" s="59">
        <f>IF('Levantamento dutos'!$B294&gt;Calculos!$Z$7,((('Levantamento dutos'!$B294)/100+('Levantamento dutos'!$C294)/100)*2)*'Levantamento dutos'!$D294,0)</f>
        <v>0</v>
      </c>
      <c r="G294">
        <f>(('Levantamento dutos'!B294+'Levantamento dutos'!C294)/100)*2</f>
        <v>0</v>
      </c>
      <c r="H294" s="58">
        <f>IF(CODE('Levantamento dutos'!$E294)=76,SUM($B294:$F294),0)</f>
        <v>0</v>
      </c>
      <c r="I294">
        <f>IF(CODE('Levantamento dutos'!$E294)=73,SUM($B294:$F294),0)</f>
        <v>0</v>
      </c>
      <c r="J294">
        <f>IF(CODE('Levantamento dutos'!$E294)=80,SUM($B294:$F294),0)</f>
        <v>0</v>
      </c>
      <c r="K294">
        <f>IF(CODE('Levantamento dutos'!$F294)=66,SUM($B294:$F294),0)</f>
        <v>0</v>
      </c>
      <c r="L294">
        <f>IF(CODE('Levantamento dutos'!$F294)=70,SUM($B294:$F294),0)</f>
        <v>0</v>
      </c>
      <c r="M294" s="59">
        <f>IF(CODE('Levantamento dutos'!$E294)=84,SUM($B294:$F294),0)</f>
        <v>0</v>
      </c>
      <c r="N294" s="60">
        <f>IF(CODE('Levantamento dutos'!$G294)=80,IF('Levantamento dutos'!$B294&lt;=200,('Levantamento dutos'!$D294/'Levantamento dutos'!$G$12*Calculos!$G294*2),0),0)</f>
        <v>0</v>
      </c>
      <c r="O294" s="60">
        <f>IF(CODE('Levantamento dutos'!$G294)=80,IF('Levantamento dutos'!$B294&gt;200,('Levantamento dutos'!$D294/'Levantamento dutos'!$G$12*Calculos!$G294*2),0),0)</f>
        <v>0</v>
      </c>
      <c r="P294" s="60">
        <f>IF(CODE('Levantamento dutos'!$G294)=67,('Levantamento dutos'!$D294/'Levantamento dutos'!$G$12*Calculos!$G294*2),0)</f>
        <v>0</v>
      </c>
      <c r="Q294" s="60">
        <f>IF(CODE('Levantamento dutos'!H294)=83,((('Levantamento dutos'!B294/100)+('Levantamento dutos'!$H$12/1000))+(('Levantamento dutos'!C294/100)+('Levantamento dutos'!$H$12)/1000))*2*'Levantamento dutos'!D294,0)</f>
        <v>0</v>
      </c>
      <c r="S294" s="60">
        <f>IF(CODE('Levantamento dutos'!$I294)=83,$Q294,0)</f>
        <v>0</v>
      </c>
      <c r="T294" s="60">
        <f>IF(CODE('Levantamento dutos'!$E294)=76,ROUND((('Levantamento dutos'!$D294/5)*(Calculos!$G294+0.2)*1.2),0),0)</f>
        <v>0</v>
      </c>
      <c r="U294" s="60">
        <f>IF(CODE('Levantamento dutos'!$E294)=73,ROUND((('Levantamento dutos'!$D294/0.5)*(Calculos!$G294+0.2)*1.2),0),0)</f>
        <v>0</v>
      </c>
      <c r="V294" s="60">
        <f>IF(CODE('Levantamento dutos'!$E294)=80,ROUND((('Levantamento dutos'!$D294/0.5)*(Calculos!$G294+0.2)*1.2),0),0)</f>
        <v>0</v>
      </c>
      <c r="W294" s="60">
        <f>IF(CODE('Levantamento dutos'!$E294)=76,'Levantamento dutos'!$D294/0.5*1.5,0)</f>
        <v>0</v>
      </c>
      <c r="X294" s="60">
        <f>IF(CODE('Levantamento dutos'!$E294)=73,'Levantamento dutos'!$D294/0.5*1.5,0)</f>
        <v>0</v>
      </c>
      <c r="Y294" s="60">
        <f>IF(CODE('Levantamento dutos'!$E294)=80,'Levantamento dutos'!$D294/0.5*1.5,0)</f>
        <v>0</v>
      </c>
      <c r="Z294" s="60">
        <f>IF(CODE('Levantamento dutos'!$E294)=76,ROUND(('Levantamento dutos'!$D294)+('Levantamento dutos'!$D294*Calculos!$G294*2)*1.1,0),0)</f>
        <v>0</v>
      </c>
      <c r="AA294" s="60">
        <f>IF(CODE('Levantamento dutos'!$G294)=80,('Levantamento dutos'!$D294/'Levantamento dutos'!$G$12)*8,0)</f>
        <v>0</v>
      </c>
      <c r="AB294" s="60">
        <f>IF(CODE('Levantamento dutos'!$G294)=80,IF('Levantamento dutos'!$B294&gt;30,('Levantamento dutos'!$D294/'Levantamento dutos'!$G$12)*4,0),0)</f>
        <v>0</v>
      </c>
      <c r="AC294" s="60">
        <f>IF('Levantamento dutos'!$B294&gt;220,('Levantamento dutos'!$D294/'Levantamento dutos'!$G$12*Calculos!$G294*2),0)</f>
        <v>0</v>
      </c>
      <c r="AD294" s="60">
        <f>IF(CODE('Levantamento dutos'!$E294)=73,((('Levantamento dutos'!$E$12/1000)+0.02)*'Levantamento dutos'!$D294)*4*1.3,0)</f>
        <v>0</v>
      </c>
      <c r="AE294" s="60">
        <f>IF(CODE('Levantamento dutos'!$E294)=80,((('Levantamento dutos'!$E$12/1000)+0.02)*'Levantamento dutos'!$D294)*4*1.3,0)</f>
        <v>0</v>
      </c>
    </row>
    <row r="295" spans="2:31" x14ac:dyDescent="0.2">
      <c r="B295" s="58">
        <f>IF('Levantamento dutos'!$B295&lt;=Calculos!$Z$3,((('Levantamento dutos'!$B295)/100+('Levantamento dutos'!$C295)/100)*2)*'Levantamento dutos'!$D295,0)</f>
        <v>0</v>
      </c>
      <c r="C295">
        <f>IF('Levantamento dutos'!$B295&gt;Calculos!$Z$3,IF('Levantamento dutos'!$B295&lt;=Calculos!$Z$4,((('Levantamento dutos'!$B295)/100+('Levantamento dutos'!$C295)/100)*2)*'Levantamento dutos'!$D295,0),0)</f>
        <v>0</v>
      </c>
      <c r="D295">
        <f>IF('Levantamento dutos'!$B295&gt;Calculos!$Z$4,IF('Levantamento dutos'!$B295&lt;=Calculos!$Z$5,((('Levantamento dutos'!$B295)/100+('Levantamento dutos'!$C295)/100)*2)*'Levantamento dutos'!$D295,0),0)</f>
        <v>0</v>
      </c>
      <c r="E295">
        <f>IF('Levantamento dutos'!$B295&gt;Calculos!$Z$5,IF('Levantamento dutos'!$B295&lt;=Calculos!$Z$6,((('Levantamento dutos'!$B295)/100+('Levantamento dutos'!$C295)/100)*2)*'Levantamento dutos'!$D295,0),0)</f>
        <v>0</v>
      </c>
      <c r="F295" s="59">
        <f>IF('Levantamento dutos'!$B295&gt;Calculos!$Z$7,((('Levantamento dutos'!$B295)/100+('Levantamento dutos'!$C295)/100)*2)*'Levantamento dutos'!$D295,0)</f>
        <v>0</v>
      </c>
      <c r="G295">
        <f>(('Levantamento dutos'!B295+'Levantamento dutos'!C295)/100)*2</f>
        <v>0</v>
      </c>
      <c r="H295" s="58">
        <f>IF(CODE('Levantamento dutos'!$E295)=76,SUM($B295:$F295),0)</f>
        <v>0</v>
      </c>
      <c r="I295">
        <f>IF(CODE('Levantamento dutos'!$E295)=73,SUM($B295:$F295),0)</f>
        <v>0</v>
      </c>
      <c r="J295">
        <f>IF(CODE('Levantamento dutos'!$E295)=80,SUM($B295:$F295),0)</f>
        <v>0</v>
      </c>
      <c r="K295">
        <f>IF(CODE('Levantamento dutos'!$F295)=66,SUM($B295:$F295),0)</f>
        <v>0</v>
      </c>
      <c r="L295">
        <f>IF(CODE('Levantamento dutos'!$F295)=70,SUM($B295:$F295),0)</f>
        <v>0</v>
      </c>
      <c r="M295" s="59">
        <f>IF(CODE('Levantamento dutos'!$E295)=84,SUM($B295:$F295),0)</f>
        <v>0</v>
      </c>
      <c r="N295" s="60">
        <f>IF(CODE('Levantamento dutos'!$G295)=80,IF('Levantamento dutos'!$B295&lt;=200,('Levantamento dutos'!$D295/'Levantamento dutos'!$G$12*Calculos!$G295*2),0),0)</f>
        <v>0</v>
      </c>
      <c r="O295" s="60">
        <f>IF(CODE('Levantamento dutos'!$G295)=80,IF('Levantamento dutos'!$B295&gt;200,('Levantamento dutos'!$D295/'Levantamento dutos'!$G$12*Calculos!$G295*2),0),0)</f>
        <v>0</v>
      </c>
      <c r="P295" s="60">
        <f>IF(CODE('Levantamento dutos'!$G295)=67,('Levantamento dutos'!$D295/'Levantamento dutos'!$G$12*Calculos!$G295*2),0)</f>
        <v>0</v>
      </c>
      <c r="Q295" s="60">
        <f>IF(CODE('Levantamento dutos'!H295)=83,((('Levantamento dutos'!B295/100)+('Levantamento dutos'!$H$12/1000))+(('Levantamento dutos'!C295/100)+('Levantamento dutos'!$H$12)/1000))*2*'Levantamento dutos'!D295,0)</f>
        <v>0</v>
      </c>
      <c r="S295" s="60">
        <f>IF(CODE('Levantamento dutos'!$I295)=83,$Q295,0)</f>
        <v>0</v>
      </c>
      <c r="T295" s="60">
        <f>IF(CODE('Levantamento dutos'!$E295)=76,ROUND((('Levantamento dutos'!$D295/5)*(Calculos!$G295+0.2)*1.2),0),0)</f>
        <v>0</v>
      </c>
      <c r="U295" s="60">
        <f>IF(CODE('Levantamento dutos'!$E295)=73,ROUND((('Levantamento dutos'!$D295/0.5)*(Calculos!$G295+0.2)*1.2),0),0)</f>
        <v>0</v>
      </c>
      <c r="V295" s="60">
        <f>IF(CODE('Levantamento dutos'!$E295)=80,ROUND((('Levantamento dutos'!$D295/0.5)*(Calculos!$G295+0.2)*1.2),0),0)</f>
        <v>0</v>
      </c>
      <c r="W295" s="60">
        <f>IF(CODE('Levantamento dutos'!$E295)=76,'Levantamento dutos'!$D295/0.5*1.5,0)</f>
        <v>0</v>
      </c>
      <c r="X295" s="60">
        <f>IF(CODE('Levantamento dutos'!$E295)=73,'Levantamento dutos'!$D295/0.5*1.5,0)</f>
        <v>0</v>
      </c>
      <c r="Y295" s="60">
        <f>IF(CODE('Levantamento dutos'!$E295)=80,'Levantamento dutos'!$D295/0.5*1.5,0)</f>
        <v>0</v>
      </c>
      <c r="Z295" s="60">
        <f>IF(CODE('Levantamento dutos'!$E295)=76,ROUND(('Levantamento dutos'!$D295)+('Levantamento dutos'!$D295*Calculos!$G295*2)*1.1,0),0)</f>
        <v>0</v>
      </c>
      <c r="AA295" s="60">
        <f>IF(CODE('Levantamento dutos'!$G295)=80,('Levantamento dutos'!$D295/'Levantamento dutos'!$G$12)*8,0)</f>
        <v>0</v>
      </c>
      <c r="AB295" s="60">
        <f>IF(CODE('Levantamento dutos'!$G295)=80,IF('Levantamento dutos'!$B295&gt;30,('Levantamento dutos'!$D295/'Levantamento dutos'!$G$12)*4,0),0)</f>
        <v>0</v>
      </c>
      <c r="AC295" s="60">
        <f>IF('Levantamento dutos'!$B295&gt;220,('Levantamento dutos'!$D295/'Levantamento dutos'!$G$12*Calculos!$G295*2),0)</f>
        <v>0</v>
      </c>
      <c r="AD295" s="60">
        <f>IF(CODE('Levantamento dutos'!$E295)=73,((('Levantamento dutos'!$E$12/1000)+0.02)*'Levantamento dutos'!$D295)*4*1.3,0)</f>
        <v>0</v>
      </c>
      <c r="AE295" s="60">
        <f>IF(CODE('Levantamento dutos'!$E295)=80,((('Levantamento dutos'!$E$12/1000)+0.02)*'Levantamento dutos'!$D295)*4*1.3,0)</f>
        <v>0</v>
      </c>
    </row>
    <row r="296" spans="2:31" x14ac:dyDescent="0.2">
      <c r="B296" s="58">
        <f>IF('Levantamento dutos'!$B296&lt;=Calculos!$Z$3,((('Levantamento dutos'!$B296)/100+('Levantamento dutos'!$C296)/100)*2)*'Levantamento dutos'!$D296,0)</f>
        <v>0</v>
      </c>
      <c r="C296">
        <f>IF('Levantamento dutos'!$B296&gt;Calculos!$Z$3,IF('Levantamento dutos'!$B296&lt;=Calculos!$Z$4,((('Levantamento dutos'!$B296)/100+('Levantamento dutos'!$C296)/100)*2)*'Levantamento dutos'!$D296,0),0)</f>
        <v>0</v>
      </c>
      <c r="D296">
        <f>IF('Levantamento dutos'!$B296&gt;Calculos!$Z$4,IF('Levantamento dutos'!$B296&lt;=Calculos!$Z$5,((('Levantamento dutos'!$B296)/100+('Levantamento dutos'!$C296)/100)*2)*'Levantamento dutos'!$D296,0),0)</f>
        <v>0</v>
      </c>
      <c r="E296">
        <f>IF('Levantamento dutos'!$B296&gt;Calculos!$Z$5,IF('Levantamento dutos'!$B296&lt;=Calculos!$Z$6,((('Levantamento dutos'!$B296)/100+('Levantamento dutos'!$C296)/100)*2)*'Levantamento dutos'!$D296,0),0)</f>
        <v>0</v>
      </c>
      <c r="F296" s="59">
        <f>IF('Levantamento dutos'!$B296&gt;Calculos!$Z$7,((('Levantamento dutos'!$B296)/100+('Levantamento dutos'!$C296)/100)*2)*'Levantamento dutos'!$D296,0)</f>
        <v>0</v>
      </c>
      <c r="G296">
        <f>(('Levantamento dutos'!B296+'Levantamento dutos'!C296)/100)*2</f>
        <v>0</v>
      </c>
      <c r="H296" s="58">
        <f>IF(CODE('Levantamento dutos'!$E296)=76,SUM($B296:$F296),0)</f>
        <v>0</v>
      </c>
      <c r="I296">
        <f>IF(CODE('Levantamento dutos'!$E296)=73,SUM($B296:$F296),0)</f>
        <v>0</v>
      </c>
      <c r="J296">
        <f>IF(CODE('Levantamento dutos'!$E296)=80,SUM($B296:$F296),0)</f>
        <v>0</v>
      </c>
      <c r="K296">
        <f>IF(CODE('Levantamento dutos'!$F296)=66,SUM($B296:$F296),0)</f>
        <v>0</v>
      </c>
      <c r="L296">
        <f>IF(CODE('Levantamento dutos'!$F296)=70,SUM($B296:$F296),0)</f>
        <v>0</v>
      </c>
      <c r="M296" s="59">
        <f>IF(CODE('Levantamento dutos'!$E296)=84,SUM($B296:$F296),0)</f>
        <v>0</v>
      </c>
      <c r="N296" s="60">
        <f>IF(CODE('Levantamento dutos'!$G296)=80,IF('Levantamento dutos'!$B296&lt;=200,('Levantamento dutos'!$D296/'Levantamento dutos'!$G$12*Calculos!$G296*2),0),0)</f>
        <v>0</v>
      </c>
      <c r="O296" s="60">
        <f>IF(CODE('Levantamento dutos'!$G296)=80,IF('Levantamento dutos'!$B296&gt;200,('Levantamento dutos'!$D296/'Levantamento dutos'!$G$12*Calculos!$G296*2),0),0)</f>
        <v>0</v>
      </c>
      <c r="P296" s="60">
        <f>IF(CODE('Levantamento dutos'!$G296)=67,('Levantamento dutos'!$D296/'Levantamento dutos'!$G$12*Calculos!$G296*2),0)</f>
        <v>0</v>
      </c>
      <c r="Q296" s="60">
        <f>IF(CODE('Levantamento dutos'!H296)=83,((('Levantamento dutos'!B296/100)+('Levantamento dutos'!$H$12/1000))+(('Levantamento dutos'!C296/100)+('Levantamento dutos'!$H$12)/1000))*2*'Levantamento dutos'!D296,0)</f>
        <v>0</v>
      </c>
      <c r="S296" s="60">
        <f>IF(CODE('Levantamento dutos'!$I296)=83,$Q296,0)</f>
        <v>0</v>
      </c>
      <c r="T296" s="60">
        <f>IF(CODE('Levantamento dutos'!$E296)=76,ROUND((('Levantamento dutos'!$D296/5)*(Calculos!$G296+0.2)*1.2),0),0)</f>
        <v>0</v>
      </c>
      <c r="U296" s="60">
        <f>IF(CODE('Levantamento dutos'!$E296)=73,ROUND((('Levantamento dutos'!$D296/0.5)*(Calculos!$G296+0.2)*1.2),0),0)</f>
        <v>0</v>
      </c>
      <c r="V296" s="60">
        <f>IF(CODE('Levantamento dutos'!$E296)=80,ROUND((('Levantamento dutos'!$D296/0.5)*(Calculos!$G296+0.2)*1.2),0),0)</f>
        <v>0</v>
      </c>
      <c r="W296" s="60">
        <f>IF(CODE('Levantamento dutos'!$E296)=76,'Levantamento dutos'!$D296/0.5*1.5,0)</f>
        <v>0</v>
      </c>
      <c r="X296" s="60">
        <f>IF(CODE('Levantamento dutos'!$E296)=73,'Levantamento dutos'!$D296/0.5*1.5,0)</f>
        <v>0</v>
      </c>
      <c r="Y296" s="60">
        <f>IF(CODE('Levantamento dutos'!$E296)=80,'Levantamento dutos'!$D296/0.5*1.5,0)</f>
        <v>0</v>
      </c>
      <c r="Z296" s="60">
        <f>IF(CODE('Levantamento dutos'!$E296)=76,ROUND(('Levantamento dutos'!$D296)+('Levantamento dutos'!$D296*Calculos!$G296*2)*1.1,0),0)</f>
        <v>0</v>
      </c>
      <c r="AA296" s="60">
        <f>IF(CODE('Levantamento dutos'!$G296)=80,('Levantamento dutos'!$D296/'Levantamento dutos'!$G$12)*8,0)</f>
        <v>0</v>
      </c>
      <c r="AB296" s="60">
        <f>IF(CODE('Levantamento dutos'!$G296)=80,IF('Levantamento dutos'!$B296&gt;30,('Levantamento dutos'!$D296/'Levantamento dutos'!$G$12)*4,0),0)</f>
        <v>0</v>
      </c>
      <c r="AC296" s="60">
        <f>IF('Levantamento dutos'!$B296&gt;220,('Levantamento dutos'!$D296/'Levantamento dutos'!$G$12*Calculos!$G296*2),0)</f>
        <v>0</v>
      </c>
      <c r="AD296" s="60">
        <f>IF(CODE('Levantamento dutos'!$E296)=73,((('Levantamento dutos'!$E$12/1000)+0.02)*'Levantamento dutos'!$D296)*4*1.3,0)</f>
        <v>0</v>
      </c>
      <c r="AE296" s="60">
        <f>IF(CODE('Levantamento dutos'!$E296)=80,((('Levantamento dutos'!$E$12/1000)+0.02)*'Levantamento dutos'!$D296)*4*1.3,0)</f>
        <v>0</v>
      </c>
    </row>
    <row r="297" spans="2:31" x14ac:dyDescent="0.2">
      <c r="B297" s="58">
        <f>IF('Levantamento dutos'!$B297&lt;=Calculos!$Z$3,((('Levantamento dutos'!$B297)/100+('Levantamento dutos'!$C297)/100)*2)*'Levantamento dutos'!$D297,0)</f>
        <v>0</v>
      </c>
      <c r="C297">
        <f>IF('Levantamento dutos'!$B297&gt;Calculos!$Z$3,IF('Levantamento dutos'!$B297&lt;=Calculos!$Z$4,((('Levantamento dutos'!$B297)/100+('Levantamento dutos'!$C297)/100)*2)*'Levantamento dutos'!$D297,0),0)</f>
        <v>0</v>
      </c>
      <c r="D297">
        <f>IF('Levantamento dutos'!$B297&gt;Calculos!$Z$4,IF('Levantamento dutos'!$B297&lt;=Calculos!$Z$5,((('Levantamento dutos'!$B297)/100+('Levantamento dutos'!$C297)/100)*2)*'Levantamento dutos'!$D297,0),0)</f>
        <v>0</v>
      </c>
      <c r="E297">
        <f>IF('Levantamento dutos'!$B297&gt;Calculos!$Z$5,IF('Levantamento dutos'!$B297&lt;=Calculos!$Z$6,((('Levantamento dutos'!$B297)/100+('Levantamento dutos'!$C297)/100)*2)*'Levantamento dutos'!$D297,0),0)</f>
        <v>0</v>
      </c>
      <c r="F297" s="59">
        <f>IF('Levantamento dutos'!$B297&gt;Calculos!$Z$7,((('Levantamento dutos'!$B297)/100+('Levantamento dutos'!$C297)/100)*2)*'Levantamento dutos'!$D297,0)</f>
        <v>0</v>
      </c>
      <c r="G297">
        <f>(('Levantamento dutos'!B297+'Levantamento dutos'!C297)/100)*2</f>
        <v>0</v>
      </c>
      <c r="H297" s="58">
        <f>IF(CODE('Levantamento dutos'!$E297)=76,SUM($B297:$F297),0)</f>
        <v>0</v>
      </c>
      <c r="I297">
        <f>IF(CODE('Levantamento dutos'!$E297)=73,SUM($B297:$F297),0)</f>
        <v>0</v>
      </c>
      <c r="J297">
        <f>IF(CODE('Levantamento dutos'!$E297)=80,SUM($B297:$F297),0)</f>
        <v>0</v>
      </c>
      <c r="K297">
        <f>IF(CODE('Levantamento dutos'!$F297)=66,SUM($B297:$F297),0)</f>
        <v>0</v>
      </c>
      <c r="L297">
        <f>IF(CODE('Levantamento dutos'!$F297)=70,SUM($B297:$F297),0)</f>
        <v>0</v>
      </c>
      <c r="M297" s="59">
        <f>IF(CODE('Levantamento dutos'!$E297)=84,SUM($B297:$F297),0)</f>
        <v>0</v>
      </c>
      <c r="N297" s="60">
        <f>IF(CODE('Levantamento dutos'!$G297)=80,IF('Levantamento dutos'!$B297&lt;=200,('Levantamento dutos'!$D297/'Levantamento dutos'!$G$12*Calculos!$G297*2),0),0)</f>
        <v>0</v>
      </c>
      <c r="O297" s="60">
        <f>IF(CODE('Levantamento dutos'!$G297)=80,IF('Levantamento dutos'!$B297&gt;200,('Levantamento dutos'!$D297/'Levantamento dutos'!$G$12*Calculos!$G297*2),0),0)</f>
        <v>0</v>
      </c>
      <c r="P297" s="60">
        <f>IF(CODE('Levantamento dutos'!$G297)=67,('Levantamento dutos'!$D297/'Levantamento dutos'!$G$12*Calculos!$G297*2),0)</f>
        <v>0</v>
      </c>
      <c r="Q297" s="60">
        <f>IF(CODE('Levantamento dutos'!H297)=83,((('Levantamento dutos'!B297/100)+('Levantamento dutos'!$H$12/1000))+(('Levantamento dutos'!C297/100)+('Levantamento dutos'!$H$12)/1000))*2*'Levantamento dutos'!D297,0)</f>
        <v>0</v>
      </c>
      <c r="S297" s="60">
        <f>IF(CODE('Levantamento dutos'!$I297)=83,$Q297,0)</f>
        <v>0</v>
      </c>
      <c r="T297" s="60">
        <f>IF(CODE('Levantamento dutos'!$E297)=76,ROUND((('Levantamento dutos'!$D297/5)*(Calculos!$G297+0.2)*1.2),0),0)</f>
        <v>0</v>
      </c>
      <c r="U297" s="60">
        <f>IF(CODE('Levantamento dutos'!$E297)=73,ROUND((('Levantamento dutos'!$D297/0.5)*(Calculos!$G297+0.2)*1.2),0),0)</f>
        <v>0</v>
      </c>
      <c r="V297" s="60">
        <f>IF(CODE('Levantamento dutos'!$E297)=80,ROUND((('Levantamento dutos'!$D297/0.5)*(Calculos!$G297+0.2)*1.2),0),0)</f>
        <v>0</v>
      </c>
      <c r="W297" s="60">
        <f>IF(CODE('Levantamento dutos'!$E297)=76,'Levantamento dutos'!$D297/0.5*1.5,0)</f>
        <v>0</v>
      </c>
      <c r="X297" s="60">
        <f>IF(CODE('Levantamento dutos'!$E297)=73,'Levantamento dutos'!$D297/0.5*1.5,0)</f>
        <v>0</v>
      </c>
      <c r="Y297" s="60">
        <f>IF(CODE('Levantamento dutos'!$E297)=80,'Levantamento dutos'!$D297/0.5*1.5,0)</f>
        <v>0</v>
      </c>
      <c r="Z297" s="60">
        <f>IF(CODE('Levantamento dutos'!$E297)=76,ROUND(('Levantamento dutos'!$D297)+('Levantamento dutos'!$D297*Calculos!$G297*2)*1.1,0),0)</f>
        <v>0</v>
      </c>
      <c r="AA297" s="60">
        <f>IF(CODE('Levantamento dutos'!$G297)=80,('Levantamento dutos'!$D297/'Levantamento dutos'!$G$12)*8,0)</f>
        <v>0</v>
      </c>
      <c r="AB297" s="60">
        <f>IF(CODE('Levantamento dutos'!$G297)=80,IF('Levantamento dutos'!$B297&gt;30,('Levantamento dutos'!$D297/'Levantamento dutos'!$G$12)*4,0),0)</f>
        <v>0</v>
      </c>
      <c r="AC297" s="60">
        <f>IF('Levantamento dutos'!$B297&gt;220,('Levantamento dutos'!$D297/'Levantamento dutos'!$G$12*Calculos!$G297*2),0)</f>
        <v>0</v>
      </c>
      <c r="AD297" s="60">
        <f>IF(CODE('Levantamento dutos'!$E297)=73,((('Levantamento dutos'!$E$12/1000)+0.02)*'Levantamento dutos'!$D297)*4*1.3,0)</f>
        <v>0</v>
      </c>
      <c r="AE297" s="60">
        <f>IF(CODE('Levantamento dutos'!$E297)=80,((('Levantamento dutos'!$E$12/1000)+0.02)*'Levantamento dutos'!$D297)*4*1.3,0)</f>
        <v>0</v>
      </c>
    </row>
    <row r="298" spans="2:31" x14ac:dyDescent="0.2">
      <c r="B298" s="58">
        <f>IF('Levantamento dutos'!$B298&lt;=Calculos!$Z$3,((('Levantamento dutos'!$B298)/100+('Levantamento dutos'!$C298)/100)*2)*'Levantamento dutos'!$D298,0)</f>
        <v>0</v>
      </c>
      <c r="C298">
        <f>IF('Levantamento dutos'!$B298&gt;Calculos!$Z$3,IF('Levantamento dutos'!$B298&lt;=Calculos!$Z$4,((('Levantamento dutos'!$B298)/100+('Levantamento dutos'!$C298)/100)*2)*'Levantamento dutos'!$D298,0),0)</f>
        <v>0</v>
      </c>
      <c r="D298">
        <f>IF('Levantamento dutos'!$B298&gt;Calculos!$Z$4,IF('Levantamento dutos'!$B298&lt;=Calculos!$Z$5,((('Levantamento dutos'!$B298)/100+('Levantamento dutos'!$C298)/100)*2)*'Levantamento dutos'!$D298,0),0)</f>
        <v>0</v>
      </c>
      <c r="E298">
        <f>IF('Levantamento dutos'!$B298&gt;Calculos!$Z$5,IF('Levantamento dutos'!$B298&lt;=Calculos!$Z$6,((('Levantamento dutos'!$B298)/100+('Levantamento dutos'!$C298)/100)*2)*'Levantamento dutos'!$D298,0),0)</f>
        <v>0</v>
      </c>
      <c r="F298" s="59">
        <f>IF('Levantamento dutos'!$B298&gt;Calculos!$Z$7,((('Levantamento dutos'!$B298)/100+('Levantamento dutos'!$C298)/100)*2)*'Levantamento dutos'!$D298,0)</f>
        <v>0</v>
      </c>
      <c r="G298">
        <f>(('Levantamento dutos'!B298+'Levantamento dutos'!C298)/100)*2</f>
        <v>0</v>
      </c>
      <c r="H298" s="58">
        <f>IF(CODE('Levantamento dutos'!$E298)=76,SUM($B298:$F298),0)</f>
        <v>0</v>
      </c>
      <c r="I298">
        <f>IF(CODE('Levantamento dutos'!$E298)=73,SUM($B298:$F298),0)</f>
        <v>0</v>
      </c>
      <c r="J298">
        <f>IF(CODE('Levantamento dutos'!$E298)=80,SUM($B298:$F298),0)</f>
        <v>0</v>
      </c>
      <c r="K298">
        <f>IF(CODE('Levantamento dutos'!$F298)=66,SUM($B298:$F298),0)</f>
        <v>0</v>
      </c>
      <c r="L298">
        <f>IF(CODE('Levantamento dutos'!$F298)=70,SUM($B298:$F298),0)</f>
        <v>0</v>
      </c>
      <c r="M298" s="59">
        <f>IF(CODE('Levantamento dutos'!$E298)=84,SUM($B298:$F298),0)</f>
        <v>0</v>
      </c>
      <c r="N298" s="60">
        <f>IF(CODE('Levantamento dutos'!$G298)=80,IF('Levantamento dutos'!$B298&lt;=200,('Levantamento dutos'!$D298/'Levantamento dutos'!$G$12*Calculos!$G298*2),0),0)</f>
        <v>0</v>
      </c>
      <c r="O298" s="60">
        <f>IF(CODE('Levantamento dutos'!$G298)=80,IF('Levantamento dutos'!$B298&gt;200,('Levantamento dutos'!$D298/'Levantamento dutos'!$G$12*Calculos!$G298*2),0),0)</f>
        <v>0</v>
      </c>
      <c r="P298" s="60">
        <f>IF(CODE('Levantamento dutos'!$G298)=67,('Levantamento dutos'!$D298/'Levantamento dutos'!$G$12*Calculos!$G298*2),0)</f>
        <v>0</v>
      </c>
      <c r="Q298" s="60">
        <f>IF(CODE('Levantamento dutos'!H298)=83,((('Levantamento dutos'!B298/100)+('Levantamento dutos'!$H$12/1000))+(('Levantamento dutos'!C298/100)+('Levantamento dutos'!$H$12)/1000))*2*'Levantamento dutos'!D298,0)</f>
        <v>0</v>
      </c>
      <c r="S298" s="60">
        <f>IF(CODE('Levantamento dutos'!$I298)=83,$Q298,0)</f>
        <v>0</v>
      </c>
      <c r="T298" s="60">
        <f>IF(CODE('Levantamento dutos'!$E298)=76,ROUND((('Levantamento dutos'!$D298/5)*(Calculos!$G298+0.2)*1.2),0),0)</f>
        <v>0</v>
      </c>
      <c r="U298" s="60">
        <f>IF(CODE('Levantamento dutos'!$E298)=73,ROUND((('Levantamento dutos'!$D298/0.5)*(Calculos!$G298+0.2)*1.2),0),0)</f>
        <v>0</v>
      </c>
      <c r="V298" s="60">
        <f>IF(CODE('Levantamento dutos'!$E298)=80,ROUND((('Levantamento dutos'!$D298/0.5)*(Calculos!$G298+0.2)*1.2),0),0)</f>
        <v>0</v>
      </c>
      <c r="W298" s="60">
        <f>IF(CODE('Levantamento dutos'!$E298)=76,'Levantamento dutos'!$D298/0.5*1.5,0)</f>
        <v>0</v>
      </c>
      <c r="X298" s="60">
        <f>IF(CODE('Levantamento dutos'!$E298)=73,'Levantamento dutos'!$D298/0.5*1.5,0)</f>
        <v>0</v>
      </c>
      <c r="Y298" s="60">
        <f>IF(CODE('Levantamento dutos'!$E298)=80,'Levantamento dutos'!$D298/0.5*1.5,0)</f>
        <v>0</v>
      </c>
      <c r="Z298" s="60">
        <f>IF(CODE('Levantamento dutos'!$E298)=76,ROUND(('Levantamento dutos'!$D298)+('Levantamento dutos'!$D298*Calculos!$G298*2)*1.1,0),0)</f>
        <v>0</v>
      </c>
      <c r="AA298" s="60">
        <f>IF(CODE('Levantamento dutos'!$G298)=80,('Levantamento dutos'!$D298/'Levantamento dutos'!$G$12)*8,0)</f>
        <v>0</v>
      </c>
      <c r="AB298" s="60">
        <f>IF(CODE('Levantamento dutos'!$G298)=80,IF('Levantamento dutos'!$B298&gt;30,('Levantamento dutos'!$D298/'Levantamento dutos'!$G$12)*4,0),0)</f>
        <v>0</v>
      </c>
      <c r="AC298" s="60">
        <f>IF('Levantamento dutos'!$B298&gt;220,('Levantamento dutos'!$D298/'Levantamento dutos'!$G$12*Calculos!$G298*2),0)</f>
        <v>0</v>
      </c>
      <c r="AD298" s="60">
        <f>IF(CODE('Levantamento dutos'!$E298)=73,((('Levantamento dutos'!$E$12/1000)+0.02)*'Levantamento dutos'!$D298)*4*1.3,0)</f>
        <v>0</v>
      </c>
      <c r="AE298" s="60">
        <f>IF(CODE('Levantamento dutos'!$E298)=80,((('Levantamento dutos'!$E$12/1000)+0.02)*'Levantamento dutos'!$D298)*4*1.3,0)</f>
        <v>0</v>
      </c>
    </row>
    <row r="299" spans="2:31" x14ac:dyDescent="0.2">
      <c r="B299" s="58">
        <f>IF('Levantamento dutos'!$B299&lt;=Calculos!$Z$3,((('Levantamento dutos'!$B299)/100+('Levantamento dutos'!$C299)/100)*2)*'Levantamento dutos'!$D299,0)</f>
        <v>0</v>
      </c>
      <c r="C299">
        <f>IF('Levantamento dutos'!$B299&gt;Calculos!$Z$3,IF('Levantamento dutos'!$B299&lt;=Calculos!$Z$4,((('Levantamento dutos'!$B299)/100+('Levantamento dutos'!$C299)/100)*2)*'Levantamento dutos'!$D299,0),0)</f>
        <v>0</v>
      </c>
      <c r="D299">
        <f>IF('Levantamento dutos'!$B299&gt;Calculos!$Z$4,IF('Levantamento dutos'!$B299&lt;=Calculos!$Z$5,((('Levantamento dutos'!$B299)/100+('Levantamento dutos'!$C299)/100)*2)*'Levantamento dutos'!$D299,0),0)</f>
        <v>0</v>
      </c>
      <c r="E299">
        <f>IF('Levantamento dutos'!$B299&gt;Calculos!$Z$5,IF('Levantamento dutos'!$B299&lt;=Calculos!$Z$6,((('Levantamento dutos'!$B299)/100+('Levantamento dutos'!$C299)/100)*2)*'Levantamento dutos'!$D299,0),0)</f>
        <v>0</v>
      </c>
      <c r="F299" s="59">
        <f>IF('Levantamento dutos'!$B299&gt;Calculos!$Z$7,((('Levantamento dutos'!$B299)/100+('Levantamento dutos'!$C299)/100)*2)*'Levantamento dutos'!$D299,0)</f>
        <v>0</v>
      </c>
      <c r="G299">
        <f>(('Levantamento dutos'!B299+'Levantamento dutos'!C299)/100)*2</f>
        <v>0</v>
      </c>
      <c r="H299" s="58">
        <f>IF(CODE('Levantamento dutos'!$E299)=76,SUM($B299:$F299),0)</f>
        <v>0</v>
      </c>
      <c r="I299">
        <f>IF(CODE('Levantamento dutos'!$E299)=73,SUM($B299:$F299),0)</f>
        <v>0</v>
      </c>
      <c r="J299">
        <f>IF(CODE('Levantamento dutos'!$E299)=80,SUM($B299:$F299),0)</f>
        <v>0</v>
      </c>
      <c r="K299">
        <f>IF(CODE('Levantamento dutos'!$F299)=66,SUM($B299:$F299),0)</f>
        <v>0</v>
      </c>
      <c r="L299">
        <f>IF(CODE('Levantamento dutos'!$F299)=70,SUM($B299:$F299),0)</f>
        <v>0</v>
      </c>
      <c r="M299" s="59">
        <f>IF(CODE('Levantamento dutos'!$E299)=84,SUM($B299:$F299),0)</f>
        <v>0</v>
      </c>
      <c r="N299" s="60">
        <f>IF(CODE('Levantamento dutos'!$G299)=80,IF('Levantamento dutos'!$B299&lt;=200,('Levantamento dutos'!$D299/'Levantamento dutos'!$G$12*Calculos!$G299*2),0),0)</f>
        <v>0</v>
      </c>
      <c r="O299" s="60">
        <f>IF(CODE('Levantamento dutos'!$G299)=80,IF('Levantamento dutos'!$B299&gt;200,('Levantamento dutos'!$D299/'Levantamento dutos'!$G$12*Calculos!$G299*2),0),0)</f>
        <v>0</v>
      </c>
      <c r="P299" s="60">
        <f>IF(CODE('Levantamento dutos'!$G299)=67,('Levantamento dutos'!$D299/'Levantamento dutos'!$G$12*Calculos!$G299*2),0)</f>
        <v>0</v>
      </c>
      <c r="Q299" s="60">
        <f>IF(CODE('Levantamento dutos'!H299)=83,((('Levantamento dutos'!B299/100)+('Levantamento dutos'!$H$12/1000))+(('Levantamento dutos'!C299/100)+('Levantamento dutos'!$H$12)/1000))*2*'Levantamento dutos'!D299,0)</f>
        <v>0</v>
      </c>
      <c r="S299" s="60">
        <f>IF(CODE('Levantamento dutos'!$I299)=83,$Q299,0)</f>
        <v>0</v>
      </c>
      <c r="T299" s="60">
        <f>IF(CODE('Levantamento dutos'!$E299)=76,ROUND((('Levantamento dutos'!$D299/5)*(Calculos!$G299+0.2)*1.2),0),0)</f>
        <v>0</v>
      </c>
      <c r="U299" s="60">
        <f>IF(CODE('Levantamento dutos'!$E299)=73,ROUND((('Levantamento dutos'!$D299/0.5)*(Calculos!$G299+0.2)*1.2),0),0)</f>
        <v>0</v>
      </c>
      <c r="V299" s="60">
        <f>IF(CODE('Levantamento dutos'!$E299)=80,ROUND((('Levantamento dutos'!$D299/0.5)*(Calculos!$G299+0.2)*1.2),0),0)</f>
        <v>0</v>
      </c>
      <c r="W299" s="60">
        <f>IF(CODE('Levantamento dutos'!$E299)=76,'Levantamento dutos'!$D299/0.5*1.5,0)</f>
        <v>0</v>
      </c>
      <c r="X299" s="60">
        <f>IF(CODE('Levantamento dutos'!$E299)=73,'Levantamento dutos'!$D299/0.5*1.5,0)</f>
        <v>0</v>
      </c>
      <c r="Y299" s="60">
        <f>IF(CODE('Levantamento dutos'!$E299)=80,'Levantamento dutos'!$D299/0.5*1.5,0)</f>
        <v>0</v>
      </c>
      <c r="Z299" s="60">
        <f>IF(CODE('Levantamento dutos'!$E299)=76,ROUND(('Levantamento dutos'!$D299)+('Levantamento dutos'!$D299*Calculos!$G299*2)*1.1,0),0)</f>
        <v>0</v>
      </c>
      <c r="AA299" s="60">
        <f>IF(CODE('Levantamento dutos'!$G299)=80,('Levantamento dutos'!$D299/'Levantamento dutos'!$G$12)*8,0)</f>
        <v>0</v>
      </c>
      <c r="AB299" s="60">
        <f>IF(CODE('Levantamento dutos'!$G299)=80,IF('Levantamento dutos'!$B299&gt;30,('Levantamento dutos'!$D299/'Levantamento dutos'!$G$12)*4,0),0)</f>
        <v>0</v>
      </c>
      <c r="AC299" s="60">
        <f>IF('Levantamento dutos'!$B299&gt;220,('Levantamento dutos'!$D299/'Levantamento dutos'!$G$12*Calculos!$G299*2),0)</f>
        <v>0</v>
      </c>
      <c r="AD299" s="60">
        <f>IF(CODE('Levantamento dutos'!$E299)=73,((('Levantamento dutos'!$E$12/1000)+0.02)*'Levantamento dutos'!$D299)*4*1.3,0)</f>
        <v>0</v>
      </c>
      <c r="AE299" s="60">
        <f>IF(CODE('Levantamento dutos'!$E299)=80,((('Levantamento dutos'!$E$12/1000)+0.02)*'Levantamento dutos'!$D299)*4*1.3,0)</f>
        <v>0</v>
      </c>
    </row>
    <row r="300" spans="2:31" x14ac:dyDescent="0.2">
      <c r="B300" s="61">
        <f>IF('Levantamento dutos'!$B300&lt;=Calculos!$Z$3,((('Levantamento dutos'!$B300)/100+('Levantamento dutos'!$C300)/100)*2)*'Levantamento dutos'!$D300,0)</f>
        <v>0</v>
      </c>
      <c r="C300" s="62">
        <f>IF('Levantamento dutos'!$B300&gt;Calculos!$Z$3,IF('Levantamento dutos'!$B300&lt;=Calculos!$Z$4,((('Levantamento dutos'!$B300)/100+('Levantamento dutos'!$C300)/100)*2)*'Levantamento dutos'!$D300,0),0)</f>
        <v>0</v>
      </c>
      <c r="D300" s="62">
        <f>IF('Levantamento dutos'!$B300&gt;Calculos!$Z$4,IF('Levantamento dutos'!$B300&lt;=Calculos!$Z$5,((('Levantamento dutos'!$B300)/100+('Levantamento dutos'!$C300)/100)*2)*'Levantamento dutos'!$D300,0),0)</f>
        <v>0</v>
      </c>
      <c r="E300" s="62">
        <f>IF('Levantamento dutos'!$B300&gt;Calculos!$Z$5,IF('Levantamento dutos'!$B300&lt;=Calculos!$Z$6,((('Levantamento dutos'!$B300)/100+('Levantamento dutos'!$C300)/100)*2)*'Levantamento dutos'!$D300,0),0)</f>
        <v>0</v>
      </c>
      <c r="F300" s="63">
        <f>IF('Levantamento dutos'!$B300&gt;Calculos!$Z$7,((('Levantamento dutos'!$B300)/100+('Levantamento dutos'!$C300)/100)*2)*'Levantamento dutos'!$D300,0)</f>
        <v>0</v>
      </c>
      <c r="G300">
        <f>(('Levantamento dutos'!B300+'Levantamento dutos'!C300)/100)*2</f>
        <v>0</v>
      </c>
      <c r="H300" s="61">
        <f>IF(CODE('Levantamento dutos'!$E300)=76,SUM($B300:$F300),0)</f>
        <v>0</v>
      </c>
      <c r="I300" s="62">
        <f>IF(CODE('Levantamento dutos'!$E300)=73,SUM($B300:$F300),0)</f>
        <v>0</v>
      </c>
      <c r="J300" s="62">
        <f>IF(CODE('Levantamento dutos'!$E300)=80,SUM($B300:$F300),0)</f>
        <v>0</v>
      </c>
      <c r="K300" s="62">
        <f>IF(CODE('Levantamento dutos'!$F300)=66,SUM($B300:$F300),0)</f>
        <v>0</v>
      </c>
      <c r="L300" s="62">
        <f>IF(CODE('Levantamento dutos'!$F300)=70,SUM($B300:$F300),0)</f>
        <v>0</v>
      </c>
      <c r="M300" s="63">
        <f>IF(CODE('Levantamento dutos'!$E300)=84,SUM($B300:$F300),0)</f>
        <v>0</v>
      </c>
      <c r="N300" s="64">
        <f>IF(CODE('Levantamento dutos'!$G300)=80,IF('Levantamento dutos'!$B300&lt;=200,('Levantamento dutos'!$D300/'Levantamento dutos'!$G$12*Calculos!$G300*2),0),0)</f>
        <v>0</v>
      </c>
      <c r="O300" s="64">
        <f>IF(CODE('Levantamento dutos'!$G300)=80,IF('Levantamento dutos'!$B300&gt;200,('Levantamento dutos'!$D300/'Levantamento dutos'!$G$12*Calculos!$G300*2),0),0)</f>
        <v>0</v>
      </c>
      <c r="P300" s="64">
        <f>IF(CODE('Levantamento dutos'!$G300)=67,('Levantamento dutos'!$D300/'Levantamento dutos'!$G$12*Calculos!$G300*2),0)</f>
        <v>0</v>
      </c>
      <c r="Q300" s="64">
        <f>IF(CODE('Levantamento dutos'!H300)=83,((('Levantamento dutos'!B300/100)+('Levantamento dutos'!$H$12/1000))+(('Levantamento dutos'!C300/100)+('Levantamento dutos'!$H$12)/1000))*2*'Levantamento dutos'!D300,0)</f>
        <v>0</v>
      </c>
      <c r="S300" s="64">
        <f>IF(CODE('Levantamento dutos'!$I300)=83,$Q300,0)</f>
        <v>0</v>
      </c>
      <c r="T300" s="64">
        <f>IF(CODE('Levantamento dutos'!$E300)=76,ROUND((('Levantamento dutos'!$D300/5)*(Calculos!$G300+0.2)*1.2),0),0)</f>
        <v>0</v>
      </c>
      <c r="U300" s="64">
        <f>IF(CODE('Levantamento dutos'!$E300)=73,ROUND((('Levantamento dutos'!$D300/0.5)*(Calculos!$G300+0.2)*1.2),0),0)</f>
        <v>0</v>
      </c>
      <c r="V300" s="64">
        <f>IF(CODE('Levantamento dutos'!$E300)=80,ROUND((('Levantamento dutos'!$D300/0.5)*(Calculos!$G300+0.2)*1.2),0),0)</f>
        <v>0</v>
      </c>
      <c r="W300" s="64">
        <f>IF(CODE('Levantamento dutos'!$E300)=76,'Levantamento dutos'!$D300/0.5*1.5,0)</f>
        <v>0</v>
      </c>
      <c r="X300" s="64">
        <f>IF(CODE('Levantamento dutos'!$E300)=73,'Levantamento dutos'!$D300/0.5*1.5,0)</f>
        <v>0</v>
      </c>
      <c r="Y300" s="64">
        <f>IF(CODE('Levantamento dutos'!$E300)=80,'Levantamento dutos'!$D300/0.5*1.5,0)</f>
        <v>0</v>
      </c>
      <c r="Z300" s="64">
        <f>IF(CODE('Levantamento dutos'!$E300)=76,ROUND(('Levantamento dutos'!$D300)+('Levantamento dutos'!$D300*Calculos!$G300*2)*1.1,0),0)</f>
        <v>0</v>
      </c>
      <c r="AA300" s="64">
        <f>IF(CODE('Levantamento dutos'!$G300)=80,('Levantamento dutos'!$D300/'Levantamento dutos'!$G$12)*8,0)</f>
        <v>0</v>
      </c>
      <c r="AB300" s="64">
        <f>IF(CODE('Levantamento dutos'!$G300)=80,IF('Levantamento dutos'!$B300&gt;30,('Levantamento dutos'!$D300/'Levantamento dutos'!$G$12)*4,0),0)</f>
        <v>0</v>
      </c>
      <c r="AC300" s="64">
        <f>IF('Levantamento dutos'!$B300&gt;220,('Levantamento dutos'!$D300/'Levantamento dutos'!$G$12*Calculos!$G300*2),0)</f>
        <v>0</v>
      </c>
      <c r="AD300" s="64">
        <f>IF(CODE('Levantamento dutos'!$E300)=73,((('Levantamento dutos'!$E$12/1000)+0.02)*'Levantamento dutos'!$D300)*4*1.3,0)</f>
        <v>0</v>
      </c>
      <c r="AE300" s="64">
        <f>IF(CODE('Levantamento dutos'!$E300)=80,((('Levantamento dutos'!$E$12/1000)+0.02)*'Levantamento dutos'!$D300)*4*1.3,0)</f>
        <v>0</v>
      </c>
    </row>
    <row r="302" spans="2:31" x14ac:dyDescent="0.2">
      <c r="B302" s="65">
        <f>SUM(B13:B301)</f>
        <v>0</v>
      </c>
      <c r="C302" s="65">
        <f t="shared" ref="C302:H302" si="0">SUM(C13:C301)</f>
        <v>3.9000000000000004</v>
      </c>
      <c r="D302" s="65">
        <f t="shared" si="0"/>
        <v>0</v>
      </c>
      <c r="E302" s="65">
        <f t="shared" si="0"/>
        <v>0</v>
      </c>
      <c r="F302" s="65">
        <f t="shared" si="0"/>
        <v>0</v>
      </c>
      <c r="H302" s="65">
        <f t="shared" si="0"/>
        <v>0</v>
      </c>
      <c r="I302" s="65">
        <f t="shared" ref="I302:AE302" si="1">SUM(I13:I301)</f>
        <v>0</v>
      </c>
      <c r="J302" s="65">
        <f t="shared" si="1"/>
        <v>0</v>
      </c>
      <c r="K302" s="65">
        <f t="shared" si="1"/>
        <v>0</v>
      </c>
      <c r="L302" s="65">
        <f t="shared" si="1"/>
        <v>0</v>
      </c>
      <c r="M302" s="65">
        <f t="shared" si="1"/>
        <v>0</v>
      </c>
      <c r="N302" s="65">
        <f t="shared" si="1"/>
        <v>7.8000000000000007</v>
      </c>
      <c r="O302" s="65">
        <f t="shared" si="1"/>
        <v>0</v>
      </c>
      <c r="P302" s="65">
        <f t="shared" si="1"/>
        <v>0</v>
      </c>
      <c r="Q302" s="65">
        <f t="shared" si="1"/>
        <v>0</v>
      </c>
      <c r="S302" s="65">
        <f t="shared" si="1"/>
        <v>0</v>
      </c>
      <c r="T302" s="65">
        <f t="shared" si="1"/>
        <v>0</v>
      </c>
      <c r="U302" s="65">
        <f t="shared" si="1"/>
        <v>0</v>
      </c>
      <c r="V302" s="65">
        <f t="shared" si="1"/>
        <v>0</v>
      </c>
      <c r="W302" s="65">
        <f t="shared" si="1"/>
        <v>0</v>
      </c>
      <c r="X302" s="65">
        <f t="shared" si="1"/>
        <v>0</v>
      </c>
      <c r="Y302" s="65">
        <f t="shared" si="1"/>
        <v>0</v>
      </c>
      <c r="Z302" s="65">
        <f t="shared" si="1"/>
        <v>0</v>
      </c>
      <c r="AA302" s="65">
        <f t="shared" si="1"/>
        <v>24</v>
      </c>
      <c r="AB302" s="65">
        <f t="shared" si="1"/>
        <v>12</v>
      </c>
      <c r="AC302" s="65">
        <f t="shared" si="1"/>
        <v>0</v>
      </c>
      <c r="AD302" s="65">
        <f t="shared" si="1"/>
        <v>0</v>
      </c>
      <c r="AE302" s="65">
        <f t="shared" si="1"/>
        <v>0</v>
      </c>
    </row>
    <row r="303" spans="2:31" x14ac:dyDescent="0.2">
      <c r="B303" s="65">
        <f>B302*4.5</f>
        <v>0</v>
      </c>
      <c r="C303" s="65">
        <f>C302*5.7</f>
        <v>22.230000000000004</v>
      </c>
      <c r="D303" s="65">
        <f>D302*6.8</f>
        <v>0</v>
      </c>
      <c r="E303" s="65">
        <f>E302*8.1</f>
        <v>0</v>
      </c>
      <c r="F303" s="65">
        <f>F302*10.5</f>
        <v>0</v>
      </c>
      <c r="G303">
        <f>SUM(B303:F303)+Q304</f>
        <v>22.230000000000004</v>
      </c>
      <c r="H303" s="65"/>
      <c r="I303" s="65"/>
      <c r="J303" s="65"/>
      <c r="K303" s="65"/>
      <c r="L303" s="65"/>
      <c r="M303" s="65"/>
      <c r="N303" s="65"/>
      <c r="O303" s="65"/>
      <c r="P303" s="65"/>
      <c r="Q303" s="65">
        <v>4.5</v>
      </c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>
        <v>4.5</v>
      </c>
      <c r="AE303" s="65">
        <v>4.5</v>
      </c>
    </row>
    <row r="304" spans="2:31" x14ac:dyDescent="0.2">
      <c r="B304" s="65">
        <f>B303*(Principal!$G$16/100+1)</f>
        <v>0</v>
      </c>
      <c r="C304" s="65">
        <f>C303*(Principal!$G$16/100+1)</f>
        <v>26.676000000000005</v>
      </c>
      <c r="D304" s="65">
        <f>D303*(Principal!$G$16/100+1)</f>
        <v>0</v>
      </c>
      <c r="E304" s="65">
        <f>E303*(Principal!$G$16/100+1)</f>
        <v>0</v>
      </c>
      <c r="F304" s="65">
        <f>F303*(Principal!$G$16/100+1)</f>
        <v>0</v>
      </c>
      <c r="H304" s="65">
        <f>H302*(Principal!$G$20/100+1)</f>
        <v>0</v>
      </c>
      <c r="I304" s="65">
        <f>I302*(Principal!$G$20/100+1)</f>
        <v>0</v>
      </c>
      <c r="J304" s="65">
        <f>J302*(Principal!$G$20/100+1)</f>
        <v>0</v>
      </c>
      <c r="K304" s="65">
        <f>K302*(Principal!$G$20/100+1)</f>
        <v>0</v>
      </c>
      <c r="L304" s="65">
        <f>L302*(Principal!$G$20/100+1)</f>
        <v>0</v>
      </c>
      <c r="M304" s="65">
        <f>M302*(Principal!$G$20/100+1)</f>
        <v>0</v>
      </c>
      <c r="N304" s="65">
        <f>N302*(Principal!$G$20/100+1)</f>
        <v>8.9700000000000006</v>
      </c>
      <c r="O304" s="65">
        <f>O302*(Principal!$G$20/100+1)</f>
        <v>0</v>
      </c>
      <c r="P304" s="65">
        <f>P302</f>
        <v>0</v>
      </c>
      <c r="Q304" s="65">
        <f>Q302*Q303</f>
        <v>0</v>
      </c>
      <c r="S304" s="65">
        <f>S302*(Principal!$G$20/100+1)</f>
        <v>0</v>
      </c>
      <c r="T304" s="65">
        <f t="shared" ref="T304:AC304" si="2">T302</f>
        <v>0</v>
      </c>
      <c r="U304" s="65">
        <f t="shared" si="2"/>
        <v>0</v>
      </c>
      <c r="V304" s="65">
        <f t="shared" si="2"/>
        <v>0</v>
      </c>
      <c r="W304" s="65">
        <f t="shared" si="2"/>
        <v>0</v>
      </c>
      <c r="X304" s="65">
        <f t="shared" si="2"/>
        <v>0</v>
      </c>
      <c r="Y304" s="65">
        <f t="shared" si="2"/>
        <v>0</v>
      </c>
      <c r="Z304" s="65">
        <f t="shared" si="2"/>
        <v>0</v>
      </c>
      <c r="AA304" s="65">
        <f t="shared" si="2"/>
        <v>24</v>
      </c>
      <c r="AB304" s="65">
        <f t="shared" si="2"/>
        <v>12</v>
      </c>
      <c r="AC304" s="65">
        <f t="shared" si="2"/>
        <v>0</v>
      </c>
      <c r="AD304" s="65">
        <f>AD303*AD302</f>
        <v>0</v>
      </c>
      <c r="AE304" s="65">
        <f>AE303*AE302</f>
        <v>0</v>
      </c>
    </row>
    <row r="305" spans="14:31" x14ac:dyDescent="0.2">
      <c r="N305" t="s">
        <v>67</v>
      </c>
      <c r="O305" t="s">
        <v>67</v>
      </c>
      <c r="P305" t="s">
        <v>67</v>
      </c>
      <c r="Q305" t="s">
        <v>66</v>
      </c>
      <c r="S305" t="s">
        <v>83</v>
      </c>
      <c r="T305" t="s">
        <v>67</v>
      </c>
      <c r="U305" t="s">
        <v>67</v>
      </c>
      <c r="V305" t="s">
        <v>67</v>
      </c>
      <c r="W305" t="s">
        <v>86</v>
      </c>
      <c r="X305" t="s">
        <v>86</v>
      </c>
      <c r="Y305" t="s">
        <v>86</v>
      </c>
      <c r="Z305" t="s">
        <v>67</v>
      </c>
      <c r="AA305" t="s">
        <v>86</v>
      </c>
      <c r="AB305" t="s">
        <v>86</v>
      </c>
      <c r="AC305" t="s">
        <v>67</v>
      </c>
      <c r="AD305" t="s">
        <v>66</v>
      </c>
      <c r="AE305" t="s">
        <v>66</v>
      </c>
    </row>
  </sheetData>
  <sheetProtection sheet="1" objects="1" scenarios="1"/>
  <mergeCells count="3">
    <mergeCell ref="D2:E2"/>
    <mergeCell ref="F2:G2"/>
    <mergeCell ref="H2:I2"/>
  </mergeCells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56"/>
  <sheetViews>
    <sheetView showGridLines="0" topLeftCell="A7" workbookViewId="0">
      <selection activeCell="L37" sqref="L37"/>
    </sheetView>
  </sheetViews>
  <sheetFormatPr defaultRowHeight="12.75" x14ac:dyDescent="0.2"/>
  <cols>
    <col min="1" max="1" width="2.85546875" customWidth="1"/>
    <col min="3" max="3" width="12.7109375" customWidth="1"/>
  </cols>
  <sheetData>
    <row r="1" spans="2:6" x14ac:dyDescent="0.2">
      <c r="B1" s="176" t="s">
        <v>59</v>
      </c>
      <c r="C1" s="176"/>
    </row>
    <row r="3" spans="2:6" x14ac:dyDescent="0.2">
      <c r="B3" s="145" t="s">
        <v>68</v>
      </c>
      <c r="C3" s="145"/>
      <c r="D3" s="8" t="s">
        <v>71</v>
      </c>
      <c r="E3" s="145" t="s">
        <v>73</v>
      </c>
      <c r="F3" s="145"/>
    </row>
    <row r="4" spans="2:6" x14ac:dyDescent="0.2">
      <c r="B4" s="143" t="s">
        <v>15</v>
      </c>
      <c r="C4" s="143"/>
      <c r="D4" s="12" t="s">
        <v>66</v>
      </c>
      <c r="E4" s="172">
        <v>17</v>
      </c>
      <c r="F4" s="172"/>
    </row>
    <row r="5" spans="2:6" x14ac:dyDescent="0.2">
      <c r="B5" s="143" t="s">
        <v>16</v>
      </c>
      <c r="C5" s="143"/>
      <c r="D5" s="12" t="s">
        <v>66</v>
      </c>
      <c r="E5" s="172">
        <v>17</v>
      </c>
      <c r="F5" s="172"/>
    </row>
    <row r="6" spans="2:6" x14ac:dyDescent="0.2">
      <c r="B6" s="143" t="s">
        <v>17</v>
      </c>
      <c r="C6" s="143"/>
      <c r="D6" s="12" t="s">
        <v>66</v>
      </c>
      <c r="E6" s="172">
        <v>17</v>
      </c>
      <c r="F6" s="172"/>
    </row>
    <row r="7" spans="2:6" x14ac:dyDescent="0.2">
      <c r="B7" s="143" t="s">
        <v>18</v>
      </c>
      <c r="C7" s="143"/>
      <c r="D7" s="12" t="s">
        <v>66</v>
      </c>
      <c r="E7" s="172">
        <v>17</v>
      </c>
      <c r="F7" s="172"/>
    </row>
    <row r="8" spans="2:6" x14ac:dyDescent="0.2">
      <c r="B8" s="143" t="s">
        <v>19</v>
      </c>
      <c r="C8" s="143"/>
      <c r="D8" s="12" t="s">
        <v>66</v>
      </c>
      <c r="E8" s="172">
        <v>17</v>
      </c>
      <c r="F8" s="172"/>
    </row>
    <row r="9" spans="2:6" x14ac:dyDescent="0.2">
      <c r="B9" s="143" t="s">
        <v>69</v>
      </c>
      <c r="C9" s="143"/>
      <c r="D9" s="12" t="s">
        <v>66</v>
      </c>
      <c r="E9" s="172">
        <v>17</v>
      </c>
      <c r="F9" s="172"/>
    </row>
    <row r="10" spans="2:6" x14ac:dyDescent="0.2">
      <c r="B10" s="144" t="s">
        <v>70</v>
      </c>
      <c r="C10" s="144"/>
      <c r="D10" s="14" t="s">
        <v>66</v>
      </c>
      <c r="E10" s="173">
        <v>17</v>
      </c>
      <c r="F10" s="173"/>
    </row>
    <row r="11" spans="2:6" x14ac:dyDescent="0.2">
      <c r="B11" s="11"/>
      <c r="C11" s="11"/>
      <c r="D11" s="11"/>
      <c r="E11" s="17"/>
      <c r="F11" s="17"/>
    </row>
    <row r="12" spans="2:6" x14ac:dyDescent="0.2">
      <c r="B12" s="11"/>
      <c r="C12" s="11"/>
      <c r="D12" s="11"/>
      <c r="E12" s="11"/>
      <c r="F12" s="11"/>
    </row>
    <row r="13" spans="2:6" x14ac:dyDescent="0.2">
      <c r="B13" s="145" t="s">
        <v>23</v>
      </c>
      <c r="C13" s="145"/>
      <c r="D13" s="8" t="s">
        <v>71</v>
      </c>
      <c r="E13" s="145" t="s">
        <v>73</v>
      </c>
      <c r="F13" s="145"/>
    </row>
    <row r="14" spans="2:6" x14ac:dyDescent="0.2">
      <c r="B14" s="143" t="s">
        <v>75</v>
      </c>
      <c r="C14" s="143"/>
      <c r="D14" s="12" t="s">
        <v>83</v>
      </c>
      <c r="E14" s="174">
        <v>6.6</v>
      </c>
      <c r="F14" s="175"/>
    </row>
    <row r="15" spans="2:6" x14ac:dyDescent="0.2">
      <c r="B15" s="143" t="s">
        <v>76</v>
      </c>
      <c r="C15" s="143"/>
      <c r="D15" s="12" t="s">
        <v>83</v>
      </c>
      <c r="E15" s="162">
        <v>15</v>
      </c>
      <c r="F15" s="163"/>
    </row>
    <row r="16" spans="2:6" x14ac:dyDescent="0.2">
      <c r="B16" s="143" t="s">
        <v>87</v>
      </c>
      <c r="C16" s="143"/>
      <c r="D16" s="12" t="s">
        <v>83</v>
      </c>
      <c r="E16" s="162">
        <v>130</v>
      </c>
      <c r="F16" s="163"/>
    </row>
    <row r="17" spans="2:6" x14ac:dyDescent="0.2">
      <c r="B17" s="143" t="s">
        <v>77</v>
      </c>
      <c r="C17" s="143"/>
      <c r="D17" s="12" t="s">
        <v>83</v>
      </c>
      <c r="E17" s="162">
        <v>6</v>
      </c>
      <c r="F17" s="163"/>
    </row>
    <row r="18" spans="2:6" x14ac:dyDescent="0.2">
      <c r="B18" s="143" t="s">
        <v>50</v>
      </c>
      <c r="C18" s="143"/>
      <c r="D18" s="12" t="s">
        <v>83</v>
      </c>
      <c r="E18" s="162">
        <v>17.53</v>
      </c>
      <c r="F18" s="163"/>
    </row>
    <row r="19" spans="2:6" x14ac:dyDescent="0.2">
      <c r="B19" s="143" t="s">
        <v>78</v>
      </c>
      <c r="C19" s="143"/>
      <c r="D19" s="12" t="s">
        <v>84</v>
      </c>
      <c r="E19" s="162">
        <v>15.5</v>
      </c>
      <c r="F19" s="163"/>
    </row>
    <row r="20" spans="2:6" x14ac:dyDescent="0.2">
      <c r="B20" s="143" t="s">
        <v>79</v>
      </c>
      <c r="C20" s="143"/>
      <c r="D20" s="12" t="s">
        <v>85</v>
      </c>
      <c r="E20" s="162">
        <v>62.66</v>
      </c>
      <c r="F20" s="163"/>
    </row>
    <row r="21" spans="2:6" x14ac:dyDescent="0.2">
      <c r="B21" s="143" t="s">
        <v>80</v>
      </c>
      <c r="C21" s="143"/>
      <c r="D21" s="12" t="s">
        <v>67</v>
      </c>
      <c r="E21" s="162">
        <v>0.03</v>
      </c>
      <c r="F21" s="163"/>
    </row>
    <row r="22" spans="2:6" x14ac:dyDescent="0.2">
      <c r="B22" s="143" t="s">
        <v>81</v>
      </c>
      <c r="C22" s="143"/>
      <c r="D22" s="12" t="s">
        <v>86</v>
      </c>
      <c r="E22" s="162">
        <v>0.1</v>
      </c>
      <c r="F22" s="163"/>
    </row>
    <row r="23" spans="2:6" x14ac:dyDescent="0.2">
      <c r="B23" s="143" t="s">
        <v>82</v>
      </c>
      <c r="C23" s="143"/>
      <c r="D23" s="12" t="s">
        <v>67</v>
      </c>
      <c r="E23" s="162">
        <v>0.1</v>
      </c>
      <c r="F23" s="163"/>
    </row>
    <row r="24" spans="2:6" x14ac:dyDescent="0.2">
      <c r="B24" s="161"/>
      <c r="C24" s="161"/>
      <c r="D24" s="3"/>
      <c r="E24" s="172"/>
      <c r="F24" s="172"/>
    </row>
    <row r="25" spans="2:6" x14ac:dyDescent="0.2">
      <c r="B25" s="158"/>
      <c r="C25" s="158"/>
      <c r="D25" s="5"/>
      <c r="E25" s="173"/>
      <c r="F25" s="173"/>
    </row>
    <row r="26" spans="2:6" x14ac:dyDescent="0.2">
      <c r="B26" s="11"/>
      <c r="C26" s="11"/>
      <c r="D26" s="11"/>
      <c r="E26" s="17"/>
      <c r="F26" s="17"/>
    </row>
    <row r="27" spans="2:6" x14ac:dyDescent="0.2">
      <c r="B27" s="11"/>
      <c r="C27" s="11"/>
      <c r="D27" s="11"/>
      <c r="E27" s="11"/>
      <c r="F27" s="11"/>
    </row>
    <row r="28" spans="2:6" x14ac:dyDescent="0.2">
      <c r="B28" s="145" t="s">
        <v>51</v>
      </c>
      <c r="C28" s="145"/>
      <c r="D28" s="8" t="s">
        <v>71</v>
      </c>
      <c r="E28" s="145" t="s">
        <v>73</v>
      </c>
      <c r="F28" s="145"/>
    </row>
    <row r="29" spans="2:6" x14ac:dyDescent="0.2">
      <c r="B29" s="143" t="s">
        <v>88</v>
      </c>
      <c r="C29" s="143"/>
      <c r="D29" s="12" t="s">
        <v>84</v>
      </c>
      <c r="E29" s="172">
        <v>95</v>
      </c>
      <c r="F29" s="172"/>
    </row>
    <row r="30" spans="2:6" x14ac:dyDescent="0.2">
      <c r="B30" s="143" t="s">
        <v>89</v>
      </c>
      <c r="C30" s="143"/>
      <c r="D30" s="12" t="s">
        <v>84</v>
      </c>
      <c r="E30" s="172">
        <v>150</v>
      </c>
      <c r="F30" s="172"/>
    </row>
    <row r="31" spans="2:6" x14ac:dyDescent="0.2">
      <c r="B31" s="143" t="s">
        <v>90</v>
      </c>
      <c r="C31" s="143"/>
      <c r="D31" s="12" t="s">
        <v>86</v>
      </c>
      <c r="E31" s="172">
        <v>6</v>
      </c>
      <c r="F31" s="172"/>
    </row>
    <row r="32" spans="2:6" x14ac:dyDescent="0.2">
      <c r="B32" s="144" t="s">
        <v>91</v>
      </c>
      <c r="C32" s="144"/>
      <c r="D32" s="14" t="s">
        <v>92</v>
      </c>
      <c r="E32" s="173">
        <v>12</v>
      </c>
      <c r="F32" s="173"/>
    </row>
    <row r="33" spans="2:6" x14ac:dyDescent="0.2">
      <c r="B33" s="11"/>
      <c r="C33" s="11"/>
      <c r="D33" s="11"/>
      <c r="E33" s="17"/>
      <c r="F33" s="17"/>
    </row>
    <row r="34" spans="2:6" x14ac:dyDescent="0.2">
      <c r="B34" s="11"/>
      <c r="C34" s="11"/>
      <c r="D34" s="11"/>
      <c r="E34" s="11"/>
      <c r="F34" s="11"/>
    </row>
    <row r="35" spans="2:6" x14ac:dyDescent="0.2">
      <c r="B35" s="145" t="s">
        <v>93</v>
      </c>
      <c r="C35" s="145"/>
      <c r="D35" s="8" t="s">
        <v>71</v>
      </c>
      <c r="E35" s="145" t="s">
        <v>73</v>
      </c>
      <c r="F35" s="145"/>
    </row>
    <row r="36" spans="2:6" x14ac:dyDescent="0.2">
      <c r="B36" s="144" t="s">
        <v>93</v>
      </c>
      <c r="C36" s="144"/>
      <c r="D36" s="14" t="s">
        <v>66</v>
      </c>
      <c r="E36" s="173">
        <v>2</v>
      </c>
      <c r="F36" s="173"/>
    </row>
    <row r="37" spans="2:6" x14ac:dyDescent="0.2">
      <c r="B37" s="11"/>
      <c r="C37" s="11"/>
      <c r="D37" s="11"/>
      <c r="E37" s="17"/>
      <c r="F37" s="17"/>
    </row>
    <row r="38" spans="2:6" x14ac:dyDescent="0.2">
      <c r="B38" s="11"/>
      <c r="C38" s="11"/>
      <c r="D38" s="11"/>
      <c r="E38" s="11"/>
      <c r="F38" s="11"/>
    </row>
    <row r="39" spans="2:6" x14ac:dyDescent="0.2">
      <c r="B39" s="145" t="s">
        <v>94</v>
      </c>
      <c r="C39" s="145"/>
      <c r="D39" s="8" t="s">
        <v>71</v>
      </c>
      <c r="E39" s="145" t="s">
        <v>73</v>
      </c>
      <c r="F39" s="145"/>
    </row>
    <row r="40" spans="2:6" x14ac:dyDescent="0.2">
      <c r="B40" s="143" t="s">
        <v>95</v>
      </c>
      <c r="C40" s="143"/>
      <c r="D40" s="12" t="s">
        <v>86</v>
      </c>
      <c r="E40" s="172">
        <v>14</v>
      </c>
      <c r="F40" s="172"/>
    </row>
    <row r="41" spans="2:6" x14ac:dyDescent="0.2">
      <c r="B41" s="144" t="s">
        <v>96</v>
      </c>
      <c r="C41" s="144"/>
      <c r="D41" s="14" t="s">
        <v>86</v>
      </c>
      <c r="E41" s="173">
        <v>9.6</v>
      </c>
      <c r="F41" s="173"/>
    </row>
    <row r="42" spans="2:6" x14ac:dyDescent="0.2">
      <c r="B42" s="11"/>
      <c r="C42" s="11"/>
      <c r="D42" s="11"/>
      <c r="E42" s="17"/>
      <c r="F42" s="17"/>
    </row>
    <row r="43" spans="2:6" x14ac:dyDescent="0.2">
      <c r="B43" s="11"/>
      <c r="C43" s="11"/>
      <c r="D43" s="11"/>
      <c r="E43" s="11"/>
      <c r="F43" s="11"/>
    </row>
    <row r="44" spans="2:6" x14ac:dyDescent="0.2">
      <c r="B44" s="145" t="s">
        <v>97</v>
      </c>
      <c r="C44" s="145"/>
      <c r="D44" s="8" t="s">
        <v>71</v>
      </c>
      <c r="E44" s="145" t="s">
        <v>73</v>
      </c>
      <c r="F44" s="145"/>
    </row>
    <row r="45" spans="2:6" x14ac:dyDescent="0.2">
      <c r="B45" s="143" t="s">
        <v>54</v>
      </c>
      <c r="C45" s="143"/>
      <c r="D45" s="12"/>
      <c r="E45" s="174"/>
      <c r="F45" s="175"/>
    </row>
    <row r="46" spans="2:6" x14ac:dyDescent="0.2">
      <c r="B46" s="143" t="s">
        <v>98</v>
      </c>
      <c r="C46" s="143"/>
      <c r="D46" s="12" t="s">
        <v>67</v>
      </c>
      <c r="E46" s="162">
        <v>5</v>
      </c>
      <c r="F46" s="163"/>
    </row>
    <row r="47" spans="2:6" x14ac:dyDescent="0.2">
      <c r="B47" s="143" t="s">
        <v>99</v>
      </c>
      <c r="C47" s="143"/>
      <c r="D47" s="12" t="s">
        <v>67</v>
      </c>
      <c r="E47" s="162">
        <v>6</v>
      </c>
      <c r="F47" s="163"/>
    </row>
    <row r="48" spans="2:6" x14ac:dyDescent="0.2">
      <c r="B48" s="143" t="s">
        <v>100</v>
      </c>
      <c r="C48" s="143"/>
      <c r="D48" s="12" t="s">
        <v>86</v>
      </c>
      <c r="E48" s="162">
        <v>0.84</v>
      </c>
      <c r="F48" s="163"/>
    </row>
    <row r="49" spans="2:6" x14ac:dyDescent="0.2">
      <c r="B49" s="143" t="s">
        <v>101</v>
      </c>
      <c r="C49" s="143"/>
      <c r="D49" s="12" t="s">
        <v>86</v>
      </c>
      <c r="E49" s="162">
        <v>1</v>
      </c>
      <c r="F49" s="163"/>
    </row>
    <row r="50" spans="2:6" x14ac:dyDescent="0.2">
      <c r="B50" s="143" t="s">
        <v>102</v>
      </c>
      <c r="C50" s="143"/>
      <c r="D50" s="12" t="s">
        <v>86</v>
      </c>
      <c r="E50" s="162">
        <v>0.1</v>
      </c>
      <c r="F50" s="163"/>
    </row>
    <row r="51" spans="2:6" x14ac:dyDescent="0.2">
      <c r="B51" s="143" t="s">
        <v>103</v>
      </c>
      <c r="C51" s="143"/>
      <c r="D51" s="12" t="s">
        <v>67</v>
      </c>
      <c r="E51" s="162">
        <v>2</v>
      </c>
      <c r="F51" s="163"/>
    </row>
    <row r="52" spans="2:6" x14ac:dyDescent="0.2">
      <c r="B52" s="143"/>
      <c r="C52" s="143"/>
      <c r="D52" s="12"/>
      <c r="E52" s="162"/>
      <c r="F52" s="163"/>
    </row>
    <row r="53" spans="2:6" x14ac:dyDescent="0.2">
      <c r="B53" s="143" t="s">
        <v>104</v>
      </c>
      <c r="C53" s="143"/>
      <c r="D53" s="12"/>
      <c r="E53" s="162"/>
      <c r="F53" s="163"/>
    </row>
    <row r="54" spans="2:6" x14ac:dyDescent="0.2">
      <c r="B54" s="143" t="s">
        <v>105</v>
      </c>
      <c r="C54" s="143"/>
      <c r="D54" s="12" t="s">
        <v>66</v>
      </c>
      <c r="E54" s="162">
        <v>2.5</v>
      </c>
      <c r="F54" s="163"/>
    </row>
    <row r="55" spans="2:6" x14ac:dyDescent="0.2">
      <c r="B55" s="144"/>
      <c r="C55" s="144"/>
      <c r="D55" s="14"/>
      <c r="E55" s="159"/>
      <c r="F55" s="160"/>
    </row>
    <row r="56" spans="2:6" x14ac:dyDescent="0.2">
      <c r="B56" s="11"/>
      <c r="C56" s="11"/>
      <c r="D56" s="11"/>
      <c r="E56" s="17"/>
      <c r="F56" s="17"/>
    </row>
  </sheetData>
  <sheetProtection sheet="1" objects="1" scenarios="1"/>
  <mergeCells count="87">
    <mergeCell ref="E47:F47"/>
    <mergeCell ref="B44:C44"/>
    <mergeCell ref="E44:F44"/>
    <mergeCell ref="B45:C45"/>
    <mergeCell ref="B55:C55"/>
    <mergeCell ref="E55:F55"/>
    <mergeCell ref="B52:C52"/>
    <mergeCell ref="E52:F52"/>
    <mergeCell ref="B53:C53"/>
    <mergeCell ref="E53:F53"/>
    <mergeCell ref="E45:F45"/>
    <mergeCell ref="B36:C36"/>
    <mergeCell ref="E36:F36"/>
    <mergeCell ref="B1:C1"/>
    <mergeCell ref="B54:C54"/>
    <mergeCell ref="E54:F54"/>
    <mergeCell ref="B50:C50"/>
    <mergeCell ref="E50:F50"/>
    <mergeCell ref="B51:C51"/>
    <mergeCell ref="E51:F51"/>
    <mergeCell ref="B48:C48"/>
    <mergeCell ref="E48:F48"/>
    <mergeCell ref="B49:C49"/>
    <mergeCell ref="E49:F49"/>
    <mergeCell ref="B46:C46"/>
    <mergeCell ref="E46:F46"/>
    <mergeCell ref="B47:C47"/>
    <mergeCell ref="B41:C41"/>
    <mergeCell ref="E41:F41"/>
    <mergeCell ref="B39:C39"/>
    <mergeCell ref="E39:F39"/>
    <mergeCell ref="B40:C40"/>
    <mergeCell ref="E40:F40"/>
    <mergeCell ref="B29:C29"/>
    <mergeCell ref="E29:F29"/>
    <mergeCell ref="B30:C30"/>
    <mergeCell ref="E30:F30"/>
    <mergeCell ref="B28:C28"/>
    <mergeCell ref="E28:F28"/>
    <mergeCell ref="B35:C35"/>
    <mergeCell ref="E35:F35"/>
    <mergeCell ref="B31:C31"/>
    <mergeCell ref="E31:F31"/>
    <mergeCell ref="B32:C32"/>
    <mergeCell ref="E32:F32"/>
    <mergeCell ref="B25:C25"/>
    <mergeCell ref="E25:F25"/>
    <mergeCell ref="B21:C21"/>
    <mergeCell ref="E21:F21"/>
    <mergeCell ref="B22:C22"/>
    <mergeCell ref="E22:F22"/>
    <mergeCell ref="B23:C23"/>
    <mergeCell ref="E23:F23"/>
    <mergeCell ref="B15:C15"/>
    <mergeCell ref="E15:F15"/>
    <mergeCell ref="B13:C13"/>
    <mergeCell ref="E13:F13"/>
    <mergeCell ref="B24:C24"/>
    <mergeCell ref="E24:F24"/>
    <mergeCell ref="B20:C20"/>
    <mergeCell ref="E20:F20"/>
    <mergeCell ref="B16:C16"/>
    <mergeCell ref="E16:F16"/>
    <mergeCell ref="B17:C17"/>
    <mergeCell ref="E17:F17"/>
    <mergeCell ref="B18:C18"/>
    <mergeCell ref="E18:F18"/>
    <mergeCell ref="B19:C19"/>
    <mergeCell ref="E19:F19"/>
    <mergeCell ref="B9:C9"/>
    <mergeCell ref="E9:F9"/>
    <mergeCell ref="B10:C10"/>
    <mergeCell ref="E10:F10"/>
    <mergeCell ref="B14:C14"/>
    <mergeCell ref="E14:F14"/>
    <mergeCell ref="B3:C3"/>
    <mergeCell ref="E3:F3"/>
    <mergeCell ref="B4:C4"/>
    <mergeCell ref="E4:F4"/>
    <mergeCell ref="B7:C7"/>
    <mergeCell ref="E7:F7"/>
    <mergeCell ref="B8:C8"/>
    <mergeCell ref="E8:F8"/>
    <mergeCell ref="B5:C5"/>
    <mergeCell ref="E5:F5"/>
    <mergeCell ref="B6:C6"/>
    <mergeCell ref="E6:F6"/>
  </mergeCells>
  <phoneticPr fontId="0" type="noConversion"/>
  <hyperlinks>
    <hyperlink ref="B1:C1" location="Principal!C23" display="Retorna" xr:uid="{00000000-0004-0000-0600-000000000000}"/>
  </hyperlinks>
  <pageMargins left="0.78740157499999996" right="0.78740157499999996" top="0.984251969" bottom="0.984251969" header="0.49212598499999999" footer="0.49212598499999999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690baf-b4fa-4972-8b0c-8f3cb8310feb">
      <Terms xmlns="http://schemas.microsoft.com/office/infopath/2007/PartnerControls"/>
    </lcf76f155ced4ddcb4097134ff3c332f>
    <Owner xmlns="eb690baf-b4fa-4972-8b0c-8f3cb8310feb">
      <UserInfo>
        <DisplayName/>
        <AccountId xsi:nil="true"/>
        <AccountType/>
      </UserInfo>
    </Owner>
    <TaxCatchAll xmlns="5457ad79-e052-4ac4-9560-2a7200b9a764" xsi:nil="true"/>
    <_Flow_SignoffStatus xmlns="eb690baf-b4fa-4972-8b0c-8f3cb8310f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52135099C8AB4FA6B501457EF833D5" ma:contentTypeVersion="15" ma:contentTypeDescription="Crie um novo documento." ma:contentTypeScope="" ma:versionID="ea8f84745ac19b93eb60106dee71f3ac">
  <xsd:schema xmlns:xsd="http://www.w3.org/2001/XMLSchema" xmlns:xs="http://www.w3.org/2001/XMLSchema" xmlns:p="http://schemas.microsoft.com/office/2006/metadata/properties" xmlns:ns2="eb690baf-b4fa-4972-8b0c-8f3cb8310feb" xmlns:ns3="5457ad79-e052-4ac4-9560-2a7200b9a764" targetNamespace="http://schemas.microsoft.com/office/2006/metadata/properties" ma:root="true" ma:fieldsID="5c75249dc10c2f9c077ccb885d03b187" ns2:_="" ns3:_="">
    <xsd:import namespace="eb690baf-b4fa-4972-8b0c-8f3cb8310feb"/>
    <xsd:import namespace="5457ad79-e052-4ac4-9560-2a7200b9a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wner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90baf-b4fa-4972-8b0c-8f3cb8310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wner" ma:index="11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Flow_SignoffStatus" ma:index="12" nillable="true" ma:displayName="Status de liberação" ma:internalName="_x0024_Resources_x003a_core_x002c_Signoff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208b2a58-58c8-429b-9531-4889f62a58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57ad79-e052-4ac4-9560-2a7200b9a76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7985188-6ba3-4e79-bb0f-9d8b88382396}" ma:internalName="TaxCatchAll" ma:showField="CatchAllData" ma:web="5457ad79-e052-4ac4-9560-2a7200b9a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5B860-BB07-4176-B6DC-A3B0C40C42E5}">
  <ds:schemaRefs>
    <ds:schemaRef ds:uri="http://schemas.microsoft.com/office/2006/metadata/properties"/>
    <ds:schemaRef ds:uri="http://schemas.microsoft.com/office/infopath/2007/PartnerControls"/>
    <ds:schemaRef ds:uri="eb690baf-b4fa-4972-8b0c-8f3cb8310feb"/>
    <ds:schemaRef ds:uri="5457ad79-e052-4ac4-9560-2a7200b9a764"/>
  </ds:schemaRefs>
</ds:datastoreItem>
</file>

<file path=customXml/itemProps2.xml><?xml version="1.0" encoding="utf-8"?>
<ds:datastoreItem xmlns:ds="http://schemas.openxmlformats.org/officeDocument/2006/customXml" ds:itemID="{017876F3-D8B1-4383-AAE0-10CA2B97CA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09BAC9-998E-4FA6-AC43-2394FEFBB2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690baf-b4fa-4972-8b0c-8f3cb8310feb"/>
    <ds:schemaRef ds:uri="5457ad79-e052-4ac4-9560-2a7200b9a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Principal</vt:lpstr>
      <vt:lpstr>Levantamento dutos</vt:lpstr>
      <vt:lpstr>Resumo</vt:lpstr>
      <vt:lpstr>Calculos</vt:lpstr>
      <vt:lpstr>Tab_Precos</vt:lpstr>
      <vt:lpstr>norma</vt:lpstr>
      <vt:lpstr>'Levantamento dutos'!Print_Area</vt:lpstr>
      <vt:lpstr>Resumo!Print_Area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</dc:creator>
  <cp:lastModifiedBy>Rodrigo Pellegrini</cp:lastModifiedBy>
  <cp:lastPrinted>2009-06-15T17:48:14Z</cp:lastPrinted>
  <dcterms:created xsi:type="dcterms:W3CDTF">2000-05-04T11:18:49Z</dcterms:created>
  <dcterms:modified xsi:type="dcterms:W3CDTF">2026-01-26T13:41:04Z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0x0101004F52135099C8AB4FA6B501457EF833D5</vt:lpwstr>
  </property>
  <property fmtid="{D5CDD505-2E9C-101B-9397-08002B2CF9AE}" pid="3" name="MediaServiceImageTags">
    <vt:lpwstr/>
  </property>
</Properties>
</file>